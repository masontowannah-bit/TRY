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3BFAA49-75CB-4824-B642-980823CE322C}" xr6:coauthVersionLast="47" xr6:coauthVersionMax="47" xr10:uidLastSave="{00000000-0000-0000-0000-000000000000}"/>
  <bookViews>
    <workbookView xWindow="-120" yWindow="-120" windowWidth="20730" windowHeight="11040" tabRatio="910" firstSheet="32" activeTab="51" xr2:uid="{00000000-000D-0000-FFFF-FFFF00000000}"/>
  </bookViews>
  <sheets>
    <sheet name="116" sheetId="1" r:id="rId1"/>
    <sheet name="96" sheetId="2" r:id="rId2"/>
    <sheet name="43" sheetId="3" r:id="rId3"/>
    <sheet name="111" sheetId="4" r:id="rId4"/>
    <sheet name="92" sheetId="7" r:id="rId5"/>
    <sheet name="91" sheetId="5" r:id="rId6"/>
    <sheet name="40" sheetId="6" r:id="rId7"/>
    <sheet name="117" sheetId="8" r:id="rId8"/>
    <sheet name="41" sheetId="9" r:id="rId9"/>
    <sheet name="112" sheetId="10" r:id="rId10"/>
    <sheet name="118" sheetId="11" r:id="rId11"/>
    <sheet name="95" sheetId="12" r:id="rId12"/>
    <sheet name="35" sheetId="13" r:id="rId13"/>
    <sheet name="113" sheetId="14" r:id="rId14"/>
    <sheet name="27" sheetId="15" r:id="rId15"/>
    <sheet name="15" sheetId="16" r:id="rId16"/>
    <sheet name="12" sheetId="17" r:id="rId17"/>
    <sheet name="81" sheetId="19" r:id="rId18"/>
    <sheet name="94" sheetId="22" r:id="rId19"/>
    <sheet name="42" sheetId="24" r:id="rId20"/>
    <sheet name="93" sheetId="27" r:id="rId21"/>
    <sheet name="82" sheetId="18" r:id="rId22"/>
    <sheet name="61N" sheetId="140" r:id="rId23"/>
    <sheet name="60N" sheetId="141" r:id="rId24"/>
    <sheet name="55N" sheetId="142" r:id="rId25"/>
    <sheet name="57" sheetId="25" r:id="rId26"/>
    <sheet name="58" sheetId="58" r:id="rId27"/>
    <sheet name="59" sheetId="46" r:id="rId28"/>
    <sheet name="48N" sheetId="135" r:id="rId29"/>
    <sheet name="50N" sheetId="51" r:id="rId30"/>
    <sheet name="49N" sheetId="136" r:id="rId31"/>
    <sheet name="103" sheetId="30" r:id="rId32"/>
    <sheet name="102" sheetId="29" r:id="rId33"/>
    <sheet name="101" sheetId="28" r:id="rId34"/>
    <sheet name="18N" sheetId="139" r:id="rId35"/>
    <sheet name="26N " sheetId="143" r:id="rId36"/>
    <sheet name="34" sheetId="23" r:id="rId37"/>
    <sheet name="28" sheetId="26" r:id="rId38"/>
    <sheet name="13N" sheetId="137" r:id="rId39"/>
    <sheet name="16N" sheetId="138" r:id="rId40"/>
    <sheet name="44" sheetId="33" r:id="rId41"/>
    <sheet name="45" sheetId="34" r:id="rId42"/>
    <sheet name="83" sheetId="146" r:id="rId43"/>
    <sheet name="47" sheetId="35" r:id="rId44"/>
    <sheet name="78" sheetId="32" r:id="rId45"/>
    <sheet name="80" sheetId="31" r:id="rId46"/>
    <sheet name="76" sheetId="20" r:id="rId47"/>
    <sheet name="79" sheetId="21" r:id="rId48"/>
    <sheet name="114" sheetId="37" r:id="rId49"/>
    <sheet name="119" sheetId="39" r:id="rId50"/>
    <sheet name="120" sheetId="40" r:id="rId51"/>
    <sheet name="115" sheetId="38" r:id="rId52"/>
    <sheet name="CHECK " sheetId="134" r:id="rId53"/>
    <sheet name="46" sheetId="36" r:id="rId54"/>
    <sheet name="ACE BILLS NEW" sheetId="133" r:id="rId55"/>
    <sheet name="22" sheetId="144" r:id="rId56"/>
    <sheet name="37" sheetId="145" r:id="rId57"/>
    <sheet name="STATS" sheetId="148" r:id="rId58"/>
    <sheet name="HYBRYD WITH MYSTERY" sheetId="132" r:id="rId59"/>
    <sheet name="116 (R)" sheetId="101" r:id="rId60"/>
    <sheet name="96 (R)" sheetId="103" r:id="rId61"/>
    <sheet name="43 (R)" sheetId="102" r:id="rId62"/>
    <sheet name="111 (R)" sheetId="104" r:id="rId63"/>
    <sheet name="91 (R)" sheetId="105" r:id="rId64"/>
    <sheet name="40 (R)" sheetId="106" r:id="rId65"/>
    <sheet name="92 (R)" sheetId="107" r:id="rId66"/>
    <sheet name="117 (R)" sheetId="108" r:id="rId67"/>
    <sheet name="41 (R)" sheetId="109" r:id="rId68"/>
    <sheet name="112 (R)" sheetId="110" r:id="rId69"/>
    <sheet name="118 (R)" sheetId="111" r:id="rId70"/>
    <sheet name="95 (R)" sheetId="112" r:id="rId71"/>
    <sheet name="35 (R)" sheetId="113" r:id="rId72"/>
    <sheet name="113 (R)" sheetId="114" r:id="rId73"/>
    <sheet name="27 (R)" sheetId="116" r:id="rId74"/>
    <sheet name="15 (R)" sheetId="117" r:id="rId75"/>
    <sheet name="12 (R)" sheetId="118" r:id="rId76"/>
    <sheet name="94 (R)" sheetId="119" r:id="rId77"/>
    <sheet name="34 (R)" sheetId="120" r:id="rId78"/>
    <sheet name="42 (R)" sheetId="121" r:id="rId79"/>
    <sheet name="57 (R)" sheetId="122" r:id="rId80"/>
    <sheet name="28 (R)" sheetId="123" r:id="rId81"/>
    <sheet name="93 (R)" sheetId="124" r:id="rId82"/>
    <sheet name="101 (R)" sheetId="125" r:id="rId83"/>
    <sheet name="102 (R)" sheetId="126" r:id="rId84"/>
    <sheet name="103 (R)" sheetId="127" r:id="rId85"/>
    <sheet name="114 (R)" sheetId="128" r:id="rId86"/>
    <sheet name="119 (R)" sheetId="129" r:id="rId87"/>
    <sheet name="120 (R)" sheetId="130" r:id="rId88"/>
    <sheet name="115 (R)" sheetId="131" r:id="rId89"/>
    <sheet name="new baum sats" sheetId="41" r:id="rId90"/>
    <sheet name="non ace" sheetId="42" r:id="rId91"/>
    <sheet name="ACE MAS" sheetId="43" r:id="rId92"/>
    <sheet name="CHECKING" sheetId="147" r:id="rId93"/>
    <sheet name="54" sheetId="44" state="hidden" r:id="rId94"/>
    <sheet name="17" sheetId="45" state="hidden" r:id="rId95"/>
    <sheet name="55" sheetId="47" state="hidden" r:id="rId96"/>
    <sheet name="16" sheetId="48" state="hidden" r:id="rId97"/>
    <sheet name="18" sheetId="49" state="hidden" r:id="rId98"/>
    <sheet name="13" sheetId="50" state="hidden" r:id="rId99"/>
    <sheet name="50" sheetId="52" state="hidden" r:id="rId100"/>
    <sheet name="61" sheetId="53" state="hidden" r:id="rId101"/>
    <sheet name="49" sheetId="54" state="hidden" r:id="rId102"/>
    <sheet name="26" sheetId="55" state="hidden" r:id="rId103"/>
    <sheet name="56" sheetId="56" state="hidden" r:id="rId104"/>
    <sheet name="60" sheetId="57" state="hidden" r:id="rId105"/>
    <sheet name="24" sheetId="59" state="hidden" r:id="rId106"/>
    <sheet name="68" sheetId="60" state="hidden" r:id="rId107"/>
    <sheet name="14" sheetId="61" state="hidden" r:id="rId108"/>
    <sheet name="ACE BILLS" sheetId="62" state="hidden" r:id="rId109"/>
    <sheet name="66" sheetId="63" state="hidden" r:id="rId110"/>
    <sheet name="65" sheetId="64" state="hidden" r:id="rId111"/>
    <sheet name="67" sheetId="65" state="hidden" r:id="rId112"/>
    <sheet name="check" sheetId="66" state="hidden" r:id="rId113"/>
    <sheet name="hybrid" sheetId="67" state="hidden" r:id="rId114"/>
    <sheet name="69" sheetId="68" state="hidden" r:id="rId115"/>
    <sheet name="77" sheetId="69" state="hidden" r:id="rId116"/>
    <sheet name="70(2)" sheetId="70" state="hidden" r:id="rId117"/>
    <sheet name="36" sheetId="71" state="hidden" r:id="rId118"/>
    <sheet name="71 (2)" sheetId="72" state="hidden" r:id="rId119"/>
    <sheet name="72" sheetId="73" state="hidden" r:id="rId120"/>
    <sheet name="72N" sheetId="74" state="hidden" r:id="rId121"/>
    <sheet name="75 (2)" sheetId="75" state="hidden" r:id="rId122"/>
    <sheet name="74N (2)" sheetId="76" state="hidden" r:id="rId123"/>
    <sheet name="73N" sheetId="77" state="hidden" r:id="rId124"/>
    <sheet name="72N (2)" sheetId="78" state="hidden" r:id="rId125"/>
    <sheet name="74N" sheetId="79" state="hidden" r:id="rId126"/>
    <sheet name="73" sheetId="80" state="hidden" r:id="rId127"/>
    <sheet name="74" sheetId="81" state="hidden" r:id="rId128"/>
    <sheet name="75" sheetId="82" state="hidden" r:id="rId129"/>
    <sheet name="EXTRACTION meters kingkong" sheetId="83" state="hidden" r:id="rId130"/>
    <sheet name="BAUM" sheetId="84" state="hidden" r:id="rId131"/>
    <sheet name="71(3)" sheetId="85" state="hidden" r:id="rId132"/>
    <sheet name="January close meters" sheetId="86" state="hidden" r:id="rId133"/>
    <sheet name="68(3)" sheetId="87" state="hidden" r:id="rId134"/>
    <sheet name="9" sheetId="88" state="hidden" r:id="rId135"/>
    <sheet name="51" sheetId="89" state="hidden" r:id="rId136"/>
    <sheet name="52" sheetId="90" state="hidden" r:id="rId137"/>
    <sheet name="53" sheetId="91" state="hidden" r:id="rId138"/>
    <sheet name="10" sheetId="92" state="hidden" r:id="rId139"/>
    <sheet name="31" sheetId="93" state="hidden" r:id="rId140"/>
    <sheet name="30" sheetId="94" state="hidden" r:id="rId141"/>
    <sheet name="20" sheetId="95" state="hidden" r:id="rId142"/>
    <sheet name="62" sheetId="96" state="hidden" r:id="rId143"/>
    <sheet name="64" sheetId="97" state="hidden" r:id="rId144"/>
    <sheet name="63" sheetId="98" state="hidden" r:id="rId145"/>
    <sheet name="21" sheetId="99" state="hidden" r:id="rId146"/>
    <sheet name="70" sheetId="100" state="hidden" r:id="rId147"/>
  </sheets>
  <definedNames>
    <definedName name="Excel_BuiltIn_Print_Area_1">0</definedName>
    <definedName name="Excel_BuiltIn_Print_Area_1_1">0</definedName>
    <definedName name="Excel_BuiltIn_Print_Area_10">0</definedName>
    <definedName name="Excel_BuiltIn_Print_Area_2">0</definedName>
    <definedName name="Excel_BuiltIn_Print_Area_2_1">0</definedName>
    <definedName name="Excel_BuiltIn_Print_Area_3">0</definedName>
    <definedName name="Excel_BuiltIn_Print_Area_3_1">0</definedName>
    <definedName name="Excel_BuiltIn_Print_Area_4">0</definedName>
    <definedName name="Excel_BuiltIn_Print_Area_5">0</definedName>
    <definedName name="Excel_BuiltIn_Print_Area_6">0</definedName>
    <definedName name="Excel_BuiltIn_Print_Area_7">0</definedName>
    <definedName name="Excel_BuiltIn_Print_Area_8">0</definedName>
    <definedName name="Excel_BuiltIn_Print_Area_9">0</definedName>
    <definedName name="_xlnm.Print_Area" localSheetId="138">'10'!$A$2:$J$36</definedName>
    <definedName name="_xlnm.Print_Area" localSheetId="16">'12'!$A$2:$G$50</definedName>
    <definedName name="_xlnm.Print_Area" localSheetId="75">'12 (R)'!$A$2:$I$28</definedName>
    <definedName name="_xlnm.Print_Area" localSheetId="98">'13'!$A$2:$G$50</definedName>
    <definedName name="_xlnm.Print_Area" localSheetId="38">'13N'!$A$1:$C$45</definedName>
    <definedName name="_xlnm.Print_Area" localSheetId="107">'14'!$A$2:$G$50</definedName>
    <definedName name="_xlnm.Print_Area" localSheetId="15">'15'!$A$2:$G$50</definedName>
    <definedName name="_xlnm.Print_Area" localSheetId="74">'15 (R)'!$A$3:$D$51</definedName>
    <definedName name="_xlnm.Print_Area" localSheetId="96">'16'!$A$2:$G$46</definedName>
    <definedName name="_xlnm.Print_Area" localSheetId="39">'16N'!$A$1:$C$45</definedName>
    <definedName name="_xlnm.Print_Area" localSheetId="94">'17'!$A$2:$G$45</definedName>
    <definedName name="_xlnm.Print_Area" localSheetId="97">'18'!$A$2:$G$50</definedName>
    <definedName name="_xlnm.Print_Area" localSheetId="34">'18N'!$A$2:$K$83</definedName>
    <definedName name="_xlnm.Print_Area" localSheetId="141">'20'!$A$2:$H$51</definedName>
    <definedName name="_xlnm.Print_Area" localSheetId="145">'21'!$A$2:$H$48</definedName>
    <definedName name="_xlnm.Print_Area" localSheetId="105">'24'!$A$2:$G$60</definedName>
    <definedName name="_xlnm.Print_Area" localSheetId="102">'26'!$A$2:$G$58</definedName>
    <definedName name="_xlnm.Print_Area" localSheetId="35">'26N '!$A$1:$C$45</definedName>
    <definedName name="_xlnm.Print_Area" localSheetId="14">'27'!$A$2:$K$83</definedName>
    <definedName name="_xlnm.Print_Area" localSheetId="73">'27 (R)'!$A$3:$C$83</definedName>
    <definedName name="_xlnm.Print_Area" localSheetId="37">'28'!$A$1:$C$45</definedName>
    <definedName name="_xlnm.Print_Area" localSheetId="80">'28 (R)'!$A$3:$I$53</definedName>
    <definedName name="_xlnm.Print_Area" localSheetId="140">'30'!$A$2:$G$44</definedName>
    <definedName name="_xlnm.Print_Area" localSheetId="139">'31'!$A$2:$G$51</definedName>
    <definedName name="_xlnm.Print_Area" localSheetId="36">'34'!$A$2:$G$43</definedName>
    <definedName name="_xlnm.Print_Area" localSheetId="77">'34 (R)'!$A$2:$H$49</definedName>
    <definedName name="_xlnm.Print_Area" localSheetId="12">'35'!$A$2:$G$49</definedName>
    <definedName name="_xlnm.Print_Area" localSheetId="71">'35 (R)'!$A$2:$J$46</definedName>
    <definedName name="_xlnm.Print_Area" localSheetId="117">'36'!$A$2:$C$47</definedName>
    <definedName name="_xlnm.Print_Area" localSheetId="6">'40'!$A$2:$G$74</definedName>
    <definedName name="_xlnm.Print_Area" localSheetId="64">'40 (R)'!$A$3:$C$75</definedName>
    <definedName name="_xlnm.Print_Area" localSheetId="40">'44'!$A$1:$BB$36</definedName>
    <definedName name="_xlnm.Print_Area" localSheetId="137">'53'!$A$1:$C$94</definedName>
    <definedName name="_xlnm.Print_Area" localSheetId="93">'54'!$A$2:$G$44</definedName>
    <definedName name="_xlnm.Print_Area" localSheetId="21">'82'!$A$1:$C$94</definedName>
    <definedName name="_xlnm.Print_Area" localSheetId="134">'9'!$A$2:$J$46</definedName>
    <definedName name="_xlnm.Print_Area" localSheetId="108">'ACE BILLS'!$A$1:$L$34</definedName>
    <definedName name="_xlnm.Print_Area" localSheetId="54">'ACE BILLS NEW'!$A$1:$K$35</definedName>
    <definedName name="_xlnm.Print_Area" localSheetId="112">check!$A$1:$O$35</definedName>
    <definedName name="_xlnm.Print_Area" localSheetId="52">'CHECK '!$A$2:$N$42</definedName>
    <definedName name="_xlnm.Print_Area" localSheetId="113">hybrid!$A$1:$D$31</definedName>
    <definedName name="_xlnm.Print_Area" localSheetId="58">'HYBRYD WITH MYSTERY'!$A$1:$D$30</definedName>
  </definedNames>
  <calcPr calcId="191029"/>
</workbook>
</file>

<file path=xl/calcChain.xml><?xml version="1.0" encoding="utf-8"?>
<calcChain xmlns="http://schemas.openxmlformats.org/spreadsheetml/2006/main">
  <c r="B27" i="28" l="1"/>
  <c r="B9" i="146"/>
  <c r="B49" i="39"/>
  <c r="C20" i="21"/>
  <c r="C20" i="19"/>
  <c r="C20" i="18"/>
  <c r="B66" i="9"/>
  <c r="B9" i="38"/>
  <c r="B27" i="2"/>
  <c r="B70" i="10"/>
  <c r="B32" i="40"/>
  <c r="B25" i="137"/>
  <c r="B10" i="137"/>
  <c r="B15" i="11"/>
  <c r="B35" i="136"/>
  <c r="B21" i="2"/>
  <c r="B67" i="6"/>
  <c r="B32" i="37"/>
  <c r="B11" i="15"/>
  <c r="B27" i="5"/>
  <c r="B21" i="7"/>
  <c r="B49" i="4"/>
  <c r="B70" i="1"/>
  <c r="C31" i="32"/>
  <c r="B10" i="17"/>
  <c r="B35" i="30"/>
  <c r="B32" i="11"/>
  <c r="C20" i="31"/>
  <c r="B19" i="39"/>
  <c r="B15" i="38"/>
  <c r="B27" i="27"/>
  <c r="B32" i="1"/>
  <c r="C31" i="146"/>
  <c r="B27" i="9"/>
  <c r="B35" i="28"/>
  <c r="B28" i="17"/>
  <c r="I32" i="148"/>
  <c r="I31" i="148"/>
  <c r="I30" i="148"/>
  <c r="I29" i="148"/>
  <c r="I28" i="148"/>
  <c r="I27" i="148"/>
  <c r="F32" i="148"/>
  <c r="F31" i="148"/>
  <c r="F30" i="148"/>
  <c r="F29" i="148"/>
  <c r="F28" i="148"/>
  <c r="F27" i="148"/>
  <c r="I20" i="148"/>
  <c r="I19" i="148"/>
  <c r="I18" i="148"/>
  <c r="F20" i="148"/>
  <c r="F19" i="148"/>
  <c r="F18" i="148"/>
  <c r="B28" i="24"/>
  <c r="B36" i="58"/>
  <c r="B21" i="5"/>
  <c r="B49" i="37"/>
  <c r="B27" i="22"/>
  <c r="C11" i="32"/>
  <c r="B70" i="4"/>
  <c r="B70" i="40"/>
  <c r="I45" i="148"/>
  <c r="I44" i="148"/>
  <c r="I43" i="148"/>
  <c r="I42" i="148"/>
  <c r="I41" i="148"/>
  <c r="I40" i="148"/>
  <c r="I39" i="148"/>
  <c r="I38" i="148"/>
  <c r="I37" i="148"/>
  <c r="I36" i="148"/>
  <c r="I34" i="148"/>
  <c r="I33" i="148"/>
  <c r="B30" i="26"/>
  <c r="B9" i="39"/>
  <c r="B35" i="51"/>
  <c r="B32" i="23"/>
  <c r="B23" i="12"/>
  <c r="B32" i="10"/>
  <c r="B66" i="24"/>
  <c r="B9" i="37"/>
  <c r="B11" i="46"/>
  <c r="B30" i="2"/>
  <c r="C11" i="31"/>
  <c r="B15" i="40"/>
  <c r="B16" i="22"/>
  <c r="B19" i="24"/>
  <c r="B32" i="8"/>
  <c r="B29" i="143"/>
  <c r="B29" i="138"/>
  <c r="C11" i="21"/>
  <c r="B10" i="135"/>
  <c r="B27" i="12"/>
  <c r="B15" i="24"/>
  <c r="B18" i="31"/>
  <c r="I17" i="148"/>
  <c r="I16" i="148"/>
  <c r="I15" i="148"/>
  <c r="I14" i="148"/>
  <c r="I13" i="148"/>
  <c r="F13" i="148"/>
  <c r="I12" i="148"/>
  <c r="F12" i="148"/>
  <c r="I11" i="148"/>
  <c r="I10" i="148"/>
  <c r="I9" i="148"/>
  <c r="I8" i="148"/>
  <c r="I7" i="148"/>
  <c r="I6" i="148"/>
  <c r="I5" i="148"/>
  <c r="F45" i="148"/>
  <c r="F44" i="148"/>
  <c r="F43" i="148"/>
  <c r="F42" i="148"/>
  <c r="F41" i="148"/>
  <c r="F40" i="148"/>
  <c r="F39" i="148"/>
  <c r="F38" i="148"/>
  <c r="F37" i="148"/>
  <c r="F36" i="148"/>
  <c r="F35" i="148"/>
  <c r="F34" i="148"/>
  <c r="F33" i="148"/>
  <c r="F26" i="148"/>
  <c r="F25" i="148"/>
  <c r="F24" i="148"/>
  <c r="F23" i="148"/>
  <c r="F22" i="148"/>
  <c r="F21" i="148" l="1"/>
  <c r="F17" i="148"/>
  <c r="F16" i="148"/>
  <c r="F15" i="148"/>
  <c r="F14" i="148"/>
  <c r="F11" i="148"/>
  <c r="F10" i="148"/>
  <c r="F9" i="148"/>
  <c r="F8" i="148"/>
  <c r="F7" i="148"/>
  <c r="F6" i="148"/>
  <c r="F5" i="148"/>
  <c r="F4" i="148"/>
  <c r="E45" i="148"/>
  <c r="E44" i="148"/>
  <c r="E43" i="148"/>
  <c r="E42" i="148"/>
  <c r="E41" i="148"/>
  <c r="E40" i="148"/>
  <c r="E39" i="148"/>
  <c r="E38" i="148"/>
  <c r="E37" i="148"/>
  <c r="E36" i="148"/>
  <c r="E32" i="148"/>
  <c r="E31" i="148"/>
  <c r="E30" i="148"/>
  <c r="E29" i="148"/>
  <c r="E28" i="148"/>
  <c r="E27" i="148"/>
  <c r="E17" i="148"/>
  <c r="E16" i="148"/>
  <c r="E15" i="148"/>
  <c r="E14" i="148"/>
  <c r="E13" i="148"/>
  <c r="E12" i="148"/>
  <c r="E11" i="148"/>
  <c r="E10" i="148"/>
  <c r="E9" i="148"/>
  <c r="E8" i="148"/>
  <c r="E7" i="148"/>
  <c r="E6" i="148"/>
  <c r="E5" i="148"/>
  <c r="E4" i="148"/>
  <c r="D45" i="148"/>
  <c r="D44" i="148"/>
  <c r="D43" i="148"/>
  <c r="D42" i="148"/>
  <c r="D41" i="148"/>
  <c r="D40" i="148"/>
  <c r="D39" i="148"/>
  <c r="D38" i="148"/>
  <c r="D37" i="148"/>
  <c r="D36" i="148"/>
  <c r="D35" i="148"/>
  <c r="D34" i="148"/>
  <c r="D33" i="148"/>
  <c r="D32" i="148"/>
  <c r="D31" i="148"/>
  <c r="D30" i="148"/>
  <c r="D29" i="148"/>
  <c r="D28" i="148"/>
  <c r="D27" i="148"/>
  <c r="D26" i="148"/>
  <c r="D25" i="148"/>
  <c r="D22" i="148"/>
  <c r="D21" i="148"/>
  <c r="D20" i="148"/>
  <c r="D19" i="148"/>
  <c r="D18" i="148"/>
  <c r="D17" i="148"/>
  <c r="D16" i="148"/>
  <c r="D15" i="148"/>
  <c r="D14" i="148"/>
  <c r="D11" i="148"/>
  <c r="D10" i="148"/>
  <c r="D9" i="148"/>
  <c r="D8" i="148"/>
  <c r="D7" i="148"/>
  <c r="D6" i="148"/>
  <c r="D5" i="148"/>
  <c r="D4" i="148"/>
  <c r="J52" i="147"/>
  <c r="L52" i="147" s="1"/>
  <c r="N52" i="147" s="1"/>
  <c r="J51" i="147"/>
  <c r="L51" i="147" s="1"/>
  <c r="N51" i="147" s="1"/>
  <c r="J50" i="147"/>
  <c r="L50" i="147" s="1"/>
  <c r="N50" i="147" s="1"/>
  <c r="J49" i="147"/>
  <c r="L49" i="147" s="1"/>
  <c r="N49" i="147" s="1"/>
  <c r="J48" i="147"/>
  <c r="L48" i="147" s="1"/>
  <c r="N48" i="147" s="1"/>
  <c r="M47" i="147"/>
  <c r="M53" i="147" s="1"/>
  <c r="J47" i="147"/>
  <c r="L47" i="147" s="1"/>
  <c r="N47" i="147" s="1"/>
  <c r="J46" i="147"/>
  <c r="L46" i="147" s="1"/>
  <c r="N46" i="147" s="1"/>
  <c r="J45" i="147"/>
  <c r="L45" i="147" s="1"/>
  <c r="N45" i="147" s="1"/>
  <c r="J44" i="147"/>
  <c r="L44" i="147" s="1"/>
  <c r="N44" i="147" s="1"/>
  <c r="J43" i="147"/>
  <c r="L43" i="147" s="1"/>
  <c r="N43" i="147" s="1"/>
  <c r="J42" i="147"/>
  <c r="L42" i="147" s="1"/>
  <c r="N42" i="147" s="1"/>
  <c r="J41" i="147"/>
  <c r="L41" i="147" s="1"/>
  <c r="N41" i="147" s="1"/>
  <c r="J40" i="147"/>
  <c r="L40" i="147" s="1"/>
  <c r="N40" i="147" s="1"/>
  <c r="J39" i="147"/>
  <c r="L39" i="147" s="1"/>
  <c r="N39" i="147" s="1"/>
  <c r="J38" i="147"/>
  <c r="L38" i="147" s="1"/>
  <c r="N38" i="147" s="1"/>
  <c r="J37" i="147"/>
  <c r="L37" i="147" s="1"/>
  <c r="N37" i="147" s="1"/>
  <c r="J36" i="147"/>
  <c r="L36" i="147" s="1"/>
  <c r="N36" i="147" s="1"/>
  <c r="J35" i="147"/>
  <c r="L35" i="147" s="1"/>
  <c r="N35" i="147" s="1"/>
  <c r="J34" i="147"/>
  <c r="L34" i="147" s="1"/>
  <c r="N34" i="147" s="1"/>
  <c r="J33" i="147"/>
  <c r="L33" i="147" s="1"/>
  <c r="N33" i="147" s="1"/>
  <c r="H53" i="147"/>
  <c r="J32" i="147"/>
  <c r="L32" i="147" s="1"/>
  <c r="N32" i="147" s="1"/>
  <c r="J31" i="147"/>
  <c r="L31" i="147" s="1"/>
  <c r="N31" i="147" s="1"/>
  <c r="J30" i="147"/>
  <c r="L30" i="147" s="1"/>
  <c r="N30" i="147" s="1"/>
  <c r="J29" i="147"/>
  <c r="L29" i="147" s="1"/>
  <c r="N29" i="147" s="1"/>
  <c r="J28" i="147"/>
  <c r="L28" i="147" s="1"/>
  <c r="N28" i="147" s="1"/>
  <c r="J27" i="147"/>
  <c r="L27" i="147" s="1"/>
  <c r="N27" i="147" s="1"/>
  <c r="J26" i="147"/>
  <c r="L26" i="147" s="1"/>
  <c r="N26" i="147" s="1"/>
  <c r="J25" i="147"/>
  <c r="L25" i="147" s="1"/>
  <c r="N25" i="147" s="1"/>
  <c r="J24" i="147"/>
  <c r="L24" i="147" s="1"/>
  <c r="N24" i="147" s="1"/>
  <c r="J23" i="147"/>
  <c r="L23" i="147" s="1"/>
  <c r="N23" i="147" s="1"/>
  <c r="J22" i="147"/>
  <c r="L22" i="147" s="1"/>
  <c r="N22" i="147" s="1"/>
  <c r="J21" i="147"/>
  <c r="L21" i="147" s="1"/>
  <c r="N21" i="147" s="1"/>
  <c r="J20" i="147"/>
  <c r="L20" i="147" s="1"/>
  <c r="N20" i="147" s="1"/>
  <c r="J19" i="147"/>
  <c r="L19" i="147" s="1"/>
  <c r="N19" i="147" s="1"/>
  <c r="J18" i="147"/>
  <c r="L18" i="147" s="1"/>
  <c r="N18" i="147" s="1"/>
  <c r="J17" i="147"/>
  <c r="L17" i="147" s="1"/>
  <c r="N17" i="147" s="1"/>
  <c r="J16" i="147"/>
  <c r="L16" i="147" s="1"/>
  <c r="N16" i="147" s="1"/>
  <c r="J15" i="147"/>
  <c r="L15" i="147" s="1"/>
  <c r="N15" i="147" s="1"/>
  <c r="I53" i="147"/>
  <c r="I54" i="147" s="1"/>
  <c r="G53" i="147"/>
  <c r="J14" i="147"/>
  <c r="L14" i="147" s="1"/>
  <c r="N14" i="147" s="1"/>
  <c r="J13" i="147"/>
  <c r="L13" i="147" s="1"/>
  <c r="N13" i="147" s="1"/>
  <c r="J12" i="147"/>
  <c r="L12" i="147" s="1"/>
  <c r="N12" i="147" s="1"/>
  <c r="J11" i="147"/>
  <c r="L11" i="147" s="1"/>
  <c r="N11" i="147" s="1"/>
  <c r="J10" i="147"/>
  <c r="L10" i="147" s="1"/>
  <c r="N10" i="147" s="1"/>
  <c r="J9" i="147"/>
  <c r="L9" i="147" s="1"/>
  <c r="N9" i="147" s="1"/>
  <c r="J8" i="147"/>
  <c r="L8" i="147" s="1"/>
  <c r="N8" i="147" s="1"/>
  <c r="J7" i="147"/>
  <c r="L7" i="147" s="1"/>
  <c r="N7" i="147" s="1"/>
  <c r="J6" i="147"/>
  <c r="L6" i="147" s="1"/>
  <c r="N6" i="147" s="1"/>
  <c r="J5" i="147"/>
  <c r="L5" i="147" s="1"/>
  <c r="N5" i="147" s="1"/>
  <c r="J4" i="147"/>
  <c r="L4" i="147" s="1"/>
  <c r="N4" i="147" s="1"/>
  <c r="F53" i="147"/>
  <c r="E53" i="147"/>
  <c r="D53" i="147"/>
  <c r="B9" i="9"/>
  <c r="I4" i="148"/>
  <c r="B49" i="14"/>
  <c r="B9" i="1"/>
  <c r="B27" i="7"/>
  <c r="B28" i="16"/>
  <c r="B15" i="1"/>
  <c r="I35" i="148"/>
  <c r="C107" i="146"/>
  <c r="C105" i="146"/>
  <c r="C20" i="146"/>
  <c r="B18" i="146"/>
  <c r="C11" i="146"/>
  <c r="B11" i="146" s="1"/>
  <c r="C101" i="146"/>
  <c r="C115" i="146" s="1"/>
  <c r="L40" i="148" l="1"/>
  <c r="J3" i="147"/>
  <c r="C103" i="146"/>
  <c r="C113" i="146" s="1"/>
  <c r="B20" i="146"/>
  <c r="C18" i="20"/>
  <c r="B16" i="7"/>
  <c r="C9" i="20"/>
  <c r="B15" i="8"/>
  <c r="C11" i="18"/>
  <c r="J53" i="147" l="1"/>
  <c r="L3" i="147"/>
  <c r="C11" i="19"/>
  <c r="B15" i="10"/>
  <c r="B66" i="3"/>
  <c r="B46" i="15"/>
  <c r="B27" i="35"/>
  <c r="B27" i="34"/>
  <c r="B9" i="4"/>
  <c r="B45" i="138"/>
  <c r="B44" i="138"/>
  <c r="B45" i="26"/>
  <c r="B44" i="26"/>
  <c r="B45" i="143"/>
  <c r="B44" i="143"/>
  <c r="C31" i="31"/>
  <c r="B9" i="21"/>
  <c r="B16" i="2"/>
  <c r="B16" i="27"/>
  <c r="B9" i="14"/>
  <c r="B27" i="33"/>
  <c r="B49" i="1"/>
  <c r="B10" i="140"/>
  <c r="I26" i="148" s="1"/>
  <c r="B10" i="141"/>
  <c r="I25" i="148" s="1"/>
  <c r="B10" i="143"/>
  <c r="L53" i="147" l="1"/>
  <c r="N3" i="147"/>
  <c r="N53" i="147" s="1"/>
  <c r="B70" i="14"/>
  <c r="B35" i="144"/>
  <c r="B27" i="144"/>
  <c r="F23" i="144"/>
  <c r="C23" i="144"/>
  <c r="B10" i="144"/>
  <c r="B9" i="6"/>
  <c r="B70" i="38"/>
  <c r="B19" i="38"/>
  <c r="B70" i="8"/>
  <c r="B16" i="12"/>
  <c r="B30" i="5"/>
  <c r="B32" i="39"/>
  <c r="H26" i="3"/>
  <c r="B27" i="29"/>
  <c r="B52" i="139"/>
  <c r="B30" i="137"/>
  <c r="B30" i="138"/>
  <c r="B30" i="143"/>
  <c r="B4" i="143"/>
  <c r="B27" i="142"/>
  <c r="F23" i="142"/>
  <c r="C23" i="142"/>
  <c r="E21" i="148" s="1"/>
  <c r="B10" i="142"/>
  <c r="B27" i="141"/>
  <c r="F23" i="141"/>
  <c r="C23" i="141"/>
  <c r="E25" i="148" s="1"/>
  <c r="B35" i="140"/>
  <c r="B27" i="140"/>
  <c r="F23" i="140"/>
  <c r="C23" i="140"/>
  <c r="E26" i="148" s="1"/>
  <c r="B68" i="139"/>
  <c r="B25" i="139"/>
  <c r="B24" i="139"/>
  <c r="B4" i="138"/>
  <c r="B4" i="137"/>
  <c r="F23" i="136"/>
  <c r="B27" i="136"/>
  <c r="C23" i="136"/>
  <c r="E19" i="148" s="1"/>
  <c r="B35" i="135"/>
  <c r="B27" i="135"/>
  <c r="F23" i="135"/>
  <c r="C23" i="135"/>
  <c r="E18" i="148" s="1"/>
  <c r="B27" i="36"/>
  <c r="B70" i="39"/>
  <c r="B70" i="11"/>
  <c r="B49" i="11"/>
  <c r="C31" i="21"/>
  <c r="C29" i="20"/>
  <c r="B15" i="9"/>
  <c r="B9" i="10"/>
  <c r="B9" i="40"/>
  <c r="B25" i="15"/>
  <c r="B24" i="15"/>
  <c r="B45" i="9"/>
  <c r="B15" i="39"/>
  <c r="B15" i="3"/>
  <c r="B32" i="38"/>
  <c r="B11" i="142" l="1"/>
  <c r="I21" i="148"/>
  <c r="B30" i="22"/>
  <c r="B30" i="12" l="1"/>
  <c r="B49" i="10"/>
  <c r="B32" i="14" l="1"/>
  <c r="B32" i="4" l="1"/>
  <c r="B49" i="38"/>
  <c r="B46" i="6" l="1"/>
  <c r="B49" i="40" l="1"/>
  <c r="B70" i="37"/>
  <c r="B9" i="32"/>
  <c r="C23" i="28"/>
  <c r="E33" i="148" s="1"/>
  <c r="C105" i="20"/>
  <c r="C103" i="20"/>
  <c r="C107" i="21"/>
  <c r="C105" i="21"/>
  <c r="C107" i="32"/>
  <c r="C105" i="32"/>
  <c r="C107" i="31"/>
  <c r="C105" i="31"/>
  <c r="C107" i="18"/>
  <c r="C105" i="18"/>
  <c r="B10" i="25" l="1"/>
  <c r="I22" i="148" s="1"/>
  <c r="C32" i="18"/>
  <c r="E21" i="34"/>
  <c r="B9" i="24"/>
  <c r="B45" i="3"/>
  <c r="B28" i="3"/>
  <c r="C23" i="29" l="1"/>
  <c r="E34" i="148" s="1"/>
  <c r="B19" i="10"/>
  <c r="B19" i="40" l="1"/>
  <c r="B51" i="116" l="1"/>
  <c r="B45" i="24" l="1"/>
  <c r="B19" i="1" l="1"/>
  <c r="F26" i="131"/>
  <c r="F27" i="131"/>
  <c r="F28" i="131" s="1"/>
  <c r="F35" i="131"/>
  <c r="F36" i="131"/>
  <c r="F39" i="131"/>
  <c r="F40" i="131" s="1"/>
  <c r="F19" i="123"/>
  <c r="F20" i="123"/>
  <c r="F26" i="123"/>
  <c r="F27" i="123"/>
  <c r="F28" i="123"/>
  <c r="F8" i="119"/>
  <c r="F30" i="119"/>
  <c r="F27" i="106"/>
  <c r="F28" i="106"/>
  <c r="F41" i="106"/>
  <c r="F42" i="106"/>
  <c r="F46" i="106"/>
  <c r="F47" i="106" s="1"/>
  <c r="F8" i="105"/>
  <c r="H45" i="43" l="1"/>
  <c r="H44" i="43"/>
  <c r="H40" i="43"/>
  <c r="H39" i="43"/>
  <c r="G45" i="43"/>
  <c r="G44" i="43"/>
  <c r="G41" i="43"/>
  <c r="G40" i="43"/>
  <c r="G39" i="43"/>
  <c r="G42" i="43"/>
  <c r="G43" i="43"/>
  <c r="G38" i="43"/>
  <c r="F45" i="43"/>
  <c r="F44" i="43"/>
  <c r="F40" i="43"/>
  <c r="F39" i="43"/>
  <c r="E45" i="43"/>
  <c r="E44" i="43"/>
  <c r="E40" i="43"/>
  <c r="E39" i="43"/>
  <c r="D45" i="43"/>
  <c r="D44" i="43"/>
  <c r="D40" i="43"/>
  <c r="D39" i="43"/>
  <c r="F26" i="121"/>
  <c r="F27" i="121"/>
  <c r="F28" i="121" s="1"/>
  <c r="F35" i="121"/>
  <c r="F36" i="121"/>
  <c r="F40" i="121"/>
  <c r="F41" i="121" s="1"/>
  <c r="F47" i="121"/>
  <c r="E8" i="103"/>
  <c r="E23" i="103"/>
  <c r="F31" i="119" l="1"/>
  <c r="E22" i="103" l="1"/>
  <c r="B9" i="3" l="1"/>
  <c r="M42" i="134" l="1"/>
  <c r="F26" i="101" l="1"/>
  <c r="F27" i="101"/>
  <c r="F28" i="101" s="1"/>
  <c r="F35" i="101"/>
  <c r="F36" i="101"/>
  <c r="F40" i="101"/>
  <c r="F41" i="101" s="1"/>
  <c r="B16" i="5" l="1"/>
  <c r="F26" i="130" l="1"/>
  <c r="F23" i="126" l="1"/>
  <c r="F24" i="126"/>
  <c r="F25" i="126"/>
  <c r="E8" i="124" l="1"/>
  <c r="E22" i="124" l="1"/>
  <c r="D35" i="134" l="1"/>
  <c r="G24" i="103"/>
  <c r="F7" i="112" l="1"/>
  <c r="K4" i="133"/>
  <c r="K5" i="133"/>
  <c r="K6" i="133"/>
  <c r="K7" i="133"/>
  <c r="K8" i="133"/>
  <c r="K9" i="133"/>
  <c r="K10" i="133"/>
  <c r="K11" i="133"/>
  <c r="K12" i="133"/>
  <c r="K13" i="133"/>
  <c r="K14" i="133"/>
  <c r="K15" i="133"/>
  <c r="K16" i="133"/>
  <c r="K17" i="133"/>
  <c r="K18" i="133"/>
  <c r="K19" i="133"/>
  <c r="K20" i="133"/>
  <c r="K21" i="133"/>
  <c r="K22" i="133"/>
  <c r="K23" i="133"/>
  <c r="K24" i="133"/>
  <c r="K25" i="133"/>
  <c r="K26" i="133"/>
  <c r="K27" i="133"/>
  <c r="K28" i="133"/>
  <c r="K29" i="133"/>
  <c r="K30" i="133"/>
  <c r="K3" i="133"/>
  <c r="B78" i="40"/>
  <c r="B78" i="39"/>
  <c r="B78" i="37"/>
  <c r="B19" i="37"/>
  <c r="B15" i="37"/>
  <c r="B30" i="27"/>
  <c r="B27" i="25"/>
  <c r="B68" i="15"/>
  <c r="B12" i="15"/>
  <c r="B78" i="14"/>
  <c r="B19" i="14"/>
  <c r="B15" i="14"/>
  <c r="F43" i="126" l="1"/>
  <c r="F22" i="119"/>
  <c r="H22" i="119" s="1"/>
  <c r="F34" i="134" s="1"/>
  <c r="B78" i="11"/>
  <c r="B19" i="11"/>
  <c r="B9" i="11"/>
  <c r="B78" i="10"/>
  <c r="B19" i="9"/>
  <c r="B78" i="8"/>
  <c r="B49" i="8"/>
  <c r="B19" i="8"/>
  <c r="B9" i="8"/>
  <c r="B28" i="6"/>
  <c r="B19" i="6"/>
  <c r="B15" i="6"/>
  <c r="B78" i="4"/>
  <c r="B19" i="4"/>
  <c r="B15" i="4"/>
  <c r="B30" i="7"/>
  <c r="F27" i="107"/>
  <c r="H27" i="107" s="1"/>
  <c r="F18" i="134" s="1"/>
  <c r="B19" i="3"/>
  <c r="G22" i="103"/>
  <c r="D13" i="134" s="1"/>
  <c r="B78" i="1"/>
  <c r="B78" i="38"/>
  <c r="E12" i="120"/>
  <c r="E13" i="120"/>
  <c r="F13" i="120" s="1"/>
  <c r="I35" i="134" s="1"/>
  <c r="F19" i="117"/>
  <c r="B26" i="133" s="1"/>
  <c r="D26" i="133" s="1"/>
  <c r="F26" i="133" s="1"/>
  <c r="H26" i="133" s="1"/>
  <c r="F20" i="117"/>
  <c r="H20" i="117" s="1"/>
  <c r="I20" i="117" s="1"/>
  <c r="E28" i="134" s="1"/>
  <c r="F22" i="117"/>
  <c r="F24" i="117"/>
  <c r="H24" i="117" s="1"/>
  <c r="I24" i="117" s="1"/>
  <c r="F28" i="134" s="1"/>
  <c r="F25" i="117"/>
  <c r="H25" i="117" s="1"/>
  <c r="F26" i="117"/>
  <c r="H26" i="117" s="1"/>
  <c r="G8" i="103"/>
  <c r="G8" i="124"/>
  <c r="F18" i="118"/>
  <c r="F19" i="118"/>
  <c r="H19" i="118" s="1"/>
  <c r="I19" i="118" s="1"/>
  <c r="E29" i="134" s="1"/>
  <c r="F24" i="118"/>
  <c r="H24" i="118" s="1"/>
  <c r="I24" i="118" s="1"/>
  <c r="F25" i="118"/>
  <c r="H25" i="118" s="1"/>
  <c r="I25" i="118" s="1"/>
  <c r="F26" i="111"/>
  <c r="H26" i="111" s="1"/>
  <c r="D23" i="134" s="1"/>
  <c r="F27" i="111"/>
  <c r="F28" i="111" s="1"/>
  <c r="F35" i="111"/>
  <c r="H35" i="111" s="1"/>
  <c r="I23" i="134" s="1"/>
  <c r="F36" i="111"/>
  <c r="H36" i="111" s="1"/>
  <c r="G23" i="134" s="1"/>
  <c r="F39" i="111"/>
  <c r="F40" i="111" s="1"/>
  <c r="F26" i="104"/>
  <c r="B14" i="133" s="1"/>
  <c r="D14" i="133" s="1"/>
  <c r="F14" i="133" s="1"/>
  <c r="H14" i="133" s="1"/>
  <c r="F27" i="104"/>
  <c r="F28" i="104" s="1"/>
  <c r="F35" i="104"/>
  <c r="H35" i="104" s="1"/>
  <c r="I15" i="134" s="1"/>
  <c r="F36" i="104"/>
  <c r="H36" i="104" s="1"/>
  <c r="G15" i="134" s="1"/>
  <c r="F40" i="104"/>
  <c r="H40" i="104" s="1"/>
  <c r="F15" i="134" s="1"/>
  <c r="B9" i="133"/>
  <c r="D9" i="133" s="1"/>
  <c r="F9" i="133" s="1"/>
  <c r="H9" i="133" s="1"/>
  <c r="F27" i="130"/>
  <c r="F28" i="130" s="1"/>
  <c r="F35" i="130"/>
  <c r="H35" i="130" s="1"/>
  <c r="I10" i="134" s="1"/>
  <c r="F36" i="130"/>
  <c r="H36" i="130" s="1"/>
  <c r="G10" i="134" s="1"/>
  <c r="F39" i="130"/>
  <c r="F40" i="130" s="1"/>
  <c r="H23" i="126"/>
  <c r="H24" i="126"/>
  <c r="F5" i="134" s="1"/>
  <c r="F26" i="102"/>
  <c r="B13" i="133" s="1"/>
  <c r="D13" i="133" s="1"/>
  <c r="F13" i="133" s="1"/>
  <c r="H13" i="133" s="1"/>
  <c r="F27" i="102"/>
  <c r="H27" i="102" s="1"/>
  <c r="E14" i="134" s="1"/>
  <c r="F39" i="102"/>
  <c r="H39" i="102" s="1"/>
  <c r="I14" i="134" s="1"/>
  <c r="F40" i="102"/>
  <c r="H40" i="102" s="1"/>
  <c r="G14" i="134" s="1"/>
  <c r="C28" i="62"/>
  <c r="E28" i="62" s="1"/>
  <c r="G28" i="62" s="1"/>
  <c r="I28" i="62" s="1"/>
  <c r="K28" i="62" s="1"/>
  <c r="D16" i="86"/>
  <c r="F9" i="84"/>
  <c r="F25" i="129"/>
  <c r="B7" i="133" s="1"/>
  <c r="D7" i="133" s="1"/>
  <c r="F7" i="133" s="1"/>
  <c r="H7" i="133" s="1"/>
  <c r="F26" i="129"/>
  <c r="H26" i="129" s="1"/>
  <c r="E8" i="134" s="1"/>
  <c r="F34" i="129"/>
  <c r="H34" i="129" s="1"/>
  <c r="I8" i="134" s="1"/>
  <c r="F35" i="129"/>
  <c r="H35" i="129" s="1"/>
  <c r="G8" i="134" s="1"/>
  <c r="F38" i="129"/>
  <c r="F39" i="129" s="1"/>
  <c r="H26" i="121"/>
  <c r="H35" i="121"/>
  <c r="I36" i="134" s="1"/>
  <c r="H36" i="121"/>
  <c r="G36" i="134" s="1"/>
  <c r="H40" i="121"/>
  <c r="F36" i="134" s="1"/>
  <c r="F8" i="112"/>
  <c r="H8" i="112" s="1"/>
  <c r="B16" i="133"/>
  <c r="D16" i="133" s="1"/>
  <c r="F16" i="133" s="1"/>
  <c r="H16" i="133" s="1"/>
  <c r="H28" i="106"/>
  <c r="E17" i="134" s="1"/>
  <c r="H41" i="106"/>
  <c r="I17" i="134" s="1"/>
  <c r="H42" i="106"/>
  <c r="G17" i="134" s="1"/>
  <c r="F22" i="107"/>
  <c r="H22" i="107" s="1"/>
  <c r="D18" i="134" s="1"/>
  <c r="B28" i="133"/>
  <c r="D28" i="133" s="1"/>
  <c r="F28" i="133" s="1"/>
  <c r="H28" i="133" s="1"/>
  <c r="F23" i="28"/>
  <c r="E31" i="124"/>
  <c r="G31" i="124" s="1"/>
  <c r="D41" i="134" s="1"/>
  <c r="C14" i="62"/>
  <c r="E14" i="62" s="1"/>
  <c r="G14" i="62" s="1"/>
  <c r="L14" i="62" s="1"/>
  <c r="U3" i="66"/>
  <c r="V3" i="66" s="1"/>
  <c r="E3" i="66" s="1"/>
  <c r="F31" i="112"/>
  <c r="H31" i="112" s="1"/>
  <c r="D24" i="134" s="1"/>
  <c r="F31" i="105"/>
  <c r="H31" i="105" s="1"/>
  <c r="D16" i="134" s="1"/>
  <c r="F36" i="113"/>
  <c r="F37" i="113"/>
  <c r="H37" i="113" s="1"/>
  <c r="F25" i="134" s="1"/>
  <c r="H8" i="105"/>
  <c r="F30" i="105"/>
  <c r="H30" i="105" s="1"/>
  <c r="E16" i="134" s="1"/>
  <c r="B1" i="133"/>
  <c r="B1" i="132" s="1"/>
  <c r="F39" i="128"/>
  <c r="H39" i="128" s="1"/>
  <c r="F7" i="134" s="1"/>
  <c r="F35" i="128"/>
  <c r="H35" i="128" s="1"/>
  <c r="I7" i="134" s="1"/>
  <c r="F27" i="128"/>
  <c r="H27" i="128" s="1"/>
  <c r="E7" i="134" s="1"/>
  <c r="F26" i="128"/>
  <c r="B6" i="133" s="1"/>
  <c r="D6" i="133" s="1"/>
  <c r="F6" i="133" s="1"/>
  <c r="H6" i="133" s="1"/>
  <c r="F36" i="128"/>
  <c r="H36" i="128" s="1"/>
  <c r="G7" i="134" s="1"/>
  <c r="F36" i="114"/>
  <c r="H36" i="114" s="1"/>
  <c r="G26" i="134" s="1"/>
  <c r="F35" i="114"/>
  <c r="H35" i="114" s="1"/>
  <c r="I26" i="134" s="1"/>
  <c r="F27" i="114"/>
  <c r="H27" i="114" s="1"/>
  <c r="E26" i="134" s="1"/>
  <c r="F26" i="114"/>
  <c r="H26" i="114" s="1"/>
  <c r="D26" i="134" s="1"/>
  <c r="F23" i="118"/>
  <c r="H23" i="118" s="1"/>
  <c r="I23" i="118" s="1"/>
  <c r="F29" i="134" s="1"/>
  <c r="I29" i="134"/>
  <c r="G29" i="134"/>
  <c r="F40" i="134"/>
  <c r="E40" i="134"/>
  <c r="D40" i="134"/>
  <c r="F39" i="134"/>
  <c r="E39" i="134"/>
  <c r="D39" i="134"/>
  <c r="F38" i="134"/>
  <c r="E38" i="134"/>
  <c r="D38" i="134"/>
  <c r="F37" i="134"/>
  <c r="E37" i="134"/>
  <c r="D37" i="134"/>
  <c r="I33" i="134"/>
  <c r="G33" i="134"/>
  <c r="F33" i="134"/>
  <c r="E33" i="134"/>
  <c r="D33" i="134"/>
  <c r="G32" i="134"/>
  <c r="F32" i="134"/>
  <c r="E32" i="134"/>
  <c r="D32" i="134"/>
  <c r="I31" i="134"/>
  <c r="G31" i="134"/>
  <c r="F31" i="134"/>
  <c r="E31" i="134"/>
  <c r="D31" i="134"/>
  <c r="I30" i="134"/>
  <c r="G30" i="134"/>
  <c r="F30" i="134"/>
  <c r="E30" i="134"/>
  <c r="D30" i="134"/>
  <c r="D25" i="134"/>
  <c r="K42" i="134"/>
  <c r="H42" i="134"/>
  <c r="C7" i="132" s="1"/>
  <c r="D34" i="133"/>
  <c r="F34" i="133" s="1"/>
  <c r="H34" i="133" s="1"/>
  <c r="D33" i="133"/>
  <c r="F33" i="133" s="1"/>
  <c r="H33" i="133" s="1"/>
  <c r="D32" i="133"/>
  <c r="F32" i="133" s="1"/>
  <c r="H32" i="133" s="1"/>
  <c r="D31" i="133"/>
  <c r="F31" i="133" s="1"/>
  <c r="H31" i="133" s="1"/>
  <c r="C44" i="132"/>
  <c r="D20" i="132"/>
  <c r="H35" i="131"/>
  <c r="I9" i="134" s="1"/>
  <c r="H27" i="131"/>
  <c r="H26" i="131"/>
  <c r="D9" i="134" s="1"/>
  <c r="H36" i="131"/>
  <c r="G9" i="134" s="1"/>
  <c r="F46" i="131"/>
  <c r="F6" i="131"/>
  <c r="F46" i="130"/>
  <c r="F6" i="130"/>
  <c r="F45" i="129"/>
  <c r="F6" i="129"/>
  <c r="F46" i="128"/>
  <c r="F6" i="128"/>
  <c r="F25" i="127"/>
  <c r="F24" i="127"/>
  <c r="H24" i="127" s="1"/>
  <c r="F6" i="134" s="1"/>
  <c r="F23" i="127"/>
  <c r="H23" i="127" s="1"/>
  <c r="F3" i="127"/>
  <c r="F2" i="127"/>
  <c r="F24" i="125"/>
  <c r="H24" i="125" s="1"/>
  <c r="F4" i="134" s="1"/>
  <c r="F23" i="125"/>
  <c r="H23" i="125" s="1"/>
  <c r="F3" i="125"/>
  <c r="F2" i="125"/>
  <c r="E30" i="124"/>
  <c r="G30" i="124" s="1"/>
  <c r="E41" i="134" s="1"/>
  <c r="H28" i="123"/>
  <c r="I28" i="123" s="1"/>
  <c r="G11" i="134" s="1"/>
  <c r="H27" i="123"/>
  <c r="I27" i="123" s="1"/>
  <c r="I11" i="134" s="1"/>
  <c r="H26" i="123"/>
  <c r="I26" i="123" s="1"/>
  <c r="F11" i="134" s="1"/>
  <c r="H20" i="123"/>
  <c r="I20" i="123" s="1"/>
  <c r="E11" i="134" s="1"/>
  <c r="H19" i="123"/>
  <c r="B5" i="123"/>
  <c r="F5" i="123"/>
  <c r="F24" i="122"/>
  <c r="F23" i="122"/>
  <c r="H23" i="122" s="1"/>
  <c r="E37" i="120"/>
  <c r="F37" i="120" s="1"/>
  <c r="F35" i="134" s="1"/>
  <c r="E36" i="120"/>
  <c r="H8" i="119"/>
  <c r="F4" i="118"/>
  <c r="B4" i="118"/>
  <c r="F5" i="117"/>
  <c r="B5" i="117"/>
  <c r="E51" i="116"/>
  <c r="F51" i="116" s="1"/>
  <c r="G51" i="116" s="1"/>
  <c r="G27" i="134" s="1"/>
  <c r="E45" i="116"/>
  <c r="F45" i="116" s="1"/>
  <c r="G45" i="116" s="1"/>
  <c r="F27" i="134" s="1"/>
  <c r="E31" i="116"/>
  <c r="F31" i="116" s="1"/>
  <c r="G31" i="116" s="1"/>
  <c r="E27" i="134" s="1"/>
  <c r="E30" i="116"/>
  <c r="F46" i="114"/>
  <c r="F6" i="114"/>
  <c r="F13" i="113"/>
  <c r="H13" i="113" s="1"/>
  <c r="I25" i="134" s="1"/>
  <c r="F12" i="113"/>
  <c r="H12" i="113" s="1"/>
  <c r="G25" i="134" s="1"/>
  <c r="F30" i="112"/>
  <c r="H30" i="112" s="1"/>
  <c r="E24" i="134" s="1"/>
  <c r="H24" i="112"/>
  <c r="H23" i="112"/>
  <c r="F46" i="111"/>
  <c r="F6" i="111"/>
  <c r="F39" i="110"/>
  <c r="F40" i="110" s="1"/>
  <c r="F36" i="110"/>
  <c r="H36" i="110" s="1"/>
  <c r="G22" i="134" s="1"/>
  <c r="F35" i="110"/>
  <c r="H35" i="110" s="1"/>
  <c r="I22" i="134" s="1"/>
  <c r="F27" i="110"/>
  <c r="F28" i="110" s="1"/>
  <c r="F26" i="110"/>
  <c r="B21" i="133" s="1"/>
  <c r="D21" i="133" s="1"/>
  <c r="F21" i="133" s="1"/>
  <c r="H21" i="133" s="1"/>
  <c r="F46" i="110"/>
  <c r="F6" i="110"/>
  <c r="E46" i="109"/>
  <c r="E47" i="109" s="1"/>
  <c r="E41" i="109"/>
  <c r="G41" i="109" s="1"/>
  <c r="G20" i="134" s="1"/>
  <c r="E40" i="109"/>
  <c r="G40" i="109" s="1"/>
  <c r="I20" i="134" s="1"/>
  <c r="E28" i="109"/>
  <c r="G28" i="109" s="1"/>
  <c r="E20" i="134" s="1"/>
  <c r="E27" i="109"/>
  <c r="B19" i="133" s="1"/>
  <c r="D19" i="133" s="1"/>
  <c r="F19" i="133" s="1"/>
  <c r="H19" i="133" s="1"/>
  <c r="E40" i="108"/>
  <c r="E41" i="108" s="1"/>
  <c r="E36" i="108"/>
  <c r="G36" i="108" s="1"/>
  <c r="G19" i="134" s="1"/>
  <c r="E35" i="108"/>
  <c r="G35" i="108" s="1"/>
  <c r="I19" i="134" s="1"/>
  <c r="E27" i="108"/>
  <c r="G27" i="108" s="1"/>
  <c r="E19" i="134" s="1"/>
  <c r="E26" i="108"/>
  <c r="B18" i="133" s="1"/>
  <c r="D18" i="133" s="1"/>
  <c r="F18" i="133" s="1"/>
  <c r="H18" i="133" s="1"/>
  <c r="E47" i="108"/>
  <c r="E6" i="108"/>
  <c r="F23" i="107"/>
  <c r="H23" i="107" s="1"/>
  <c r="E18" i="134" s="1"/>
  <c r="F8" i="107"/>
  <c r="H8" i="107" s="1"/>
  <c r="F6" i="104"/>
  <c r="F44" i="102"/>
  <c r="G23" i="103"/>
  <c r="E13" i="134" s="1"/>
  <c r="H36" i="101"/>
  <c r="G12" i="134" s="1"/>
  <c r="H35" i="101"/>
  <c r="I12" i="134" s="1"/>
  <c r="B11" i="133"/>
  <c r="D11" i="133" s="1"/>
  <c r="F11" i="133" s="1"/>
  <c r="F6" i="101"/>
  <c r="F47" i="101"/>
  <c r="B21" i="92"/>
  <c r="B22" i="92"/>
  <c r="E30" i="43"/>
  <c r="F43" i="127"/>
  <c r="F39" i="114"/>
  <c r="H39" i="114" s="1"/>
  <c r="F26" i="134" s="1"/>
  <c r="B4" i="17"/>
  <c r="E4" i="86"/>
  <c r="B4" i="50"/>
  <c r="B27" i="50"/>
  <c r="B28" i="50" s="1"/>
  <c r="C5" i="62" s="1"/>
  <c r="E5" i="62" s="1"/>
  <c r="G5" i="62" s="1"/>
  <c r="B42" i="50"/>
  <c r="B43" i="50"/>
  <c r="B4" i="61"/>
  <c r="B28" i="61"/>
  <c r="C6" i="62" s="1"/>
  <c r="E6" i="62" s="1"/>
  <c r="G6" i="62" s="1"/>
  <c r="I6" i="62" s="1"/>
  <c r="K6" i="62" s="1"/>
  <c r="B42" i="61"/>
  <c r="B43" i="61"/>
  <c r="B4" i="16"/>
  <c r="D7" i="43"/>
  <c r="B4" i="48"/>
  <c r="B29" i="48"/>
  <c r="B30" i="48" s="1"/>
  <c r="B44" i="48"/>
  <c r="B45" i="48"/>
  <c r="B4" i="45"/>
  <c r="B27" i="45"/>
  <c r="B28" i="45" s="1"/>
  <c r="B29" i="45" s="1"/>
  <c r="U8" i="66" s="1"/>
  <c r="V8" i="66" s="1"/>
  <c r="E8" i="66" s="1"/>
  <c r="B43" i="45"/>
  <c r="B44" i="45"/>
  <c r="B4" i="49"/>
  <c r="B10" i="49"/>
  <c r="G16" i="49"/>
  <c r="B23" i="49"/>
  <c r="F33" i="43" s="1"/>
  <c r="B27" i="49"/>
  <c r="B28" i="49" s="1"/>
  <c r="B42" i="49"/>
  <c r="B43" i="49"/>
  <c r="B10" i="95"/>
  <c r="B13" i="99"/>
  <c r="B4" i="59"/>
  <c r="B10" i="59"/>
  <c r="B11" i="59" s="1"/>
  <c r="B22" i="59"/>
  <c r="B23" i="59"/>
  <c r="B38" i="59"/>
  <c r="C11" i="62" s="1"/>
  <c r="E11" i="62" s="1"/>
  <c r="G11" i="62" s="1"/>
  <c r="B39" i="59"/>
  <c r="B55" i="59" s="1"/>
  <c r="B10" i="55"/>
  <c r="B11" i="55" s="1"/>
  <c r="B15" i="55"/>
  <c r="B22" i="55"/>
  <c r="B23" i="55"/>
  <c r="E34" i="55"/>
  <c r="B38" i="55"/>
  <c r="C12" i="62" s="1"/>
  <c r="E12" i="62" s="1"/>
  <c r="G12" i="62" s="1"/>
  <c r="L12" i="62" s="1"/>
  <c r="B39" i="55"/>
  <c r="B4" i="26"/>
  <c r="B4" i="94"/>
  <c r="B10" i="94"/>
  <c r="B28" i="94"/>
  <c r="B42" i="94"/>
  <c r="B43" i="94"/>
  <c r="B4" i="93"/>
  <c r="B10" i="93"/>
  <c r="B28" i="93"/>
  <c r="B29" i="93" s="1"/>
  <c r="B43" i="93"/>
  <c r="B44" i="93"/>
  <c r="D15" i="86"/>
  <c r="E16" i="86"/>
  <c r="B35" i="71"/>
  <c r="E26" i="6"/>
  <c r="E24" i="9"/>
  <c r="E24" i="3"/>
  <c r="D4" i="42"/>
  <c r="F7" i="84"/>
  <c r="D25" i="36"/>
  <c r="F8" i="84"/>
  <c r="B27" i="51"/>
  <c r="B24" i="83" s="1"/>
  <c r="B32" i="83"/>
  <c r="D17" i="43"/>
  <c r="B11" i="54"/>
  <c r="C7" i="83" s="1"/>
  <c r="C24" i="54"/>
  <c r="E18" i="43" s="1"/>
  <c r="B28" i="54"/>
  <c r="C24" i="83" s="1"/>
  <c r="B36" i="54"/>
  <c r="C32" i="83" s="1"/>
  <c r="B10" i="52"/>
  <c r="D7" i="83" s="1"/>
  <c r="B27" i="52"/>
  <c r="D24" i="83" s="1"/>
  <c r="B35" i="52"/>
  <c r="B36" i="52" s="1"/>
  <c r="D33" i="83" s="1"/>
  <c r="B41" i="52"/>
  <c r="D19" i="43" s="1"/>
  <c r="B10" i="89"/>
  <c r="F7" i="83" s="1"/>
  <c r="C23" i="89"/>
  <c r="B27" i="89"/>
  <c r="F24" i="83" s="1"/>
  <c r="B35" i="89"/>
  <c r="F32" i="83" s="1"/>
  <c r="B10" i="90"/>
  <c r="G7" i="83" s="1"/>
  <c r="C23" i="90"/>
  <c r="B27" i="90"/>
  <c r="G24" i="83" s="1"/>
  <c r="B35" i="90"/>
  <c r="G32" i="83" s="1"/>
  <c r="B10" i="91"/>
  <c r="H7" i="83" s="1"/>
  <c r="C23" i="91"/>
  <c r="B27" i="91"/>
  <c r="H24" i="83" s="1"/>
  <c r="B35" i="91"/>
  <c r="H32" i="83" s="1"/>
  <c r="B4" i="44"/>
  <c r="B42" i="44"/>
  <c r="B43" i="44"/>
  <c r="B10" i="47"/>
  <c r="E31" i="86" s="1"/>
  <c r="C23" i="47"/>
  <c r="E21" i="43" s="1"/>
  <c r="F23" i="47"/>
  <c r="B27" i="47"/>
  <c r="C41" i="47"/>
  <c r="B10" i="56"/>
  <c r="E32" i="86" s="1"/>
  <c r="D22" i="56"/>
  <c r="B27" i="56"/>
  <c r="B41" i="56"/>
  <c r="F23" i="56" s="1"/>
  <c r="E33" i="86"/>
  <c r="B10" i="58"/>
  <c r="B11" i="58" s="1"/>
  <c r="B28" i="58"/>
  <c r="B42" i="58"/>
  <c r="B10" i="46"/>
  <c r="B28" i="46"/>
  <c r="B42" i="46"/>
  <c r="B10" i="57"/>
  <c r="B11" i="57" s="1"/>
  <c r="E36" i="86" s="1"/>
  <c r="B28" i="57"/>
  <c r="B36" i="57"/>
  <c r="B42" i="57"/>
  <c r="C31" i="62" s="1"/>
  <c r="E31" i="62" s="1"/>
  <c r="G31" i="62" s="1"/>
  <c r="C23" i="53"/>
  <c r="F23" i="53"/>
  <c r="B35" i="53"/>
  <c r="B10" i="96"/>
  <c r="C23" i="96"/>
  <c r="F23" i="96"/>
  <c r="B27" i="96"/>
  <c r="B35" i="96"/>
  <c r="B10" i="98"/>
  <c r="C23" i="98"/>
  <c r="F23" i="98"/>
  <c r="B27" i="98"/>
  <c r="B35" i="98"/>
  <c r="B10" i="97"/>
  <c r="C23" i="97"/>
  <c r="B27" i="97"/>
  <c r="B35" i="97"/>
  <c r="B10" i="64"/>
  <c r="E26" i="86" s="1"/>
  <c r="C23" i="64"/>
  <c r="X26" i="66" s="1"/>
  <c r="Y26" i="66" s="1"/>
  <c r="F26" i="66" s="1"/>
  <c r="B27" i="64"/>
  <c r="B35" i="64"/>
  <c r="B10" i="63"/>
  <c r="E27" i="86" s="1"/>
  <c r="C23" i="63"/>
  <c r="X25" i="66" s="1"/>
  <c r="Y25" i="66" s="1"/>
  <c r="F25" i="66" s="1"/>
  <c r="F23" i="63"/>
  <c r="B27" i="63"/>
  <c r="B35" i="63"/>
  <c r="C24" i="65"/>
  <c r="X24" i="66" s="1"/>
  <c r="Y24" i="66" s="1"/>
  <c r="F24" i="66" s="1"/>
  <c r="B28" i="65"/>
  <c r="B23" i="60"/>
  <c r="B39" i="60" s="1"/>
  <c r="B42" i="60" s="1"/>
  <c r="B43" i="60" s="1"/>
  <c r="B61" i="60"/>
  <c r="E26" i="87"/>
  <c r="B23" i="68"/>
  <c r="D11" i="84" s="1"/>
  <c r="B36" i="68"/>
  <c r="E26" i="100"/>
  <c r="B23" i="70"/>
  <c r="D12" i="84" s="1"/>
  <c r="B36" i="70"/>
  <c r="B23" i="72"/>
  <c r="B39" i="72" s="1"/>
  <c r="B42" i="72" s="1"/>
  <c r="B43" i="72" s="1"/>
  <c r="B36" i="72"/>
  <c r="B9" i="73"/>
  <c r="C11" i="73"/>
  <c r="B11" i="73" s="1"/>
  <c r="D14" i="84" s="1"/>
  <c r="B18" i="73"/>
  <c r="B20" i="73" s="1"/>
  <c r="C20" i="73"/>
  <c r="C31" i="73"/>
  <c r="C113" i="73"/>
  <c r="C115" i="73"/>
  <c r="B9" i="74"/>
  <c r="B11" i="74"/>
  <c r="E11" i="74"/>
  <c r="B13" i="74"/>
  <c r="C14" i="74"/>
  <c r="B14" i="74" s="1"/>
  <c r="B18" i="74"/>
  <c r="C23" i="74"/>
  <c r="C24" i="74" s="1"/>
  <c r="B24" i="74" s="1"/>
  <c r="C32" i="74"/>
  <c r="B9" i="78"/>
  <c r="B11" i="78"/>
  <c r="E11" i="78"/>
  <c r="B13" i="78"/>
  <c r="C14" i="78"/>
  <c r="B14" i="78" s="1"/>
  <c r="B18" i="78"/>
  <c r="C23" i="78"/>
  <c r="E18" i="78" s="1"/>
  <c r="C32" i="78"/>
  <c r="B9" i="80"/>
  <c r="B11" i="80" s="1"/>
  <c r="D15" i="84" s="1"/>
  <c r="C11" i="80"/>
  <c r="B18" i="80"/>
  <c r="B20" i="80" s="1"/>
  <c r="C20" i="80"/>
  <c r="C31" i="80"/>
  <c r="H104" i="80"/>
  <c r="C113" i="80"/>
  <c r="C115" i="80"/>
  <c r="B9" i="77"/>
  <c r="B11" i="77"/>
  <c r="E11" i="77"/>
  <c r="B13" i="77"/>
  <c r="C14" i="77"/>
  <c r="B14" i="77" s="1"/>
  <c r="B18" i="77"/>
  <c r="C23" i="77"/>
  <c r="C24" i="77" s="1"/>
  <c r="B24" i="77" s="1"/>
  <c r="C32" i="77"/>
  <c r="B9" i="81"/>
  <c r="B11" i="81" s="1"/>
  <c r="D16" i="84" s="1"/>
  <c r="C11" i="81"/>
  <c r="B18" i="81"/>
  <c r="B20" i="81" s="1"/>
  <c r="C20" i="81"/>
  <c r="C31" i="81"/>
  <c r="C112" i="81"/>
  <c r="C114" i="81"/>
  <c r="B9" i="79"/>
  <c r="B11" i="79"/>
  <c r="E11" i="79"/>
  <c r="B13" i="79"/>
  <c r="C14" i="79"/>
  <c r="B14" i="79" s="1"/>
  <c r="B18" i="79"/>
  <c r="C23" i="79"/>
  <c r="C24" i="79" s="1"/>
  <c r="B24" i="79" s="1"/>
  <c r="C32" i="79"/>
  <c r="B9" i="76"/>
  <c r="B11" i="76"/>
  <c r="E11" i="76"/>
  <c r="B13" i="76"/>
  <c r="C14" i="76"/>
  <c r="B14" i="76" s="1"/>
  <c r="B18" i="76"/>
  <c r="C23" i="76"/>
  <c r="B23" i="76" s="1"/>
  <c r="C32" i="76"/>
  <c r="B9" i="82"/>
  <c r="B11" i="82" s="1"/>
  <c r="D17" i="84" s="1"/>
  <c r="B18" i="82"/>
  <c r="B20" i="82" s="1"/>
  <c r="B112" i="82"/>
  <c r="B114" i="82"/>
  <c r="B9" i="75"/>
  <c r="B11" i="75"/>
  <c r="E11" i="75"/>
  <c r="B13" i="75"/>
  <c r="C14" i="75"/>
  <c r="B14" i="75" s="1"/>
  <c r="B18" i="75"/>
  <c r="C23" i="75"/>
  <c r="B23" i="75" s="1"/>
  <c r="C32" i="75"/>
  <c r="B7" i="20"/>
  <c r="D8" i="42"/>
  <c r="B16" i="20"/>
  <c r="C101" i="20" s="1"/>
  <c r="C111" i="20" s="1"/>
  <c r="F8" i="42"/>
  <c r="B9" i="69"/>
  <c r="C11" i="69"/>
  <c r="B11" i="69" s="1"/>
  <c r="B18" i="69"/>
  <c r="B20" i="69" s="1"/>
  <c r="C20" i="69"/>
  <c r="C31" i="69"/>
  <c r="C113" i="69"/>
  <c r="C115" i="69"/>
  <c r="B11" i="32"/>
  <c r="C103" i="32"/>
  <c r="C113" i="32" s="1"/>
  <c r="F9" i="42"/>
  <c r="G18" i="21"/>
  <c r="B18" i="21"/>
  <c r="C103" i="21" s="1"/>
  <c r="C113" i="21" s="1"/>
  <c r="F10" i="42"/>
  <c r="B9" i="31"/>
  <c r="D11" i="42"/>
  <c r="C103" i="31"/>
  <c r="C113" i="31" s="1"/>
  <c r="F11" i="42"/>
  <c r="B9" i="19"/>
  <c r="D12" i="42"/>
  <c r="B18" i="19"/>
  <c r="C113" i="19" s="1"/>
  <c r="F12" i="42"/>
  <c r="B9" i="18"/>
  <c r="B11" i="18"/>
  <c r="B18" i="18"/>
  <c r="C103" i="18" s="1"/>
  <c r="C113" i="18" s="1"/>
  <c r="F13" i="42"/>
  <c r="B21" i="88"/>
  <c r="B22" i="88"/>
  <c r="E23" i="5"/>
  <c r="E23" i="7"/>
  <c r="G22" i="124"/>
  <c r="F41" i="134" s="1"/>
  <c r="F22" i="112"/>
  <c r="H22" i="112" s="1"/>
  <c r="F24" i="134" s="1"/>
  <c r="E23" i="12"/>
  <c r="C13" i="62"/>
  <c r="E13" i="62" s="1"/>
  <c r="G13" i="62" s="1"/>
  <c r="I13" i="62" s="1"/>
  <c r="K13" i="62" s="1"/>
  <c r="C15" i="62"/>
  <c r="E15" i="62" s="1"/>
  <c r="G15" i="62" s="1"/>
  <c r="L15" i="62" s="1"/>
  <c r="C16" i="62"/>
  <c r="E16" i="62" s="1"/>
  <c r="G16" i="62" s="1"/>
  <c r="I16" i="62" s="1"/>
  <c r="K16" i="62" s="1"/>
  <c r="C17" i="62"/>
  <c r="E17" i="62" s="1"/>
  <c r="G17" i="62" s="1"/>
  <c r="C18" i="62"/>
  <c r="E18" i="62" s="1"/>
  <c r="G18" i="62" s="1"/>
  <c r="C20" i="62"/>
  <c r="E20" i="62" s="1"/>
  <c r="G20" i="62" s="1"/>
  <c r="I20" i="62" s="1"/>
  <c r="K20" i="62" s="1"/>
  <c r="C21" i="62"/>
  <c r="E21" i="62" s="1"/>
  <c r="G21" i="62" s="1"/>
  <c r="L21" i="62" s="1"/>
  <c r="E22" i="62"/>
  <c r="G22" i="62" s="1"/>
  <c r="I22" i="62" s="1"/>
  <c r="K22" i="62" s="1"/>
  <c r="C23" i="62"/>
  <c r="E23" i="62" s="1"/>
  <c r="G23" i="62" s="1"/>
  <c r="I23" i="62" s="1"/>
  <c r="K23" i="62" s="1"/>
  <c r="C24" i="62"/>
  <c r="E24" i="62" s="1"/>
  <c r="G24" i="62" s="1"/>
  <c r="C25" i="62"/>
  <c r="E25" i="62" s="1"/>
  <c r="G25" i="62" s="1"/>
  <c r="C26" i="62"/>
  <c r="E26" i="62" s="1"/>
  <c r="G26" i="62" s="1"/>
  <c r="E30" i="62"/>
  <c r="G30" i="62" s="1"/>
  <c r="L30" i="62" s="1"/>
  <c r="C32" i="62"/>
  <c r="E32" i="62" s="1"/>
  <c r="G32" i="62" s="1"/>
  <c r="C33" i="62"/>
  <c r="E33" i="62" s="1"/>
  <c r="G33" i="62" s="1"/>
  <c r="I33" i="62" s="1"/>
  <c r="K33" i="62" s="1"/>
  <c r="H34" i="62"/>
  <c r="J34" i="62"/>
  <c r="D4" i="43"/>
  <c r="E4" i="43"/>
  <c r="G4" i="43"/>
  <c r="H4" i="43"/>
  <c r="D5" i="43"/>
  <c r="E5" i="43"/>
  <c r="F5" i="43"/>
  <c r="G5" i="43"/>
  <c r="H5" i="43"/>
  <c r="D6" i="43"/>
  <c r="E6" i="43"/>
  <c r="F6" i="43"/>
  <c r="G6" i="43"/>
  <c r="H6" i="43"/>
  <c r="E7" i="43"/>
  <c r="F7" i="43"/>
  <c r="G7" i="43"/>
  <c r="H7" i="43"/>
  <c r="D8" i="43"/>
  <c r="E8" i="43"/>
  <c r="F8" i="43"/>
  <c r="G8" i="43"/>
  <c r="H8" i="43"/>
  <c r="D9" i="43"/>
  <c r="E9" i="43"/>
  <c r="F9" i="43"/>
  <c r="G9" i="43"/>
  <c r="H9" i="43"/>
  <c r="E10" i="43"/>
  <c r="F10" i="43"/>
  <c r="G10" i="43"/>
  <c r="H10" i="43"/>
  <c r="D11" i="43"/>
  <c r="E11" i="43"/>
  <c r="F11" i="43"/>
  <c r="G11" i="43"/>
  <c r="H11" i="43"/>
  <c r="D12" i="43"/>
  <c r="E12" i="43"/>
  <c r="F12" i="43"/>
  <c r="G12" i="43"/>
  <c r="H12" i="43"/>
  <c r="D13" i="43"/>
  <c r="E13" i="43"/>
  <c r="F13" i="43"/>
  <c r="G13" i="43"/>
  <c r="H13" i="43"/>
  <c r="D14" i="43"/>
  <c r="E14" i="43"/>
  <c r="F14" i="43"/>
  <c r="G14" i="43"/>
  <c r="H14" i="43"/>
  <c r="D15" i="43"/>
  <c r="E15" i="43"/>
  <c r="F15" i="43"/>
  <c r="G15" i="43"/>
  <c r="H15" i="43"/>
  <c r="D16" i="43"/>
  <c r="E16" i="43"/>
  <c r="F16" i="43"/>
  <c r="G16" i="43"/>
  <c r="H16" i="43"/>
  <c r="F17" i="43"/>
  <c r="H17" i="43"/>
  <c r="D18" i="43"/>
  <c r="F18" i="43"/>
  <c r="H18" i="43"/>
  <c r="F19" i="43"/>
  <c r="H19" i="43"/>
  <c r="D20" i="43"/>
  <c r="E20" i="43"/>
  <c r="F20" i="43"/>
  <c r="G20" i="43"/>
  <c r="H20" i="43"/>
  <c r="D21" i="43"/>
  <c r="F21" i="43"/>
  <c r="D22" i="43"/>
  <c r="F22" i="43"/>
  <c r="D23" i="43"/>
  <c r="E23" i="43"/>
  <c r="F23" i="43"/>
  <c r="D24" i="43"/>
  <c r="E24" i="43"/>
  <c r="F24" i="43"/>
  <c r="D25" i="43"/>
  <c r="E25" i="43"/>
  <c r="F25" i="43"/>
  <c r="D26" i="43"/>
  <c r="E26" i="43"/>
  <c r="F26" i="43"/>
  <c r="D27" i="43"/>
  <c r="E27" i="43"/>
  <c r="D28" i="43"/>
  <c r="E28" i="43"/>
  <c r="F28" i="43"/>
  <c r="D29" i="43"/>
  <c r="F29" i="43"/>
  <c r="D30" i="43"/>
  <c r="F30" i="43"/>
  <c r="D32" i="43"/>
  <c r="E32" i="43"/>
  <c r="F32" i="43"/>
  <c r="G32" i="43"/>
  <c r="D33" i="43"/>
  <c r="E33" i="43"/>
  <c r="G33" i="43"/>
  <c r="E34" i="43"/>
  <c r="F34" i="43"/>
  <c r="G34" i="43"/>
  <c r="H34" i="43"/>
  <c r="D35" i="43"/>
  <c r="F35" i="43"/>
  <c r="D36" i="43"/>
  <c r="E36" i="43"/>
  <c r="F36" i="43"/>
  <c r="G36" i="43"/>
  <c r="H36" i="43"/>
  <c r="D37" i="43"/>
  <c r="E37" i="43"/>
  <c r="F37" i="43"/>
  <c r="G37" i="43"/>
  <c r="H37" i="43"/>
  <c r="D38" i="43"/>
  <c r="E38" i="43"/>
  <c r="F38" i="43"/>
  <c r="H38" i="43"/>
  <c r="D41" i="43"/>
  <c r="E41" i="43"/>
  <c r="F41" i="43"/>
  <c r="H41" i="43"/>
  <c r="D42" i="43"/>
  <c r="E42" i="43"/>
  <c r="F42" i="43"/>
  <c r="H42" i="43"/>
  <c r="D43" i="43"/>
  <c r="E43" i="43"/>
  <c r="F43" i="43"/>
  <c r="H43" i="43"/>
  <c r="D4" i="84"/>
  <c r="E4" i="84"/>
  <c r="F4" i="84"/>
  <c r="D5" i="84"/>
  <c r="E5" i="84"/>
  <c r="F5" i="84"/>
  <c r="E6" i="84"/>
  <c r="F6" i="84"/>
  <c r="D7" i="84"/>
  <c r="E7" i="84"/>
  <c r="D8" i="84"/>
  <c r="E8" i="84"/>
  <c r="E9" i="84"/>
  <c r="F10" i="84"/>
  <c r="F11" i="84"/>
  <c r="F12" i="84"/>
  <c r="F13" i="84"/>
  <c r="F14" i="84"/>
  <c r="F15" i="84"/>
  <c r="F16" i="84"/>
  <c r="F17" i="84"/>
  <c r="E1" i="66"/>
  <c r="X3" i="66"/>
  <c r="Y3" i="66" s="1"/>
  <c r="F3" i="66" s="1"/>
  <c r="AD3" i="66"/>
  <c r="AE3" i="66" s="1"/>
  <c r="H3" i="66" s="1"/>
  <c r="AH3" i="66"/>
  <c r="I3" i="66" s="1"/>
  <c r="AJ3" i="66"/>
  <c r="AK3" i="66" s="1"/>
  <c r="J3" i="66" s="1"/>
  <c r="X4" i="66"/>
  <c r="Y4" i="66" s="1"/>
  <c r="F4" i="66" s="1"/>
  <c r="AA4" i="66"/>
  <c r="AB4" i="66" s="1"/>
  <c r="G4" i="66" s="1"/>
  <c r="AD4" i="66"/>
  <c r="AE4" i="66" s="1"/>
  <c r="H4" i="66" s="1"/>
  <c r="AH4" i="66"/>
  <c r="I4" i="66" s="1"/>
  <c r="AJ4" i="66"/>
  <c r="AK4" i="66" s="1"/>
  <c r="J4" i="66" s="1"/>
  <c r="X5" i="66"/>
  <c r="Y5" i="66" s="1"/>
  <c r="F5" i="66" s="1"/>
  <c r="AA5" i="66"/>
  <c r="AB5" i="66" s="1"/>
  <c r="G5" i="66" s="1"/>
  <c r="AD5" i="66"/>
  <c r="AE5" i="66" s="1"/>
  <c r="H5" i="66" s="1"/>
  <c r="AH5" i="66"/>
  <c r="I5" i="66" s="1"/>
  <c r="AJ5" i="66"/>
  <c r="AK5" i="66" s="1"/>
  <c r="J5" i="66" s="1"/>
  <c r="X6" i="66"/>
  <c r="Y6" i="66" s="1"/>
  <c r="F6" i="66" s="1"/>
  <c r="AA6" i="66"/>
  <c r="AB6" i="66" s="1"/>
  <c r="G6" i="66" s="1"/>
  <c r="AD6" i="66"/>
  <c r="AE6" i="66" s="1"/>
  <c r="H6" i="66" s="1"/>
  <c r="AH6" i="66"/>
  <c r="I6" i="66" s="1"/>
  <c r="AJ6" i="66"/>
  <c r="AK6" i="66" s="1"/>
  <c r="J6" i="66" s="1"/>
  <c r="X7" i="66"/>
  <c r="Y7" i="66" s="1"/>
  <c r="F7" i="66" s="1"/>
  <c r="AA7" i="66"/>
  <c r="AB7" i="66" s="1"/>
  <c r="G7" i="66" s="1"/>
  <c r="AD7" i="66"/>
  <c r="AE7" i="66" s="1"/>
  <c r="H7" i="66" s="1"/>
  <c r="AH7" i="66"/>
  <c r="I7" i="66" s="1"/>
  <c r="AJ7" i="66"/>
  <c r="AK7" i="66" s="1"/>
  <c r="J7" i="66" s="1"/>
  <c r="X8" i="66"/>
  <c r="Y8" i="66" s="1"/>
  <c r="F8" i="66" s="1"/>
  <c r="AA8" i="66"/>
  <c r="AB8" i="66" s="1"/>
  <c r="G8" i="66" s="1"/>
  <c r="AD8" i="66"/>
  <c r="AE8" i="66" s="1"/>
  <c r="H8" i="66" s="1"/>
  <c r="AH8" i="66"/>
  <c r="I8" i="66" s="1"/>
  <c r="AJ8" i="66"/>
  <c r="AK8" i="66" s="1"/>
  <c r="J8" i="66" s="1"/>
  <c r="X9" i="66"/>
  <c r="Y9" i="66" s="1"/>
  <c r="F9" i="66" s="1"/>
  <c r="AD9" i="66"/>
  <c r="AE9" i="66" s="1"/>
  <c r="H9" i="66" s="1"/>
  <c r="AH9" i="66"/>
  <c r="I9" i="66" s="1"/>
  <c r="AJ9" i="66"/>
  <c r="AK9" i="66" s="1"/>
  <c r="J9" i="66" s="1"/>
  <c r="X10" i="66"/>
  <c r="Y10" i="66" s="1"/>
  <c r="F10" i="66" s="1"/>
  <c r="AA10" i="66"/>
  <c r="AB10" i="66" s="1"/>
  <c r="G10" i="66" s="1"/>
  <c r="AD10" i="66"/>
  <c r="AE10" i="66" s="1"/>
  <c r="H10" i="66" s="1"/>
  <c r="AH10" i="66"/>
  <c r="I10" i="66" s="1"/>
  <c r="AJ10" i="66"/>
  <c r="AK10" i="66" s="1"/>
  <c r="J10" i="66" s="1"/>
  <c r="X11" i="66"/>
  <c r="Y11" i="66" s="1"/>
  <c r="F11" i="66" s="1"/>
  <c r="AA11" i="66"/>
  <c r="AB11" i="66" s="1"/>
  <c r="G11" i="66" s="1"/>
  <c r="AD11" i="66"/>
  <c r="AE11" i="66" s="1"/>
  <c r="H11" i="66" s="1"/>
  <c r="AH11" i="66"/>
  <c r="I11" i="66" s="1"/>
  <c r="AJ11" i="66"/>
  <c r="AK11" i="66" s="1"/>
  <c r="J11" i="66" s="1"/>
  <c r="U12" i="66"/>
  <c r="V12" i="66" s="1"/>
  <c r="E12" i="66" s="1"/>
  <c r="X12" i="66"/>
  <c r="Y12" i="66" s="1"/>
  <c r="F12" i="66" s="1"/>
  <c r="AA12" i="66"/>
  <c r="AB12" i="66" s="1"/>
  <c r="G12" i="66" s="1"/>
  <c r="AD12" i="66"/>
  <c r="AE12" i="66" s="1"/>
  <c r="H12" i="66" s="1"/>
  <c r="AH12" i="66"/>
  <c r="I12" i="66" s="1"/>
  <c r="AK12" i="66"/>
  <c r="J12" i="66" s="1"/>
  <c r="X13" i="66"/>
  <c r="Y13" i="66" s="1"/>
  <c r="F13" i="66" s="1"/>
  <c r="AA13" i="66"/>
  <c r="AB13" i="66" s="1"/>
  <c r="G13" i="66" s="1"/>
  <c r="AD13" i="66"/>
  <c r="AE13" i="66" s="1"/>
  <c r="H13" i="66" s="1"/>
  <c r="AH13" i="66"/>
  <c r="I13" i="66" s="1"/>
  <c r="AJ13" i="66"/>
  <c r="AK13" i="66" s="1"/>
  <c r="J13" i="66" s="1"/>
  <c r="U14" i="66"/>
  <c r="V14" i="66" s="1"/>
  <c r="E14" i="66" s="1"/>
  <c r="X14" i="66"/>
  <c r="Y14" i="66" s="1"/>
  <c r="F14" i="66" s="1"/>
  <c r="AA14" i="66"/>
  <c r="AB14" i="66" s="1"/>
  <c r="G14" i="66" s="1"/>
  <c r="AD14" i="66"/>
  <c r="AE14" i="66" s="1"/>
  <c r="H14" i="66" s="1"/>
  <c r="AH14" i="66"/>
  <c r="I14" i="66" s="1"/>
  <c r="AJ14" i="66"/>
  <c r="AK14" i="66" s="1"/>
  <c r="J14" i="66" s="1"/>
  <c r="U15" i="66"/>
  <c r="V15" i="66" s="1"/>
  <c r="E15" i="66" s="1"/>
  <c r="X15" i="66"/>
  <c r="Y15" i="66" s="1"/>
  <c r="F15" i="66" s="1"/>
  <c r="AA15" i="66"/>
  <c r="AB15" i="66" s="1"/>
  <c r="G15" i="66" s="1"/>
  <c r="AD15" i="66"/>
  <c r="AE15" i="66" s="1"/>
  <c r="H15" i="66" s="1"/>
  <c r="AH15" i="66"/>
  <c r="I15" i="66" s="1"/>
  <c r="AJ15" i="66"/>
  <c r="AK15" i="66" s="1"/>
  <c r="J15" i="66" s="1"/>
  <c r="U16" i="66"/>
  <c r="V16" i="66" s="1"/>
  <c r="E16" i="66" s="1"/>
  <c r="X16" i="66"/>
  <c r="Y16" i="66" s="1"/>
  <c r="F16" i="66" s="1"/>
  <c r="AA16" i="66"/>
  <c r="AB16" i="66" s="1"/>
  <c r="G16" i="66" s="1"/>
  <c r="AD16" i="66"/>
  <c r="AE16" i="66" s="1"/>
  <c r="H16" i="66" s="1"/>
  <c r="AH16" i="66"/>
  <c r="I16" i="66" s="1"/>
  <c r="AJ16" i="66"/>
  <c r="AK16" i="66" s="1"/>
  <c r="J16" i="66" s="1"/>
  <c r="V17" i="66"/>
  <c r="E17" i="66" s="1"/>
  <c r="X17" i="66"/>
  <c r="Y17" i="66" s="1"/>
  <c r="F17" i="66" s="1"/>
  <c r="AA17" i="66"/>
  <c r="AB17" i="66" s="1"/>
  <c r="G17" i="66" s="1"/>
  <c r="AE17" i="66"/>
  <c r="H17" i="66" s="1"/>
  <c r="AH17" i="66"/>
  <c r="I17" i="66" s="1"/>
  <c r="AJ17" i="66"/>
  <c r="AK17" i="66" s="1"/>
  <c r="J17" i="66" s="1"/>
  <c r="V18" i="66"/>
  <c r="E18" i="66" s="1"/>
  <c r="X18" i="66"/>
  <c r="Y18" i="66" s="1"/>
  <c r="F18" i="66" s="1"/>
  <c r="AA18" i="66"/>
  <c r="AB18" i="66" s="1"/>
  <c r="G18" i="66" s="1"/>
  <c r="AE18" i="66"/>
  <c r="H18" i="66" s="1"/>
  <c r="AH18" i="66"/>
  <c r="I18" i="66" s="1"/>
  <c r="AJ18" i="66"/>
  <c r="AK18" i="66" s="1"/>
  <c r="J18" i="66" s="1"/>
  <c r="V19" i="66"/>
  <c r="E19" i="66" s="1"/>
  <c r="Y19" i="66"/>
  <c r="F19" i="66" s="1"/>
  <c r="AB19" i="66"/>
  <c r="G19" i="66" s="1"/>
  <c r="AE19" i="66"/>
  <c r="H19" i="66" s="1"/>
  <c r="AH19" i="66"/>
  <c r="I19" i="66" s="1"/>
  <c r="AK19" i="66"/>
  <c r="J19" i="66" s="1"/>
  <c r="U20" i="66"/>
  <c r="V20" i="66" s="1"/>
  <c r="E20" i="66" s="1"/>
  <c r="X20" i="66"/>
  <c r="Y20" i="66" s="1"/>
  <c r="F20" i="66" s="1"/>
  <c r="AA20" i="66"/>
  <c r="AB20" i="66" s="1"/>
  <c r="G20" i="66" s="1"/>
  <c r="AD20" i="66"/>
  <c r="AE20" i="66" s="1"/>
  <c r="H20" i="66" s="1"/>
  <c r="AH20" i="66"/>
  <c r="I20" i="66" s="1"/>
  <c r="AJ20" i="66"/>
  <c r="AK20" i="66" s="1"/>
  <c r="J20" i="66" s="1"/>
  <c r="AA21" i="66"/>
  <c r="AB21" i="66" s="1"/>
  <c r="G21" i="66" s="1"/>
  <c r="AE21" i="66"/>
  <c r="H21" i="66" s="1"/>
  <c r="AH21" i="66"/>
  <c r="I21" i="66" s="1"/>
  <c r="AK21" i="66"/>
  <c r="J21" i="66" s="1"/>
  <c r="U22" i="66"/>
  <c r="V22" i="66" s="1"/>
  <c r="E22" i="66" s="1"/>
  <c r="AA22" i="66"/>
  <c r="AB22" i="66" s="1"/>
  <c r="G22" i="66" s="1"/>
  <c r="AE22" i="66"/>
  <c r="H22" i="66" s="1"/>
  <c r="AH22" i="66"/>
  <c r="I22" i="66" s="1"/>
  <c r="AK22" i="66"/>
  <c r="J22" i="66" s="1"/>
  <c r="V23" i="66"/>
  <c r="E23" i="66" s="1"/>
  <c r="AA23" i="66"/>
  <c r="AB23" i="66" s="1"/>
  <c r="G23" i="66" s="1"/>
  <c r="AE23" i="66"/>
  <c r="H23" i="66" s="1"/>
  <c r="AH23" i="66"/>
  <c r="I23" i="66" s="1"/>
  <c r="AK23" i="66"/>
  <c r="J23" i="66" s="1"/>
  <c r="U24" i="66"/>
  <c r="V24" i="66" s="1"/>
  <c r="E24" i="66" s="1"/>
  <c r="AA24" i="66"/>
  <c r="AB24" i="66" s="1"/>
  <c r="G24" i="66" s="1"/>
  <c r="AE24" i="66"/>
  <c r="H24" i="66" s="1"/>
  <c r="AH24" i="66"/>
  <c r="I24" i="66" s="1"/>
  <c r="AK24" i="66"/>
  <c r="J24" i="66" s="1"/>
  <c r="U25" i="66"/>
  <c r="V25" i="66" s="1"/>
  <c r="E25" i="66" s="1"/>
  <c r="AA25" i="66"/>
  <c r="AB25" i="66" s="1"/>
  <c r="G25" i="66" s="1"/>
  <c r="AE25" i="66"/>
  <c r="H25" i="66" s="1"/>
  <c r="AH25" i="66"/>
  <c r="I25" i="66" s="1"/>
  <c r="AK25" i="66"/>
  <c r="J25" i="66" s="1"/>
  <c r="U26" i="66"/>
  <c r="V26" i="66" s="1"/>
  <c r="E26" i="66" s="1"/>
  <c r="AA26" i="66"/>
  <c r="AB26" i="66" s="1"/>
  <c r="G26" i="66" s="1"/>
  <c r="AE26" i="66"/>
  <c r="H26" i="66" s="1"/>
  <c r="AH26" i="66"/>
  <c r="I26" i="66" s="1"/>
  <c r="AK26" i="66"/>
  <c r="J26" i="66" s="1"/>
  <c r="U27" i="66"/>
  <c r="V27" i="66" s="1"/>
  <c r="E27" i="66" s="1"/>
  <c r="X27" i="66"/>
  <c r="Y27" i="66" s="1"/>
  <c r="F27" i="66" s="1"/>
  <c r="AA27" i="66"/>
  <c r="AB27" i="66" s="1"/>
  <c r="G27" i="66" s="1"/>
  <c r="AD27" i="66"/>
  <c r="AE27" i="66" s="1"/>
  <c r="H27" i="66" s="1"/>
  <c r="AH27" i="66"/>
  <c r="I27" i="66" s="1"/>
  <c r="AJ27" i="66"/>
  <c r="AK27" i="66" s="1"/>
  <c r="J27" i="66" s="1"/>
  <c r="U28" i="66"/>
  <c r="V28" i="66" s="1"/>
  <c r="E28" i="66" s="1"/>
  <c r="AA28" i="66"/>
  <c r="AB28" i="66" s="1"/>
  <c r="G28" i="66" s="1"/>
  <c r="AE28" i="66"/>
  <c r="H28" i="66" s="1"/>
  <c r="AH28" i="66"/>
  <c r="I28" i="66" s="1"/>
  <c r="AK28" i="66"/>
  <c r="J28" i="66" s="1"/>
  <c r="V29" i="66"/>
  <c r="E29" i="66" s="1"/>
  <c r="Y29" i="66"/>
  <c r="F29" i="66" s="1"/>
  <c r="AB29" i="66"/>
  <c r="G29" i="66" s="1"/>
  <c r="AE29" i="66"/>
  <c r="H29" i="66" s="1"/>
  <c r="AH29" i="66"/>
  <c r="I29" i="66" s="1"/>
  <c r="AK29" i="66"/>
  <c r="J29" i="66" s="1"/>
  <c r="AA30" i="66"/>
  <c r="AB30" i="66" s="1"/>
  <c r="G30" i="66" s="1"/>
  <c r="AE30" i="66"/>
  <c r="H30" i="66" s="1"/>
  <c r="AH30" i="66"/>
  <c r="I30" i="66" s="1"/>
  <c r="AK30" i="66"/>
  <c r="J30" i="66" s="1"/>
  <c r="V31" i="66"/>
  <c r="E31" i="66" s="1"/>
  <c r="Y31" i="66"/>
  <c r="F31" i="66" s="1"/>
  <c r="AB31" i="66"/>
  <c r="G31" i="66" s="1"/>
  <c r="AE31" i="66"/>
  <c r="H31" i="66" s="1"/>
  <c r="AH31" i="66"/>
  <c r="I31" i="66" s="1"/>
  <c r="AK31" i="66"/>
  <c r="J31" i="66" s="1"/>
  <c r="V32" i="66"/>
  <c r="E32" i="66" s="1"/>
  <c r="W32" i="66"/>
  <c r="Y32" i="66" s="1"/>
  <c r="F32" i="66" s="1"/>
  <c r="Z32" i="66"/>
  <c r="AB32" i="66" s="1"/>
  <c r="G32" i="66" s="1"/>
  <c r="AE32" i="66"/>
  <c r="H32" i="66" s="1"/>
  <c r="AH32" i="66"/>
  <c r="I32" i="66" s="1"/>
  <c r="AK32" i="66"/>
  <c r="J32" i="66" s="1"/>
  <c r="V33" i="66"/>
  <c r="E33" i="66" s="1"/>
  <c r="W33" i="66"/>
  <c r="Y33" i="66" s="1"/>
  <c r="F33" i="66" s="1"/>
  <c r="Z33" i="66"/>
  <c r="AB33" i="66" s="1"/>
  <c r="G33" i="66" s="1"/>
  <c r="AC33" i="66"/>
  <c r="AE33" i="66" s="1"/>
  <c r="H33" i="66" s="1"/>
  <c r="AH33" i="66"/>
  <c r="I33" i="66" s="1"/>
  <c r="AK33" i="66"/>
  <c r="J33" i="66" s="1"/>
  <c r="V34" i="66"/>
  <c r="E34" i="66" s="1"/>
  <c r="W34" i="66"/>
  <c r="Y34" i="66" s="1"/>
  <c r="F34" i="66" s="1"/>
  <c r="Z34" i="66"/>
  <c r="AB34" i="66" s="1"/>
  <c r="G34" i="66" s="1"/>
  <c r="AC34" i="66"/>
  <c r="AE34" i="66" s="1"/>
  <c r="H34" i="66" s="1"/>
  <c r="AH34" i="66"/>
  <c r="I34" i="66" s="1"/>
  <c r="AK34" i="66"/>
  <c r="J34" i="66" s="1"/>
  <c r="L35" i="66"/>
  <c r="N35" i="66"/>
  <c r="Y35" i="66"/>
  <c r="AH35" i="66"/>
  <c r="AK35" i="66"/>
  <c r="B5" i="83"/>
  <c r="C5" i="83"/>
  <c r="D5" i="83"/>
  <c r="F5" i="83"/>
  <c r="G5" i="83"/>
  <c r="H5" i="83"/>
  <c r="B6" i="83"/>
  <c r="C6" i="83"/>
  <c r="D6" i="83"/>
  <c r="F6" i="83"/>
  <c r="G6" i="83"/>
  <c r="H6" i="83"/>
  <c r="B8" i="83"/>
  <c r="C8" i="83"/>
  <c r="D8" i="83"/>
  <c r="F8" i="83"/>
  <c r="G8" i="83"/>
  <c r="H8" i="83"/>
  <c r="B9" i="83"/>
  <c r="C9" i="83"/>
  <c r="D9" i="83"/>
  <c r="F9" i="83"/>
  <c r="G9" i="83"/>
  <c r="H9" i="83"/>
  <c r="B10" i="83"/>
  <c r="C10" i="83"/>
  <c r="D10" i="83"/>
  <c r="F10" i="83"/>
  <c r="G10" i="83"/>
  <c r="H10" i="83"/>
  <c r="B11" i="83"/>
  <c r="C11" i="83"/>
  <c r="D11" i="83"/>
  <c r="F11" i="83"/>
  <c r="G11" i="83"/>
  <c r="H11" i="83"/>
  <c r="B12" i="83"/>
  <c r="C12" i="83"/>
  <c r="D12" i="83"/>
  <c r="F12" i="83"/>
  <c r="G12" i="83"/>
  <c r="H12" i="83"/>
  <c r="B13" i="83"/>
  <c r="C13" i="83"/>
  <c r="D13" i="83"/>
  <c r="F13" i="83"/>
  <c r="G13" i="83"/>
  <c r="H13" i="83"/>
  <c r="B14" i="83"/>
  <c r="C14" i="83"/>
  <c r="D14" i="83"/>
  <c r="F14" i="83"/>
  <c r="G14" i="83"/>
  <c r="H14" i="83"/>
  <c r="B15" i="83"/>
  <c r="C15" i="83"/>
  <c r="D15" i="83"/>
  <c r="F15" i="83"/>
  <c r="G15" i="83"/>
  <c r="H15" i="83"/>
  <c r="B16" i="83"/>
  <c r="C16" i="83"/>
  <c r="D16" i="83"/>
  <c r="F16" i="83"/>
  <c r="G16" i="83"/>
  <c r="H16" i="83"/>
  <c r="B17" i="83"/>
  <c r="C17" i="83"/>
  <c r="D17" i="83"/>
  <c r="F17" i="83"/>
  <c r="G17" i="83"/>
  <c r="H17" i="83"/>
  <c r="B18" i="83"/>
  <c r="C18" i="83"/>
  <c r="D18" i="83"/>
  <c r="F18" i="83"/>
  <c r="G18" i="83"/>
  <c r="H18" i="83"/>
  <c r="B19" i="83"/>
  <c r="C19" i="83"/>
  <c r="D19" i="83"/>
  <c r="F19" i="83"/>
  <c r="G19" i="83"/>
  <c r="H19" i="83"/>
  <c r="B20" i="83"/>
  <c r="C20" i="83"/>
  <c r="D20" i="83"/>
  <c r="F20" i="83"/>
  <c r="G20" i="83"/>
  <c r="H20" i="83"/>
  <c r="B21" i="83"/>
  <c r="C21" i="83"/>
  <c r="D21" i="83"/>
  <c r="F21" i="83"/>
  <c r="G21" i="83"/>
  <c r="H21" i="83"/>
  <c r="B22" i="83"/>
  <c r="C22" i="83"/>
  <c r="D22" i="83"/>
  <c r="F22" i="83"/>
  <c r="G22" i="83"/>
  <c r="H22" i="83"/>
  <c r="B23" i="83"/>
  <c r="C23" i="83"/>
  <c r="D23" i="83"/>
  <c r="F23" i="83"/>
  <c r="G23" i="83"/>
  <c r="H23" i="83"/>
  <c r="B25" i="83"/>
  <c r="C25" i="83"/>
  <c r="D25" i="83"/>
  <c r="F25" i="83"/>
  <c r="G25" i="83"/>
  <c r="H25" i="83"/>
  <c r="B26" i="83"/>
  <c r="C26" i="83"/>
  <c r="D26" i="83"/>
  <c r="F26" i="83"/>
  <c r="G26" i="83"/>
  <c r="H26" i="83"/>
  <c r="B27" i="83"/>
  <c r="C27" i="83"/>
  <c r="D27" i="83"/>
  <c r="F27" i="83"/>
  <c r="G27" i="83"/>
  <c r="H27" i="83"/>
  <c r="B28" i="83"/>
  <c r="C28" i="83"/>
  <c r="D28" i="83"/>
  <c r="F28" i="83"/>
  <c r="G28" i="83"/>
  <c r="H28" i="83"/>
  <c r="B29" i="83"/>
  <c r="C29" i="83"/>
  <c r="D29" i="83"/>
  <c r="F29" i="83"/>
  <c r="G29" i="83"/>
  <c r="H29" i="83"/>
  <c r="B30" i="83"/>
  <c r="C30" i="83"/>
  <c r="D30" i="83"/>
  <c r="F30" i="83"/>
  <c r="G30" i="83"/>
  <c r="H30" i="83"/>
  <c r="B31" i="83"/>
  <c r="C31" i="83"/>
  <c r="D31" i="83"/>
  <c r="F31" i="83"/>
  <c r="G31" i="83"/>
  <c r="H31" i="83"/>
  <c r="B33" i="83"/>
  <c r="C33" i="83"/>
  <c r="F33" i="83"/>
  <c r="G33" i="83"/>
  <c r="H33" i="83"/>
  <c r="B36" i="83"/>
  <c r="C36" i="83"/>
  <c r="D36" i="83"/>
  <c r="F36" i="83"/>
  <c r="G36" i="83"/>
  <c r="H36" i="83"/>
  <c r="B37" i="83"/>
  <c r="C37" i="83"/>
  <c r="D37" i="83"/>
  <c r="F37" i="83"/>
  <c r="G37" i="83"/>
  <c r="H37" i="83"/>
  <c r="B38" i="83"/>
  <c r="C38" i="83"/>
  <c r="D38" i="83"/>
  <c r="F38" i="83"/>
  <c r="G38" i="83"/>
  <c r="H38" i="83"/>
  <c r="B39" i="83"/>
  <c r="C39" i="83"/>
  <c r="D39" i="83"/>
  <c r="F39" i="83"/>
  <c r="G39" i="83"/>
  <c r="H39" i="83"/>
  <c r="C40" i="83"/>
  <c r="F40" i="83"/>
  <c r="G40" i="83"/>
  <c r="H40" i="83"/>
  <c r="B41" i="83"/>
  <c r="C41" i="83"/>
  <c r="D41" i="83"/>
  <c r="F41" i="83"/>
  <c r="G41" i="83"/>
  <c r="H41" i="83"/>
  <c r="B46" i="83"/>
  <c r="G46" i="83"/>
  <c r="B47" i="83"/>
  <c r="G47" i="83"/>
  <c r="B48" i="83"/>
  <c r="D43" i="83" s="1"/>
  <c r="G48" i="83"/>
  <c r="H43" i="83" s="1"/>
  <c r="B49" i="83"/>
  <c r="G49" i="83"/>
  <c r="B50" i="83"/>
  <c r="G50" i="83"/>
  <c r="B51" i="83"/>
  <c r="G51" i="83"/>
  <c r="B52" i="83"/>
  <c r="G52" i="83"/>
  <c r="B53" i="83"/>
  <c r="G53" i="83"/>
  <c r="B54" i="83"/>
  <c r="G54" i="83"/>
  <c r="B55" i="83"/>
  <c r="G55" i="83"/>
  <c r="B56" i="83"/>
  <c r="G56" i="83"/>
  <c r="B59" i="83"/>
  <c r="G59" i="83"/>
  <c r="B60" i="83"/>
  <c r="G60" i="83"/>
  <c r="B61" i="83"/>
  <c r="G61" i="83"/>
  <c r="B62" i="83"/>
  <c r="G62" i="83"/>
  <c r="B63" i="83"/>
  <c r="G63" i="83"/>
  <c r="B64" i="83"/>
  <c r="G64" i="83"/>
  <c r="B65" i="83"/>
  <c r="G65" i="83"/>
  <c r="B66" i="83"/>
  <c r="G66" i="83"/>
  <c r="B67" i="83"/>
  <c r="G67" i="83"/>
  <c r="B68" i="83"/>
  <c r="G68" i="83"/>
  <c r="B69" i="83"/>
  <c r="G69" i="83"/>
  <c r="B72" i="83"/>
  <c r="G72" i="83"/>
  <c r="B73" i="83"/>
  <c r="G73" i="83"/>
  <c r="B74" i="83"/>
  <c r="G74" i="83"/>
  <c r="B75" i="83"/>
  <c r="G75" i="83"/>
  <c r="B76" i="83"/>
  <c r="G76" i="83"/>
  <c r="B77" i="83"/>
  <c r="G77" i="83"/>
  <c r="B78" i="83"/>
  <c r="G78" i="83"/>
  <c r="B79" i="83"/>
  <c r="G79" i="83"/>
  <c r="B80" i="83"/>
  <c r="G80" i="83"/>
  <c r="B81" i="83"/>
  <c r="G81" i="83"/>
  <c r="B82" i="83"/>
  <c r="G82" i="83"/>
  <c r="B85" i="83"/>
  <c r="G85" i="83"/>
  <c r="B86" i="83"/>
  <c r="G86" i="83"/>
  <c r="B87" i="83"/>
  <c r="G87" i="83"/>
  <c r="B88" i="83"/>
  <c r="G88" i="83"/>
  <c r="B89" i="83"/>
  <c r="G89" i="83"/>
  <c r="B90" i="83"/>
  <c r="G90" i="83"/>
  <c r="B91" i="83"/>
  <c r="G91" i="83"/>
  <c r="B92" i="83"/>
  <c r="G92" i="83"/>
  <c r="B93" i="83"/>
  <c r="G93" i="83"/>
  <c r="B94" i="83"/>
  <c r="G94" i="83"/>
  <c r="B95" i="83"/>
  <c r="G95" i="83"/>
  <c r="A2" i="67"/>
  <c r="C23" i="67"/>
  <c r="D4" i="86"/>
  <c r="D5" i="86"/>
  <c r="E5" i="86"/>
  <c r="D6" i="86"/>
  <c r="E6" i="86"/>
  <c r="D7" i="86"/>
  <c r="E7" i="86"/>
  <c r="D8" i="86"/>
  <c r="E8" i="86"/>
  <c r="D9" i="86"/>
  <c r="E9" i="86"/>
  <c r="D10" i="86"/>
  <c r="E10" i="86"/>
  <c r="D11" i="86"/>
  <c r="E11" i="86"/>
  <c r="D12" i="86"/>
  <c r="E12" i="86"/>
  <c r="D13" i="86"/>
  <c r="E13" i="86"/>
  <c r="D14" i="86"/>
  <c r="E14" i="86"/>
  <c r="E15" i="86"/>
  <c r="D17" i="86"/>
  <c r="E17" i="86"/>
  <c r="D18" i="86"/>
  <c r="E18" i="86"/>
  <c r="D19" i="86"/>
  <c r="E19" i="86"/>
  <c r="D20" i="86"/>
  <c r="E20" i="86"/>
  <c r="D21" i="86"/>
  <c r="E21" i="86"/>
  <c r="D22" i="86"/>
  <c r="D23" i="86"/>
  <c r="E23" i="86"/>
  <c r="D24" i="86"/>
  <c r="D26" i="86"/>
  <c r="D27" i="86"/>
  <c r="D28" i="86"/>
  <c r="E28" i="86"/>
  <c r="D30" i="86"/>
  <c r="E30" i="86"/>
  <c r="D31" i="86"/>
  <c r="D32" i="86"/>
  <c r="D33" i="86"/>
  <c r="D34" i="86"/>
  <c r="D35" i="86"/>
  <c r="D36" i="86"/>
  <c r="D37" i="86"/>
  <c r="E37" i="86"/>
  <c r="D39" i="86"/>
  <c r="E39" i="86"/>
  <c r="D40" i="86"/>
  <c r="E40" i="86"/>
  <c r="D41" i="86"/>
  <c r="E41" i="86"/>
  <c r="D42" i="86"/>
  <c r="E42" i="86"/>
  <c r="D43" i="86"/>
  <c r="E43" i="86"/>
  <c r="D44" i="86"/>
  <c r="E44" i="86"/>
  <c r="D45" i="86"/>
  <c r="E45" i="86"/>
  <c r="D47" i="86"/>
  <c r="E47" i="86"/>
  <c r="D48" i="86"/>
  <c r="E48" i="86"/>
  <c r="D49" i="86"/>
  <c r="E49" i="86"/>
  <c r="D50" i="86"/>
  <c r="E50" i="86"/>
  <c r="D4" i="41"/>
  <c r="E4" i="41"/>
  <c r="D5" i="41"/>
  <c r="E5" i="41"/>
  <c r="F5" i="41"/>
  <c r="D6" i="41"/>
  <c r="E6" i="41"/>
  <c r="F6" i="41"/>
  <c r="D7" i="41"/>
  <c r="E7" i="41"/>
  <c r="F7" i="41"/>
  <c r="D8" i="41"/>
  <c r="E8" i="41"/>
  <c r="F8" i="41"/>
  <c r="D9" i="41"/>
  <c r="E9" i="41"/>
  <c r="F9" i="41"/>
  <c r="D10" i="41"/>
  <c r="E10" i="41"/>
  <c r="F10" i="41"/>
  <c r="D11" i="41"/>
  <c r="E11" i="41"/>
  <c r="F11" i="41"/>
  <c r="E4" i="42"/>
  <c r="F4" i="42"/>
  <c r="D5" i="42"/>
  <c r="E5" i="42"/>
  <c r="F5" i="42"/>
  <c r="D6" i="42"/>
  <c r="E6" i="42"/>
  <c r="F6" i="42"/>
  <c r="E7" i="42"/>
  <c r="F7" i="42"/>
  <c r="E8" i="42"/>
  <c r="E9" i="42"/>
  <c r="E10" i="42"/>
  <c r="E11" i="42"/>
  <c r="E12" i="42"/>
  <c r="E13" i="42"/>
  <c r="G27" i="21"/>
  <c r="B11" i="19"/>
  <c r="B11" i="21"/>
  <c r="D9" i="84"/>
  <c r="D7" i="42"/>
  <c r="D10" i="42"/>
  <c r="D6" i="84"/>
  <c r="F4" i="43"/>
  <c r="F23" i="29"/>
  <c r="C23" i="30"/>
  <c r="F23" i="25"/>
  <c r="F43" i="122"/>
  <c r="H43" i="122" s="1"/>
  <c r="D21" i="134" s="1"/>
  <c r="C23" i="25"/>
  <c r="U30" i="66"/>
  <c r="V30" i="66" s="1"/>
  <c r="E30" i="66" s="1"/>
  <c r="D9" i="42"/>
  <c r="B9" i="20"/>
  <c r="F43" i="125"/>
  <c r="B3" i="133" s="1"/>
  <c r="D3" i="133" s="1"/>
  <c r="F3" i="133" s="1"/>
  <c r="B11" i="31"/>
  <c r="E29" i="43"/>
  <c r="D10" i="43"/>
  <c r="U13" i="66"/>
  <c r="V13" i="66" s="1"/>
  <c r="E13" i="66" s="1"/>
  <c r="C4" i="62"/>
  <c r="E4" i="62" s="1"/>
  <c r="G4" i="62" s="1"/>
  <c r="U6" i="66"/>
  <c r="V6" i="66" s="1"/>
  <c r="E6" i="66" s="1"/>
  <c r="C7" i="62"/>
  <c r="E7" i="62" s="1"/>
  <c r="G7" i="62" s="1"/>
  <c r="F23" i="30"/>
  <c r="D13" i="42"/>
  <c r="AA3" i="66"/>
  <c r="AB3" i="66" s="1"/>
  <c r="G3" i="66" s="1"/>
  <c r="F27" i="43"/>
  <c r="G24" i="124"/>
  <c r="C24" i="46" l="1"/>
  <c r="E24" i="148" s="1"/>
  <c r="D24" i="148"/>
  <c r="C24" i="58"/>
  <c r="E23" i="148" s="1"/>
  <c r="D23" i="148"/>
  <c r="E34" i="86"/>
  <c r="I23" i="148"/>
  <c r="E22" i="43"/>
  <c r="E22" i="148"/>
  <c r="E35" i="86"/>
  <c r="I24" i="148"/>
  <c r="E35" i="43"/>
  <c r="E35" i="148"/>
  <c r="C99" i="20"/>
  <c r="C113" i="20" s="1"/>
  <c r="C101" i="21"/>
  <c r="C115" i="21" s="1"/>
  <c r="C101" i="32"/>
  <c r="C115" i="32" s="1"/>
  <c r="C101" i="31"/>
  <c r="C115" i="31" s="1"/>
  <c r="C101" i="19"/>
  <c r="C115" i="19" s="1"/>
  <c r="C101" i="18"/>
  <c r="C115" i="18" s="1"/>
  <c r="B20" i="18"/>
  <c r="B18" i="20"/>
  <c r="B20" i="21"/>
  <c r="B20" i="32"/>
  <c r="B20" i="31"/>
  <c r="B20" i="19"/>
  <c r="F22" i="105"/>
  <c r="H33" i="105" s="1"/>
  <c r="F45" i="102"/>
  <c r="E25" i="103"/>
  <c r="F24" i="57"/>
  <c r="B39" i="70"/>
  <c r="B42" i="70" s="1"/>
  <c r="C24" i="76"/>
  <c r="B24" i="76" s="1"/>
  <c r="H36" i="113"/>
  <c r="E25" i="134" s="1"/>
  <c r="J25" i="134" s="1"/>
  <c r="L25" i="134" s="1"/>
  <c r="N25" i="134" s="1"/>
  <c r="H11" i="133"/>
  <c r="B23" i="77"/>
  <c r="B39" i="68"/>
  <c r="B42" i="68" s="1"/>
  <c r="B43" i="68" s="1"/>
  <c r="E24" i="86"/>
  <c r="C42" i="57"/>
  <c r="C24" i="57"/>
  <c r="H19" i="117"/>
  <c r="I19" i="117" s="1"/>
  <c r="D28" i="134" s="1"/>
  <c r="C23" i="56"/>
  <c r="F23" i="51"/>
  <c r="B40" i="83"/>
  <c r="I14" i="62"/>
  <c r="K14" i="62" s="1"/>
  <c r="AA9" i="66"/>
  <c r="AB9" i="66" s="1"/>
  <c r="G9" i="66" s="1"/>
  <c r="G35" i="66" s="1"/>
  <c r="B8" i="67" s="1"/>
  <c r="C23" i="51"/>
  <c r="D32" i="83"/>
  <c r="E18" i="77"/>
  <c r="B29" i="133"/>
  <c r="D29" i="133" s="1"/>
  <c r="F29" i="133" s="1"/>
  <c r="H29" i="133" s="1"/>
  <c r="I26" i="117"/>
  <c r="G28" i="134" s="1"/>
  <c r="L16" i="62"/>
  <c r="L22" i="62"/>
  <c r="E18" i="76"/>
  <c r="H39" i="131"/>
  <c r="F9" i="134" s="1"/>
  <c r="H25" i="129"/>
  <c r="D8" i="134" s="1"/>
  <c r="F40" i="114"/>
  <c r="H46" i="106"/>
  <c r="F17" i="134" s="1"/>
  <c r="B12" i="133"/>
  <c r="D12" i="133" s="1"/>
  <c r="F12" i="133" s="1"/>
  <c r="H12" i="133" s="1"/>
  <c r="C23" i="52"/>
  <c r="X23" i="66" s="1"/>
  <c r="Y23" i="66" s="1"/>
  <c r="F23" i="66" s="1"/>
  <c r="K23" i="66" s="1"/>
  <c r="M23" i="66" s="1"/>
  <c r="O23" i="66" s="1"/>
  <c r="C27" i="62"/>
  <c r="E27" i="62" s="1"/>
  <c r="G27" i="62" s="1"/>
  <c r="L27" i="62" s="1"/>
  <c r="D40" i="83"/>
  <c r="F28" i="128"/>
  <c r="H26" i="110"/>
  <c r="D22" i="134" s="1"/>
  <c r="F41" i="104"/>
  <c r="D13" i="84"/>
  <c r="F30" i="48"/>
  <c r="U7" i="66"/>
  <c r="V7" i="66" s="1"/>
  <c r="E7" i="66" s="1"/>
  <c r="K7" i="66" s="1"/>
  <c r="M7" i="66" s="1"/>
  <c r="O7" i="66" s="1"/>
  <c r="C8" i="62"/>
  <c r="E8" i="62" s="1"/>
  <c r="G8" i="62" s="1"/>
  <c r="I8" i="62" s="1"/>
  <c r="K8" i="62" s="1"/>
  <c r="F12" i="120"/>
  <c r="G35" i="134" s="1"/>
  <c r="F28" i="114"/>
  <c r="E18" i="79"/>
  <c r="L20" i="62"/>
  <c r="J31" i="134"/>
  <c r="L31" i="134" s="1"/>
  <c r="N31" i="134" s="1"/>
  <c r="J37" i="134"/>
  <c r="L37" i="134" s="1"/>
  <c r="X22" i="66"/>
  <c r="Y22" i="66" s="1"/>
  <c r="F22" i="66" s="1"/>
  <c r="K22" i="66" s="1"/>
  <c r="M22" i="66" s="1"/>
  <c r="O22" i="66" s="1"/>
  <c r="F24" i="58"/>
  <c r="I23" i="122"/>
  <c r="E21" i="134" s="1"/>
  <c r="I19" i="123"/>
  <c r="D11" i="134" s="1"/>
  <c r="J11" i="134" s="1"/>
  <c r="L11" i="134" s="1"/>
  <c r="N11" i="134" s="1"/>
  <c r="J38" i="134"/>
  <c r="L38" i="134" s="1"/>
  <c r="L6" i="62"/>
  <c r="F24" i="46"/>
  <c r="F41" i="86"/>
  <c r="F39" i="86"/>
  <c r="X28" i="66"/>
  <c r="Y28" i="66" s="1"/>
  <c r="F28" i="66" s="1"/>
  <c r="K28" i="66" s="1"/>
  <c r="M28" i="66" s="1"/>
  <c r="O28" i="66" s="1"/>
  <c r="H24" i="122"/>
  <c r="F21" i="134" s="1"/>
  <c r="U9" i="66"/>
  <c r="V9" i="66" s="1"/>
  <c r="E9" i="66" s="1"/>
  <c r="C10" i="62"/>
  <c r="E10" i="62" s="1"/>
  <c r="G10" i="62" s="1"/>
  <c r="L10" i="62" s="1"/>
  <c r="D10" i="84"/>
  <c r="J33" i="134"/>
  <c r="I25" i="117"/>
  <c r="I28" i="134" s="1"/>
  <c r="I42" i="134" s="1"/>
  <c r="I43" i="134" s="1"/>
  <c r="B23" i="79"/>
  <c r="I35" i="66"/>
  <c r="B10" i="67" s="1"/>
  <c r="U11" i="66"/>
  <c r="V11" i="66" s="1"/>
  <c r="E11" i="66" s="1"/>
  <c r="K11" i="66" s="1"/>
  <c r="M11" i="66" s="1"/>
  <c r="O11" i="66" s="1"/>
  <c r="U10" i="66"/>
  <c r="V10" i="66" s="1"/>
  <c r="E10" i="66" s="1"/>
  <c r="K10" i="66" s="1"/>
  <c r="M10" i="66" s="1"/>
  <c r="O10" i="66" s="1"/>
  <c r="C29" i="62"/>
  <c r="E29" i="62" s="1"/>
  <c r="G29" i="62" s="1"/>
  <c r="I29" i="62" s="1"/>
  <c r="K29" i="62" s="1"/>
  <c r="F42" i="86"/>
  <c r="J30" i="86"/>
  <c r="U4" i="66"/>
  <c r="V4" i="66" s="1"/>
  <c r="E4" i="66" s="1"/>
  <c r="K4" i="66" s="1"/>
  <c r="M4" i="66" s="1"/>
  <c r="O4" i="66" s="1"/>
  <c r="L5" i="62"/>
  <c r="I5" i="62"/>
  <c r="K5" i="62" s="1"/>
  <c r="K27" i="66"/>
  <c r="M27" i="66" s="1"/>
  <c r="O27" i="66" s="1"/>
  <c r="L31" i="62"/>
  <c r="I31" i="62"/>
  <c r="K31" i="62" s="1"/>
  <c r="I26" i="62"/>
  <c r="K26" i="62" s="1"/>
  <c r="L26" i="62"/>
  <c r="I11" i="62"/>
  <c r="K11" i="62" s="1"/>
  <c r="L11" i="62"/>
  <c r="I12" i="62"/>
  <c r="K12" i="62" s="1"/>
  <c r="J39" i="134"/>
  <c r="L39" i="134" s="1"/>
  <c r="I30" i="62"/>
  <c r="K30" i="62" s="1"/>
  <c r="L23" i="62"/>
  <c r="B20" i="133"/>
  <c r="D20" i="133" s="1"/>
  <c r="F20" i="133" s="1"/>
  <c r="H20" i="133" s="1"/>
  <c r="K32" i="66"/>
  <c r="M32" i="66" s="1"/>
  <c r="O32" i="66" s="1"/>
  <c r="K31" i="66"/>
  <c r="M31" i="66" s="1"/>
  <c r="O31" i="66" s="1"/>
  <c r="J40" i="134"/>
  <c r="L40" i="134" s="1"/>
  <c r="J32" i="134"/>
  <c r="L32" i="134" s="1"/>
  <c r="F36" i="120"/>
  <c r="F48" i="86"/>
  <c r="K17" i="66"/>
  <c r="M17" i="66" s="1"/>
  <c r="O17" i="66" s="1"/>
  <c r="I21" i="62"/>
  <c r="K21" i="62" s="1"/>
  <c r="L13" i="62"/>
  <c r="B23" i="133"/>
  <c r="D23" i="133" s="1"/>
  <c r="F23" i="133" s="1"/>
  <c r="H23" i="133" s="1"/>
  <c r="H27" i="106"/>
  <c r="D17" i="134" s="1"/>
  <c r="B15" i="133"/>
  <c r="D15" i="133" s="1"/>
  <c r="F15" i="133" s="1"/>
  <c r="H15" i="133" s="1"/>
  <c r="H44" i="102"/>
  <c r="F14" i="134" s="1"/>
  <c r="H26" i="102"/>
  <c r="D14" i="134" s="1"/>
  <c r="I26" i="102"/>
  <c r="B8" i="133"/>
  <c r="D8" i="133" s="1"/>
  <c r="F8" i="133" s="1"/>
  <c r="H8" i="133" s="1"/>
  <c r="H38" i="129"/>
  <c r="F8" i="134" s="1"/>
  <c r="H26" i="128"/>
  <c r="D7" i="134" s="1"/>
  <c r="J7" i="134" s="1"/>
  <c r="L7" i="134" s="1"/>
  <c r="N7" i="134" s="1"/>
  <c r="F40" i="86"/>
  <c r="F50" i="86"/>
  <c r="B10" i="133"/>
  <c r="D10" i="133" s="1"/>
  <c r="F10" i="133" s="1"/>
  <c r="H10" i="133" s="1"/>
  <c r="H31" i="119"/>
  <c r="D34" i="134" s="1"/>
  <c r="L4" i="62"/>
  <c r="I4" i="62"/>
  <c r="K4" i="62" s="1"/>
  <c r="H39" i="130"/>
  <c r="F10" i="134" s="1"/>
  <c r="F27" i="129"/>
  <c r="F40" i="128"/>
  <c r="H39" i="110"/>
  <c r="F22" i="134" s="1"/>
  <c r="H27" i="101"/>
  <c r="E12" i="134" s="1"/>
  <c r="F43" i="86"/>
  <c r="F44" i="86"/>
  <c r="F47" i="86"/>
  <c r="H27" i="121"/>
  <c r="E36" i="134" s="1"/>
  <c r="L17" i="62"/>
  <c r="I17" i="62"/>
  <c r="K17" i="62" s="1"/>
  <c r="K19" i="117"/>
  <c r="B22" i="133"/>
  <c r="D22" i="133" s="1"/>
  <c r="F22" i="133" s="1"/>
  <c r="H22" i="133" s="1"/>
  <c r="G27" i="109"/>
  <c r="D20" i="134" s="1"/>
  <c r="G40" i="108"/>
  <c r="F19" i="134" s="1"/>
  <c r="H26" i="101"/>
  <c r="D12" i="134" s="1"/>
  <c r="J24" i="134"/>
  <c r="L24" i="134" s="1"/>
  <c r="H26" i="130"/>
  <c r="D10" i="134" s="1"/>
  <c r="H27" i="130"/>
  <c r="J41" i="134"/>
  <c r="L41" i="134" s="1"/>
  <c r="F49" i="86"/>
  <c r="K26" i="127"/>
  <c r="K13" i="66"/>
  <c r="M13" i="66" s="1"/>
  <c r="O13" i="66" s="1"/>
  <c r="D36" i="134"/>
  <c r="K20" i="66"/>
  <c r="M20" i="66" s="1"/>
  <c r="O20" i="66" s="1"/>
  <c r="F45" i="86"/>
  <c r="I7" i="62"/>
  <c r="K7" i="62" s="1"/>
  <c r="L7" i="62"/>
  <c r="K6" i="66"/>
  <c r="M6" i="66" s="1"/>
  <c r="O6" i="66" s="1"/>
  <c r="K12" i="66"/>
  <c r="M12" i="66" s="1"/>
  <c r="O12" i="66" s="1"/>
  <c r="E46" i="116"/>
  <c r="J26" i="134"/>
  <c r="L26" i="134" s="1"/>
  <c r="N26" i="134" s="1"/>
  <c r="K18" i="66"/>
  <c r="M18" i="66" s="1"/>
  <c r="O18" i="66" s="1"/>
  <c r="H27" i="111"/>
  <c r="H39" i="111"/>
  <c r="F23" i="134" s="1"/>
  <c r="H27" i="110"/>
  <c r="E22" i="134" s="1"/>
  <c r="G26" i="108"/>
  <c r="K14" i="66"/>
  <c r="M14" i="66" s="1"/>
  <c r="O14" i="66" s="1"/>
  <c r="H27" i="104"/>
  <c r="E15" i="134" s="1"/>
  <c r="H26" i="104"/>
  <c r="B17" i="133"/>
  <c r="D17" i="133" s="1"/>
  <c r="F17" i="133" s="1"/>
  <c r="H17" i="133" s="1"/>
  <c r="I18" i="62"/>
  <c r="K18" i="62" s="1"/>
  <c r="L18" i="62"/>
  <c r="J35" i="66"/>
  <c r="B9" i="67" s="1"/>
  <c r="H40" i="101"/>
  <c r="F12" i="134" s="1"/>
  <c r="K16" i="66"/>
  <c r="M16" i="66" s="1"/>
  <c r="O16" i="66" s="1"/>
  <c r="H3" i="133"/>
  <c r="I32" i="62"/>
  <c r="K32" i="62" s="1"/>
  <c r="L32" i="62"/>
  <c r="K15" i="66"/>
  <c r="M15" i="66" s="1"/>
  <c r="O15" i="66" s="1"/>
  <c r="H35" i="66"/>
  <c r="B11" i="67" s="1"/>
  <c r="L25" i="62"/>
  <c r="I25" i="62"/>
  <c r="K25" i="62" s="1"/>
  <c r="B30" i="133"/>
  <c r="D30" i="133" s="1"/>
  <c r="F30" i="133" s="1"/>
  <c r="H30" i="133" s="1"/>
  <c r="K29" i="66"/>
  <c r="M29" i="66" s="1"/>
  <c r="O29" i="66" s="1"/>
  <c r="H43" i="126"/>
  <c r="B4" i="133"/>
  <c r="D4" i="133" s="1"/>
  <c r="F4" i="133" s="1"/>
  <c r="H4" i="133" s="1"/>
  <c r="B27" i="133"/>
  <c r="D27" i="133" s="1"/>
  <c r="F27" i="133" s="1"/>
  <c r="H27" i="133" s="1"/>
  <c r="H18" i="118"/>
  <c r="I18" i="118" s="1"/>
  <c r="I28" i="118" s="1"/>
  <c r="K26" i="66"/>
  <c r="M26" i="66" s="1"/>
  <c r="O26" i="66" s="1"/>
  <c r="K3" i="66"/>
  <c r="I15" i="62"/>
  <c r="K15" i="62" s="1"/>
  <c r="J18" i="134"/>
  <c r="L18" i="134" s="1"/>
  <c r="G46" i="109"/>
  <c r="F20" i="134" s="1"/>
  <c r="B24" i="133"/>
  <c r="D24" i="133" s="1"/>
  <c r="F24" i="133" s="1"/>
  <c r="H24" i="133" s="1"/>
  <c r="L28" i="62"/>
  <c r="E28" i="108"/>
  <c r="H43" i="125"/>
  <c r="L33" i="62"/>
  <c r="C9" i="62"/>
  <c r="E9" i="62" s="1"/>
  <c r="G9" i="62" s="1"/>
  <c r="K24" i="66"/>
  <c r="M24" i="66" s="1"/>
  <c r="O24" i="66" s="1"/>
  <c r="L24" i="62"/>
  <c r="I24" i="62"/>
  <c r="K24" i="62" s="1"/>
  <c r="E9" i="134"/>
  <c r="K19" i="66"/>
  <c r="M19" i="66" s="1"/>
  <c r="O19" i="66" s="1"/>
  <c r="K8" i="66"/>
  <c r="M8" i="66" s="1"/>
  <c r="O8" i="66" s="1"/>
  <c r="H43" i="127"/>
  <c r="B5" i="133"/>
  <c r="D5" i="133" s="1"/>
  <c r="F5" i="133" s="1"/>
  <c r="H5" i="133" s="1"/>
  <c r="H33" i="114"/>
  <c r="H32" i="114"/>
  <c r="X30" i="66"/>
  <c r="Y30" i="66" s="1"/>
  <c r="F30" i="66" s="1"/>
  <c r="D34" i="43"/>
  <c r="U5" i="66"/>
  <c r="V5" i="66" s="1"/>
  <c r="E5" i="66" s="1"/>
  <c r="K5" i="66" s="1"/>
  <c r="M5" i="66" s="1"/>
  <c r="O5" i="66" s="1"/>
  <c r="K34" i="66"/>
  <c r="M34" i="66" s="1"/>
  <c r="O34" i="66" s="1"/>
  <c r="K33" i="66"/>
  <c r="M33" i="66" s="1"/>
  <c r="O33" i="66" s="1"/>
  <c r="C24" i="75"/>
  <c r="B24" i="75" s="1"/>
  <c r="E18" i="75"/>
  <c r="C19" i="62"/>
  <c r="E19" i="62" s="1"/>
  <c r="G19" i="62" s="1"/>
  <c r="U21" i="66"/>
  <c r="V21" i="66" s="1"/>
  <c r="E21" i="66" s="1"/>
  <c r="B7" i="83"/>
  <c r="E22" i="86"/>
  <c r="C24" i="78"/>
  <c r="B24" i="78" s="1"/>
  <c r="B23" i="78"/>
  <c r="K25" i="66"/>
  <c r="M25" i="66" s="1"/>
  <c r="O25" i="66" s="1"/>
  <c r="B23" i="74"/>
  <c r="E18" i="74"/>
  <c r="F30" i="116"/>
  <c r="B25" i="133"/>
  <c r="D25" i="133" s="1"/>
  <c r="F25" i="133" s="1"/>
  <c r="H25" i="133" s="1"/>
  <c r="H30" i="119"/>
  <c r="E34" i="134" s="1"/>
  <c r="H28" i="107"/>
  <c r="J30" i="134"/>
  <c r="L30" i="134" s="1"/>
  <c r="X21" i="66" l="1"/>
  <c r="Y21" i="66" s="1"/>
  <c r="F21" i="66" s="1"/>
  <c r="K21" i="66" s="1"/>
  <c r="M21" i="66" s="1"/>
  <c r="O21" i="66" s="1"/>
  <c r="E20" i="148"/>
  <c r="H22" i="105"/>
  <c r="F16" i="134" s="1"/>
  <c r="J16" i="134" s="1"/>
  <c r="L16" i="134" s="1"/>
  <c r="N16" i="134" s="1"/>
  <c r="G25" i="103"/>
  <c r="F13" i="134" s="1"/>
  <c r="J13" i="134" s="1"/>
  <c r="L13" i="134" s="1"/>
  <c r="N13" i="134" s="1"/>
  <c r="K9" i="66"/>
  <c r="M9" i="66" s="1"/>
  <c r="O9" i="66" s="1"/>
  <c r="I10" i="62"/>
  <c r="K10" i="62" s="1"/>
  <c r="F35" i="133"/>
  <c r="F37" i="133" s="1"/>
  <c r="I27" i="62"/>
  <c r="K27" i="62" s="1"/>
  <c r="N37" i="134"/>
  <c r="N38" i="134"/>
  <c r="L33" i="134"/>
  <c r="E17" i="43"/>
  <c r="J18" i="43" s="1"/>
  <c r="G42" i="134"/>
  <c r="C8" i="132" s="1"/>
  <c r="E19" i="43"/>
  <c r="H33" i="131"/>
  <c r="H32" i="131"/>
  <c r="J9" i="134"/>
  <c r="L9" i="134" s="1"/>
  <c r="N9" i="134" s="1"/>
  <c r="J17" i="134"/>
  <c r="L17" i="134" s="1"/>
  <c r="N17" i="134" s="1"/>
  <c r="K27" i="106"/>
  <c r="K29" i="106" s="1"/>
  <c r="J8" i="134"/>
  <c r="L8" i="134" s="1"/>
  <c r="N8" i="134" s="1"/>
  <c r="J28" i="134"/>
  <c r="L28" i="134" s="1"/>
  <c r="N28" i="134" s="1"/>
  <c r="L8" i="62"/>
  <c r="L29" i="62"/>
  <c r="J21" i="134"/>
  <c r="L21" i="134" s="1"/>
  <c r="N21" i="134" s="1"/>
  <c r="E35" i="134"/>
  <c r="J35" i="134" s="1"/>
  <c r="G37" i="120"/>
  <c r="G30" i="116"/>
  <c r="N40" i="134"/>
  <c r="N39" i="134"/>
  <c r="G34" i="62"/>
  <c r="J14" i="134"/>
  <c r="L14" i="134" s="1"/>
  <c r="N14" i="134" s="1"/>
  <c r="N30" i="134"/>
  <c r="N32" i="134"/>
  <c r="H32" i="129"/>
  <c r="H31" i="129"/>
  <c r="H32" i="128"/>
  <c r="H33" i="128"/>
  <c r="J34" i="134"/>
  <c r="N41" i="134"/>
  <c r="N18" i="134"/>
  <c r="H33" i="130"/>
  <c r="H32" i="121"/>
  <c r="J36" i="134"/>
  <c r="H33" i="121"/>
  <c r="J22" i="134"/>
  <c r="L22" i="134" s="1"/>
  <c r="N22" i="134" s="1"/>
  <c r="J20" i="134"/>
  <c r="L20" i="134" s="1"/>
  <c r="N20" i="134" s="1"/>
  <c r="H32" i="104"/>
  <c r="J12" i="134"/>
  <c r="L12" i="134" s="1"/>
  <c r="N12" i="134" s="1"/>
  <c r="H32" i="111"/>
  <c r="H32" i="101"/>
  <c r="H33" i="110"/>
  <c r="H32" i="110"/>
  <c r="D15" i="134"/>
  <c r="J15" i="134" s="1"/>
  <c r="L15" i="134" s="1"/>
  <c r="N15" i="134" s="1"/>
  <c r="H33" i="104"/>
  <c r="H35" i="133"/>
  <c r="H32" i="130"/>
  <c r="E10" i="134"/>
  <c r="J10" i="134" s="1"/>
  <c r="L10" i="134" s="1"/>
  <c r="N10" i="134" s="1"/>
  <c r="E23" i="134"/>
  <c r="J23" i="134" s="1"/>
  <c r="L23" i="134" s="1"/>
  <c r="N23" i="134" s="1"/>
  <c r="H33" i="111"/>
  <c r="G32" i="108"/>
  <c r="D19" i="134"/>
  <c r="J19" i="134" s="1"/>
  <c r="L19" i="134" s="1"/>
  <c r="N19" i="134" s="1"/>
  <c r="G33" i="108"/>
  <c r="J36" i="66"/>
  <c r="C6" i="132"/>
  <c r="H33" i="101"/>
  <c r="I23" i="127"/>
  <c r="E6" i="134" s="1"/>
  <c r="D6" i="134"/>
  <c r="M3" i="66"/>
  <c r="L19" i="62"/>
  <c r="I19" i="62"/>
  <c r="K19" i="62" s="1"/>
  <c r="K30" i="66"/>
  <c r="M30" i="66" s="1"/>
  <c r="O30" i="66" s="1"/>
  <c r="D5" i="134"/>
  <c r="I23" i="126"/>
  <c r="E5" i="134" s="1"/>
  <c r="L9" i="62"/>
  <c r="I9" i="62"/>
  <c r="I23" i="125"/>
  <c r="E4" i="134" s="1"/>
  <c r="D4" i="134"/>
  <c r="D29" i="134"/>
  <c r="J29" i="134" s="1"/>
  <c r="L29" i="134" s="1"/>
  <c r="I21" i="118"/>
  <c r="E35" i="66"/>
  <c r="B6" i="67" s="1"/>
  <c r="F35" i="66" l="1"/>
  <c r="B7" i="67" s="1"/>
  <c r="B12" i="67" s="1"/>
  <c r="B15" i="67" s="1"/>
  <c r="F42" i="134"/>
  <c r="C5" i="132" s="1"/>
  <c r="D27" i="134"/>
  <c r="J27" i="134" s="1"/>
  <c r="L27" i="134" s="1"/>
  <c r="N27" i="134" s="1"/>
  <c r="L35" i="134"/>
  <c r="L36" i="134"/>
  <c r="N36" i="134" s="1"/>
  <c r="L34" i="134"/>
  <c r="N29" i="134"/>
  <c r="L34" i="62"/>
  <c r="N24" i="134"/>
  <c r="J6" i="134"/>
  <c r="L6" i="134" s="1"/>
  <c r="N6" i="134" s="1"/>
  <c r="E42" i="134"/>
  <c r="C4" i="132" s="1"/>
  <c r="K35" i="66"/>
  <c r="J4" i="134"/>
  <c r="O3" i="66"/>
  <c r="O35" i="66" s="1"/>
  <c r="M35" i="66"/>
  <c r="K9" i="62"/>
  <c r="K34" i="62" s="1"/>
  <c r="I34" i="62"/>
  <c r="J5" i="134"/>
  <c r="L5" i="134" s="1"/>
  <c r="D42" i="134" l="1"/>
  <c r="C3" i="132" s="1"/>
  <c r="C9" i="132" s="1"/>
  <c r="C39" i="132" s="1"/>
  <c r="C46" i="132" s="1"/>
  <c r="N34" i="134"/>
  <c r="N35" i="134"/>
  <c r="N33" i="134"/>
  <c r="C15" i="67"/>
  <c r="B23" i="67" s="1"/>
  <c r="B25" i="67" s="1"/>
  <c r="B27" i="67" s="1"/>
  <c r="J42" i="134"/>
  <c r="L4" i="134"/>
  <c r="H36" i="133" l="1"/>
  <c r="N5" i="134"/>
  <c r="D12" i="132"/>
  <c r="C12" i="132"/>
  <c r="L42" i="134"/>
  <c r="N4" i="134"/>
  <c r="N42" i="134" l="1"/>
  <c r="C20" i="132"/>
  <c r="C22" i="132" l="1"/>
  <c r="C24" i="132" s="1"/>
</calcChain>
</file>

<file path=xl/sharedStrings.xml><?xml version="1.0" encoding="utf-8"?>
<sst xmlns="http://schemas.openxmlformats.org/spreadsheetml/2006/main" count="10519" uniqueCount="875">
  <si>
    <t>Machine Brand</t>
  </si>
  <si>
    <t>EGT</t>
  </si>
  <si>
    <t>A</t>
  </si>
  <si>
    <t>MEGA VISION</t>
  </si>
  <si>
    <t>1 Credit = $</t>
  </si>
  <si>
    <t>Machine Number</t>
  </si>
  <si>
    <t>GAME</t>
  </si>
  <si>
    <t>MULTI GAMES</t>
  </si>
  <si>
    <t>TOTAL BET (COIN IN)</t>
  </si>
  <si>
    <t>TOTAL CASHABLE PLAYED</t>
  </si>
  <si>
    <t>TOTAL PROMOTIONAL PLAYED</t>
  </si>
  <si>
    <t>TOTAL NON-CASHABLE PLAYED</t>
  </si>
  <si>
    <t>TOTAL WON</t>
  </si>
  <si>
    <t>TOTAL WINNINGS TO CREDIT</t>
  </si>
  <si>
    <t>WINNINGS FROM  PAYTABLE (COIN OUT)</t>
  </si>
  <si>
    <t>WINNINGS FROM PROGRESSIVES</t>
  </si>
  <si>
    <t>WINNINGS FROM EXTERNAL BONUSES</t>
  </si>
  <si>
    <t>TOTAL WINNINGS PAID BY ATTENDANT</t>
  </si>
  <si>
    <t>Attendant Paid Paytable Winnings</t>
  </si>
  <si>
    <t>Attedant Paid Progressives</t>
  </si>
  <si>
    <t>Attendant Paid External Bonuses</t>
  </si>
  <si>
    <t>Machine Hold %</t>
  </si>
  <si>
    <t>Machine Yield %</t>
  </si>
  <si>
    <t>Weighted average TRTP %</t>
  </si>
  <si>
    <t>TOTAL IN</t>
  </si>
  <si>
    <t>Physical Coin In</t>
  </si>
  <si>
    <t>Bill In</t>
  </si>
  <si>
    <t>Cashless in</t>
  </si>
  <si>
    <t>Cashable Electronic in</t>
  </si>
  <si>
    <t>KEYED IN</t>
  </si>
  <si>
    <t>Promotional Electronic In</t>
  </si>
  <si>
    <t>Non cashable electronic In</t>
  </si>
  <si>
    <t>Voucher In</t>
  </si>
  <si>
    <t>Cashable voucher In</t>
  </si>
  <si>
    <t>Promotional voucher in</t>
  </si>
  <si>
    <t>Non-cashable Voucher In</t>
  </si>
  <si>
    <t xml:space="preserve"> </t>
  </si>
  <si>
    <t>TOTAL OUT</t>
  </si>
  <si>
    <t>Physical Coin Out</t>
  </si>
  <si>
    <t>Total Winnings Paid By Attendant</t>
  </si>
  <si>
    <t>Cancelled Credits Paid by Attendant</t>
  </si>
  <si>
    <t>VOUCHER OUT</t>
  </si>
  <si>
    <t>Cashable Voucher Out</t>
  </si>
  <si>
    <t>non-cashable Voucher Out</t>
  </si>
  <si>
    <t>CASHLESS OUT</t>
  </si>
  <si>
    <t>Cashable Electronic Out</t>
  </si>
  <si>
    <t>Promotional Electronic Out</t>
  </si>
  <si>
    <t>Non-cashable Electronic Out</t>
  </si>
  <si>
    <t>TOTAL CANCELLED CREDITS</t>
  </si>
  <si>
    <t>TOTAL HANDPAY RECEIPT</t>
  </si>
  <si>
    <t>Cancelled Credits Receipt</t>
  </si>
  <si>
    <t>Jackpot Receipt</t>
  </si>
  <si>
    <t>COIN DROP</t>
  </si>
  <si>
    <t>Extra Coins Out</t>
  </si>
  <si>
    <t>Hopper Fill</t>
  </si>
  <si>
    <t>Quantity of Physical Coins In</t>
  </si>
  <si>
    <t>Quantity of Physical Coins Out</t>
  </si>
  <si>
    <t>Quantity of Physical Coins In Drop</t>
  </si>
  <si>
    <t>TOTAL GAMES PLAYED</t>
  </si>
  <si>
    <t>Total GAMES Won</t>
  </si>
  <si>
    <t>Total GAMES Lost</t>
  </si>
  <si>
    <t>Main Games Lost</t>
  </si>
  <si>
    <t>Games Lost In Gamble</t>
  </si>
  <si>
    <t>LADYS CARDS JACKPOT STATISTICS</t>
  </si>
  <si>
    <t>CLUBS</t>
  </si>
  <si>
    <t>DIAMONDS</t>
  </si>
  <si>
    <t>HEARTS</t>
  </si>
  <si>
    <t>SPADES</t>
  </si>
  <si>
    <t>TOTAL</t>
  </si>
  <si>
    <t>AMES WON</t>
  </si>
  <si>
    <t>ATRONIC</t>
  </si>
  <si>
    <t>True In</t>
  </si>
  <si>
    <t>Pysical Coin In</t>
  </si>
  <si>
    <t>Bills in</t>
  </si>
  <si>
    <t>Total voucher In</t>
  </si>
  <si>
    <t>Total Cashless Transactions In</t>
  </si>
  <si>
    <t>Money Wagered</t>
  </si>
  <si>
    <t>Money Won (incl Bonus Jackpot)</t>
  </si>
  <si>
    <t>Money Won (incl Bonus JP Bonus)</t>
  </si>
  <si>
    <t>Money Won (incl Bonus JP Bonus, Jackpot)</t>
  </si>
  <si>
    <t>Total Bonus In</t>
  </si>
  <si>
    <t>True Out</t>
  </si>
  <si>
    <t>Total voucher Out</t>
  </si>
  <si>
    <t>Total Cashless Transactions Out</t>
  </si>
  <si>
    <t>Handpay</t>
  </si>
  <si>
    <t>Handpay (Incl Jackpot)</t>
  </si>
  <si>
    <t>Jackpot</t>
  </si>
  <si>
    <t>Jackpot (Incl Progressive JP, Bonus)</t>
  </si>
  <si>
    <t>Net Win(Incl Progressive JP)</t>
  </si>
  <si>
    <t>Net Win (Incl Progressive JP, Bonus)</t>
  </si>
  <si>
    <t>Total Drop</t>
  </si>
  <si>
    <t>Current Payout %(Incl Progressive JP)</t>
  </si>
  <si>
    <t>Current Payout % (Incl Progressive JP, Bonus)</t>
  </si>
  <si>
    <t>TOTAL PROMOTIONALPLAYED</t>
  </si>
  <si>
    <t xml:space="preserve">     </t>
  </si>
  <si>
    <t>TOTAL NONCASHABLE PLAYED</t>
  </si>
  <si>
    <t>WINNINGS PAYTABLE(COIN OUT)</t>
  </si>
  <si>
    <t>Attendant Paid Paytable</t>
  </si>
  <si>
    <t>Non-cashable electronic In</t>
  </si>
  <si>
    <t>VOUCHER IN</t>
  </si>
  <si>
    <t>Cashable Voucher in</t>
  </si>
  <si>
    <t>promotional Voucher in</t>
  </si>
  <si>
    <t>Non-cashable Voucher in</t>
  </si>
  <si>
    <t>Games Lost In Double Up</t>
  </si>
  <si>
    <t xml:space="preserve">  </t>
  </si>
  <si>
    <t>on</t>
  </si>
  <si>
    <t>Non-cashable Electronic In</t>
  </si>
  <si>
    <t>cancelled credits paid by attendant</t>
  </si>
  <si>
    <t>Non-cashableElectronic in In</t>
  </si>
  <si>
    <t>cancelled credits paid by attentant</t>
  </si>
  <si>
    <t>AMAZING AMBER</t>
  </si>
  <si>
    <t>IGT</t>
  </si>
  <si>
    <t>VIDEO POKER</t>
  </si>
  <si>
    <t>ram clear 16/02/2021</t>
  </si>
  <si>
    <t>COINS IN</t>
  </si>
  <si>
    <t>PHYSICAL COINS IN</t>
  </si>
  <si>
    <t>COINS OUT</t>
  </si>
  <si>
    <t>PHYSICAL COINS OUT</t>
  </si>
  <si>
    <t>CANCELLED CREDITS</t>
  </si>
  <si>
    <t>JACKPOT</t>
  </si>
  <si>
    <t>YEILD</t>
  </si>
  <si>
    <t>DROP</t>
  </si>
  <si>
    <t>TOP WINS</t>
  </si>
  <si>
    <t>TOTAL WINS</t>
  </si>
  <si>
    <t>LOSSES</t>
  </si>
  <si>
    <t>GAMES PLAYED</t>
  </si>
  <si>
    <t>COIN IN TILT</t>
  </si>
  <si>
    <t>JAMS</t>
  </si>
  <si>
    <t>COIN OUT TILT</t>
  </si>
  <si>
    <t>HOPPER EMPTY</t>
  </si>
  <si>
    <t>DOOR OPEN</t>
  </si>
  <si>
    <t>RESETS</t>
  </si>
  <si>
    <t>CREDIT BET</t>
  </si>
  <si>
    <t>CREDIT WON</t>
  </si>
  <si>
    <t>CREDIT PAID</t>
  </si>
  <si>
    <t>MECHANICAL METERS</t>
  </si>
  <si>
    <t>CREDIT IN</t>
  </si>
  <si>
    <t>CREDIT  OUT</t>
  </si>
  <si>
    <t>TOTAL HANDPAYS</t>
  </si>
  <si>
    <t>BILL DROP</t>
  </si>
  <si>
    <t>BONUS METERS</t>
  </si>
  <si>
    <t>DEDUCTIBLE</t>
  </si>
  <si>
    <t>NON DEDUCTIBLE</t>
  </si>
  <si>
    <t>CUMULATIVE EFT DOWNLOADS</t>
  </si>
  <si>
    <t>PROMOTIONAL CREDITS</t>
  </si>
  <si>
    <t>CASHABLE CREDITS</t>
  </si>
  <si>
    <t>NON CASHABLE CREDITS</t>
  </si>
  <si>
    <t>CUMULATIVE EFT UPLOADS</t>
  </si>
  <si>
    <t>UPLOADED CREDITS</t>
  </si>
  <si>
    <t>CURRENT EFT METERS</t>
  </si>
  <si>
    <t>BUFFERED CREDITS</t>
  </si>
  <si>
    <t xml:space="preserve">GAMES PLAYED WITH </t>
  </si>
  <si>
    <t>1 CREDIT</t>
  </si>
  <si>
    <t>2 CREDIT</t>
  </si>
  <si>
    <t>3 CREDIT</t>
  </si>
  <si>
    <t>4 CREDIT</t>
  </si>
  <si>
    <t>5 CREDIT</t>
  </si>
  <si>
    <t>6 CREDIT</t>
  </si>
  <si>
    <t>7 CREDIT</t>
  </si>
  <si>
    <t>8 CREDIT</t>
  </si>
  <si>
    <t>9 CREDIT</t>
  </si>
  <si>
    <t>10 CREDIT</t>
  </si>
  <si>
    <t>C</t>
  </si>
  <si>
    <t>PHARAOS FORTUNE</t>
  </si>
  <si>
    <t>COINS IN (total played)</t>
  </si>
  <si>
    <t xml:space="preserve">    </t>
  </si>
  <si>
    <t>total won</t>
  </si>
  <si>
    <t>machine paid won</t>
  </si>
  <si>
    <t>coin out (machine paid paytable)</t>
  </si>
  <si>
    <t>MACHINE PAID PROGRESSIVE PAYOUT</t>
  </si>
  <si>
    <t>MACH PAID EXTERNAL BONUS PAYOUT</t>
  </si>
  <si>
    <t>ATTENDANT PAID WON</t>
  </si>
  <si>
    <t>ATTENDANT PAID JACKPOTS</t>
  </si>
  <si>
    <t>ATT PAID PROGRESSIVE PAYOUT</t>
  </si>
  <si>
    <t>ATT PAID EXTERNAL BONUS PAYOUT</t>
  </si>
  <si>
    <t>JACKPOT RESET TO CREDIT</t>
  </si>
  <si>
    <t>machine hold %</t>
  </si>
  <si>
    <t>machine yield %</t>
  </si>
  <si>
    <t>base machine hold %</t>
  </si>
  <si>
    <t>base machine yield %</t>
  </si>
  <si>
    <t>total in</t>
  </si>
  <si>
    <t>physical coin in</t>
  </si>
  <si>
    <t>bill in</t>
  </si>
  <si>
    <t>CASHLESS IN</t>
  </si>
  <si>
    <t>EFT IN</t>
  </si>
  <si>
    <t>WAT IN</t>
  </si>
  <si>
    <t>CASHABLE ELEC PROMO IN</t>
  </si>
  <si>
    <t>NON CASHABLE ELEC PROMO IN</t>
  </si>
  <si>
    <t>CASHABLE VOUCHER IN</t>
  </si>
  <si>
    <t>CASHABLE PROMO  VOUCHER IN</t>
  </si>
  <si>
    <t>COUPON PROMO IN(NONCASHABLE)</t>
  </si>
  <si>
    <t>×</t>
  </si>
  <si>
    <t>Total Out</t>
  </si>
  <si>
    <t>physical coin out</t>
  </si>
  <si>
    <t>Cashless out</t>
  </si>
  <si>
    <t>WAT out</t>
  </si>
  <si>
    <t>cashable elctronic promo out</t>
  </si>
  <si>
    <t>voucher out</t>
  </si>
  <si>
    <t>coupon promo out</t>
  </si>
  <si>
    <t>attendant Paid won</t>
  </si>
  <si>
    <t>Attandant paid Cancel credit</t>
  </si>
  <si>
    <t>total handpay receipt</t>
  </si>
  <si>
    <t>cancelled credit receipt</t>
  </si>
  <si>
    <t>jackpot receipt</t>
  </si>
  <si>
    <t>T</t>
  </si>
  <si>
    <t>TOTAL GAMES WON</t>
  </si>
  <si>
    <t>TOTAL GAMES LOST</t>
  </si>
  <si>
    <t xml:space="preserve"> TOTAL CASHABLE PROMOTIONAL PLAYED</t>
  </si>
  <si>
    <t>TOTAL NONCASHABLE PROMOTIONAL PLAYED</t>
  </si>
  <si>
    <t>QUANTITY OF PHYSICALCOINS IN</t>
  </si>
  <si>
    <t>QUANTITY OF PHYSICAL COINS OUT</t>
  </si>
  <si>
    <t>HARD METERS</t>
  </si>
  <si>
    <t>COIN IN</t>
  </si>
  <si>
    <t>COIN OUT</t>
  </si>
  <si>
    <t>HANDPAYS</t>
  </si>
  <si>
    <t>BILLDROP</t>
  </si>
  <si>
    <t>Nom_______________</t>
  </si>
  <si>
    <t>Sign_______________</t>
  </si>
  <si>
    <t>Annalyste</t>
  </si>
  <si>
    <t>Nom_____________</t>
  </si>
  <si>
    <t>B</t>
  </si>
  <si>
    <t>i game</t>
  </si>
  <si>
    <t>$</t>
  </si>
  <si>
    <t>CLEOPATRA</t>
  </si>
  <si>
    <t>TOTAL PLAYED (COINS IN)</t>
  </si>
  <si>
    <t>COINS WON (COINS OUT)</t>
  </si>
  <si>
    <t>JACKPOT WON</t>
  </si>
  <si>
    <t>MACHINE HOLD</t>
  </si>
  <si>
    <t>MACHINE YEILD</t>
  </si>
  <si>
    <t>TOTAL IN ( CREDIT )</t>
  </si>
  <si>
    <t>COIN IN 2</t>
  </si>
  <si>
    <t>BILL IN</t>
  </si>
  <si>
    <t>DEBIT IN</t>
  </si>
  <si>
    <t>TOTAL OUT CREDIT</t>
  </si>
  <si>
    <t>DEBIT OUT</t>
  </si>
  <si>
    <t>JACKPOT HANDPAY</t>
  </si>
  <si>
    <t>CANCELLED CREDIT</t>
  </si>
  <si>
    <t>TOTAL MONEY TO DROP</t>
  </si>
  <si>
    <t>BILL TO DROP</t>
  </si>
  <si>
    <t>COINS TO DROP</t>
  </si>
  <si>
    <t>HOPPER FILL</t>
  </si>
  <si>
    <t>TOTAL GAME WON</t>
  </si>
  <si>
    <t>PHYSICAL COINS 2 IN</t>
  </si>
  <si>
    <t>BASE MACHINE HOLD</t>
  </si>
  <si>
    <t>BASE MACHINE YEILD</t>
  </si>
  <si>
    <t>System total Bonus won</t>
  </si>
  <si>
    <t>System deductable bonus won</t>
  </si>
  <si>
    <t>system non deductable bonus won</t>
  </si>
  <si>
    <t>system wager match bonus won</t>
  </si>
  <si>
    <t>system deductible mjt won</t>
  </si>
  <si>
    <t>system  non deductible mjt won</t>
  </si>
  <si>
    <t>system total bonus won</t>
  </si>
  <si>
    <t>RISQUE BUSINESS</t>
  </si>
  <si>
    <t>s</t>
  </si>
  <si>
    <t>BAUM</t>
  </si>
  <si>
    <t>DRACULAS VII</t>
  </si>
  <si>
    <t>VALUE (USD)</t>
  </si>
  <si>
    <t>CREDITS</t>
  </si>
  <si>
    <t xml:space="preserve">PHYSICAL COINS IN </t>
  </si>
  <si>
    <t>REMOTE IN</t>
  </si>
  <si>
    <t>CASHLESS : IN</t>
  </si>
  <si>
    <t>CASHABLE ELECTRONIC IN</t>
  </si>
  <si>
    <t>RESTRICTED IN</t>
  </si>
  <si>
    <t>NON RESTRICTED PROM. IN</t>
  </si>
  <si>
    <t>TICKET &amp; VOUCHER  IN</t>
  </si>
  <si>
    <t>TOTAL OUT (Total cancelled credits)</t>
  </si>
  <si>
    <t xml:space="preserve">PHYSICAL COINS OUT </t>
  </si>
  <si>
    <t>ATTENDANT PAID CANCELLED CREDITS</t>
  </si>
  <si>
    <t xml:space="preserve">WINNINGS PAID BY ATTENDANT </t>
  </si>
  <si>
    <t xml:space="preserve">ATTENDANT PAID BONUSES </t>
  </si>
  <si>
    <t xml:space="preserve">CASHLESS : OUT </t>
  </si>
  <si>
    <t xml:space="preserve">CASHABLE ELECTRONIC : OUT </t>
  </si>
  <si>
    <t xml:space="preserve">RESTRICTED : OUT </t>
  </si>
  <si>
    <t xml:space="preserve">NON RESTRICTED PROM. : OUT </t>
  </si>
  <si>
    <t xml:space="preserve">TICKET &amp; VOUCHER OUT </t>
  </si>
  <si>
    <t xml:space="preserve">TOTAL IN - TOTAL OUT : </t>
  </si>
  <si>
    <t>TOTAL BET (Coin  in )</t>
  </si>
  <si>
    <t>TOTAL WINNING TO CREDITS (Coin out )</t>
  </si>
  <si>
    <t xml:space="preserve">GAME WINNING TO CREDITS </t>
  </si>
  <si>
    <t>WINNINGS FROM BONUSES</t>
  </si>
  <si>
    <t>MACHINE YIELD (win /bet)</t>
  </si>
  <si>
    <t>COUNT</t>
  </si>
  <si>
    <t>TOTAL USD</t>
  </si>
  <si>
    <t>CREDIT</t>
  </si>
  <si>
    <t>LEGACY EXTERNAL BONUSES</t>
  </si>
  <si>
    <t xml:space="preserve">LEGACY EXTERNAL DEDUCTIBLE </t>
  </si>
  <si>
    <t xml:space="preserve">LEGACY EXTERNAL NON-DEDUCTIBLE </t>
  </si>
  <si>
    <t>LEGACY EXTERNAL WAGER M.</t>
  </si>
  <si>
    <t>LEGACY EXTERNEL TO HANDPAY</t>
  </si>
  <si>
    <t>AFT EXTERNAL BONUSES</t>
  </si>
  <si>
    <t>AFT EXTERNAL BONUSES CASHABLE</t>
  </si>
  <si>
    <t xml:space="preserve">AFT EXTERNAL BONUSES NONRESTRICTED </t>
  </si>
  <si>
    <t>COINS SENT TO BOX</t>
  </si>
  <si>
    <t>CASHLESS CASHABLE : IN</t>
  </si>
  <si>
    <t>CASHLESS RESTRICTED : IN</t>
  </si>
  <si>
    <t>CASHLESS NON RESTR. : IN</t>
  </si>
  <si>
    <t xml:space="preserve">CASHLESS CASHABLE : OUT </t>
  </si>
  <si>
    <t xml:space="preserve">CASHLESS RESTRICTED : OUT </t>
  </si>
  <si>
    <t>CASHLESS NON RESTR. : OUT</t>
  </si>
  <si>
    <t>TICKET CASHABLE : IN</t>
  </si>
  <si>
    <t>TICKET RESTRICTED : IN</t>
  </si>
  <si>
    <t>TICKET NON RESTR. : IN</t>
  </si>
  <si>
    <t xml:space="preserve">TICKET CASHABLE : OUT </t>
  </si>
  <si>
    <t>TICKET RESTRICTED : OUT</t>
  </si>
  <si>
    <t xml:space="preserve">TICKET NON RESTR. : OUT </t>
  </si>
  <si>
    <t xml:space="preserve">WIN TO TICKET : OUT </t>
  </si>
  <si>
    <t>BILL ACCEPTOR : JCM : EBA , WBA , UBA , ARDAC ELITE (ID003)</t>
  </si>
  <si>
    <t>CHANNEL</t>
  </si>
  <si>
    <t>TOTAL (USD)</t>
  </si>
  <si>
    <t>COIN ACCEPTOR : NRI - G13 MFT (impulse lengh 100ms)</t>
  </si>
  <si>
    <t xml:space="preserve">CREDIT </t>
  </si>
  <si>
    <t xml:space="preserve">HOPPERS DETAILS : MK IV </t>
  </si>
  <si>
    <t xml:space="preserve">COUNT </t>
  </si>
  <si>
    <t>COIN VALUE</t>
  </si>
  <si>
    <t>HOPPER 1</t>
  </si>
  <si>
    <t>COINS TO HOPPER</t>
  </si>
  <si>
    <t>HOPPER OUT</t>
  </si>
  <si>
    <t>HOPPER REFILL</t>
  </si>
  <si>
    <t>HOPPER DUMP</t>
  </si>
  <si>
    <t>HOPPER LEVEL</t>
  </si>
  <si>
    <t>HOPPER 2</t>
  </si>
  <si>
    <t>HARD METER COPY</t>
  </si>
  <si>
    <t>CREDIT OUT</t>
  </si>
  <si>
    <t>BET</t>
  </si>
  <si>
    <t>PLAY</t>
  </si>
  <si>
    <t>WIN</t>
  </si>
  <si>
    <t>REMOTE</t>
  </si>
  <si>
    <t>HANDPAY</t>
  </si>
  <si>
    <t>BILLS</t>
  </si>
  <si>
    <t>DRACULAS VIII</t>
  </si>
  <si>
    <t>DRACULAS VI</t>
  </si>
  <si>
    <t>ram clear 03/11/2020</t>
  </si>
  <si>
    <t>FIRE CHIEF</t>
  </si>
  <si>
    <t>Mon,won+prog+Bonus,wo  JP;</t>
  </si>
  <si>
    <t>Mon,won+prog+Bonus,w  JP;</t>
  </si>
  <si>
    <t>Coin Drop</t>
  </si>
  <si>
    <t>Hand paid wo JP</t>
  </si>
  <si>
    <t>Hand paid w JP</t>
  </si>
  <si>
    <t>Games played</t>
  </si>
  <si>
    <t>Games Won</t>
  </si>
  <si>
    <t>Jackpots Wo prog.and Bonus</t>
  </si>
  <si>
    <t>Jackpots W prog.and Bonus</t>
  </si>
  <si>
    <t>Jackpot Hits</t>
  </si>
  <si>
    <t>Door Opens</t>
  </si>
  <si>
    <t>Pysical Coin Out</t>
  </si>
  <si>
    <t>Net Win</t>
  </si>
  <si>
    <t>Cur.payout% with Bonus</t>
  </si>
  <si>
    <t>Cur.payout% w/o Bonus</t>
  </si>
  <si>
    <t>Coins Overpaid</t>
  </si>
  <si>
    <t>Games/Door</t>
  </si>
  <si>
    <t>Games/Power</t>
  </si>
  <si>
    <t>Hopper Drawer</t>
  </si>
  <si>
    <t>Logic Door</t>
  </si>
  <si>
    <t>Drop Door</t>
  </si>
  <si>
    <t>Billbox Door</t>
  </si>
  <si>
    <t>Bill and Drop Door</t>
  </si>
  <si>
    <t>Billacceptor Stacker</t>
  </si>
  <si>
    <t>Double Utilisation %</t>
  </si>
  <si>
    <t>Double Up Wagered</t>
  </si>
  <si>
    <t>Double Up Won</t>
  </si>
  <si>
    <t>Double Up Payout %</t>
  </si>
  <si>
    <t>Total Bills Currency</t>
  </si>
  <si>
    <t>Total Bills Count</t>
  </si>
  <si>
    <t>FORTUNE COOKIE</t>
  </si>
  <si>
    <t>cash voucher IN</t>
  </si>
  <si>
    <t>CASH VOUCHER OUT</t>
  </si>
  <si>
    <t>Lecture compteurs</t>
  </si>
  <si>
    <t xml:space="preserve">                                                    </t>
  </si>
  <si>
    <t>KING KONG</t>
  </si>
  <si>
    <t>ram cleared started play 11/08/2021</t>
  </si>
  <si>
    <t>PRINCESS OF THE AMAZON</t>
  </si>
  <si>
    <t>BANK 2</t>
  </si>
  <si>
    <t>KONG JACKPOT</t>
  </si>
  <si>
    <t>JACKPOT 1</t>
  </si>
  <si>
    <t>No of Jackpot Hits</t>
  </si>
  <si>
    <t>Jackpot cumulative payout</t>
  </si>
  <si>
    <t>Current Value</t>
  </si>
  <si>
    <t>Base Value</t>
  </si>
  <si>
    <t>Upper Limit</t>
  </si>
  <si>
    <t>Hidden Value</t>
  </si>
  <si>
    <t>Hidden Base Value</t>
  </si>
  <si>
    <t>Hidden Limit</t>
  </si>
  <si>
    <t>Reset Value</t>
  </si>
  <si>
    <t>Max JP Payout</t>
  </si>
  <si>
    <t>Min JP Payout</t>
  </si>
  <si>
    <t>GRAND JACKPOT</t>
  </si>
  <si>
    <t>JACKPOT 2</t>
  </si>
  <si>
    <t>MAJOR JACKPOT</t>
  </si>
  <si>
    <t>JACKPOT 3</t>
  </si>
  <si>
    <t>MINOR JACKPOT</t>
  </si>
  <si>
    <t>JACKPOT 4</t>
  </si>
  <si>
    <t>hot space 3</t>
  </si>
  <si>
    <t>AVERAGE BET</t>
  </si>
  <si>
    <t>GAMES WON</t>
  </si>
  <si>
    <t>GAMES LOST</t>
  </si>
  <si>
    <t xml:space="preserve">FREE GAMES </t>
  </si>
  <si>
    <t>GAMBLE GAMES</t>
  </si>
  <si>
    <t>PAY OUT PERCENTAGE</t>
  </si>
  <si>
    <t>HOLD</t>
  </si>
  <si>
    <t>SLOT DOOR OPENS</t>
  </si>
  <si>
    <t>POWER RESET</t>
  </si>
  <si>
    <t xml:space="preserve">OUT </t>
  </si>
  <si>
    <t>IN</t>
  </si>
  <si>
    <t>OUT/IN</t>
  </si>
  <si>
    <t>IN-OUT</t>
  </si>
  <si>
    <t>KEY IN</t>
  </si>
  <si>
    <t>KEY OFF</t>
  </si>
  <si>
    <t>CASH IN</t>
  </si>
  <si>
    <t>HOT SPACE3</t>
  </si>
  <si>
    <t>BILL in</t>
  </si>
  <si>
    <t>Mac Name</t>
  </si>
  <si>
    <t>model</t>
  </si>
  <si>
    <t>Mac No.</t>
  </si>
  <si>
    <t>bets</t>
  </si>
  <si>
    <t>HOT SHOT PROGRESSIVE</t>
  </si>
  <si>
    <t>BALLY</t>
  </si>
  <si>
    <t>DRACULA VII</t>
  </si>
  <si>
    <t>BILL</t>
  </si>
  <si>
    <t>KEY ON</t>
  </si>
  <si>
    <t>FIRE CRACKER PROGRESIVE</t>
  </si>
  <si>
    <t>DRACULA VIII</t>
  </si>
  <si>
    <t>jackpots</t>
  </si>
  <si>
    <t>DRAW PORKER</t>
  </si>
  <si>
    <t>35-1</t>
  </si>
  <si>
    <t>49-1</t>
  </si>
  <si>
    <t>50-1</t>
  </si>
  <si>
    <t>GAME KING</t>
  </si>
  <si>
    <t>MIGHTY MINES</t>
  </si>
  <si>
    <t>ATRONICS</t>
  </si>
  <si>
    <t>57-2</t>
  </si>
  <si>
    <t>MAGETA</t>
  </si>
  <si>
    <t>legendary classics</t>
  </si>
  <si>
    <t>gambling green</t>
  </si>
  <si>
    <t>absolute azure</t>
  </si>
  <si>
    <t>95-1</t>
  </si>
  <si>
    <t>atronics</t>
  </si>
  <si>
    <t>96-1</t>
  </si>
  <si>
    <t>king kong tropical</t>
  </si>
  <si>
    <t>king kong wild valley</t>
  </si>
  <si>
    <t>king kong prince of amazon</t>
  </si>
  <si>
    <t>ROYAL KEY</t>
  </si>
  <si>
    <t>LITTLE GREEN MEN</t>
  </si>
  <si>
    <t>103-2</t>
  </si>
  <si>
    <t>EGT Multi</t>
  </si>
  <si>
    <t>THE MUNSTERS</t>
  </si>
  <si>
    <t>BILL   COIN TO DROP</t>
  </si>
  <si>
    <t>Mon,won+Bonus,w  JP;</t>
  </si>
  <si>
    <t>,</t>
  </si>
  <si>
    <t>MIGHTY MINER</t>
  </si>
  <si>
    <t>LEOPARD SPOTS</t>
  </si>
  <si>
    <t>cash voucher</t>
  </si>
  <si>
    <t>Cash voucher out</t>
  </si>
  <si>
    <t>Debit out</t>
  </si>
  <si>
    <t>ON</t>
  </si>
  <si>
    <t>THE FROG PRINCE</t>
  </si>
  <si>
    <t>BANK 1</t>
  </si>
  <si>
    <t>ram clear 03/08/2021</t>
  </si>
  <si>
    <t>WILD VALLEY</t>
  </si>
  <si>
    <t>WILD BANK</t>
  </si>
  <si>
    <t>D</t>
  </si>
  <si>
    <t>MONEY STORM</t>
  </si>
  <si>
    <t>MACHINE PAID WON (COINS OUT)</t>
  </si>
  <si>
    <t>PAYTABLE WON</t>
  </si>
  <si>
    <t>PROGRESSIVE WON</t>
  </si>
  <si>
    <t>EXTERNAL BONUS WON</t>
  </si>
  <si>
    <t>ATTENDANT PAID WON (JACKPOT)</t>
  </si>
  <si>
    <t>MACHINE YIELD</t>
  </si>
  <si>
    <t>BASE MACHINE YIELD</t>
  </si>
  <si>
    <t xml:space="preserve">BILL IN </t>
  </si>
  <si>
    <t>JACKPOT  HANDPAY</t>
  </si>
  <si>
    <t>BILLS TO DROP</t>
  </si>
  <si>
    <t>VOUCHERS TO DROP</t>
  </si>
  <si>
    <t>TOTAL NONRESTRICTED PLAYED</t>
  </si>
  <si>
    <t>TOTAL RESTRICTED PLAYED</t>
  </si>
  <si>
    <t>GYPSY MOON</t>
  </si>
  <si>
    <t>DESERT DANCER</t>
  </si>
  <si>
    <t>1421 VOYAGES OF ZHENGHE</t>
  </si>
  <si>
    <t>ENCHANTED UNICORN</t>
  </si>
  <si>
    <t xml:space="preserve">   </t>
  </si>
  <si>
    <t>HOT SHOT</t>
  </si>
  <si>
    <t>Hotshot progressive</t>
  </si>
  <si>
    <t>Coin in</t>
  </si>
  <si>
    <t>Cash promo played (sub total )</t>
  </si>
  <si>
    <t>non cash promo played ( sub Total )</t>
  </si>
  <si>
    <t>coin out</t>
  </si>
  <si>
    <t>Money Won</t>
  </si>
  <si>
    <t>Machine Hold%</t>
  </si>
  <si>
    <t>Machine yield %</t>
  </si>
  <si>
    <t>Machine weighted Average Theoritical payback</t>
  </si>
  <si>
    <t>Total in</t>
  </si>
  <si>
    <t>Physical Coin in</t>
  </si>
  <si>
    <t>Bill in</t>
  </si>
  <si>
    <t>Voucher in</t>
  </si>
  <si>
    <t>cash voucher in</t>
  </si>
  <si>
    <t>cash promo coupon in</t>
  </si>
  <si>
    <t>coupon promotion in</t>
  </si>
  <si>
    <t>Total transfer in</t>
  </si>
  <si>
    <t>Total out</t>
  </si>
  <si>
    <t xml:space="preserve">Physical coin out </t>
  </si>
  <si>
    <t xml:space="preserve">Cash voucher out </t>
  </si>
  <si>
    <t xml:space="preserve">Coupon promotion out </t>
  </si>
  <si>
    <t>Attendant paid jacckpots</t>
  </si>
  <si>
    <t>jackpot vouchers out</t>
  </si>
  <si>
    <t>Attendant paid cancelled credits</t>
  </si>
  <si>
    <t>Total transfer out</t>
  </si>
  <si>
    <t>Total money to drop</t>
  </si>
  <si>
    <t>Total transfer ln</t>
  </si>
  <si>
    <t>vouchers to drop</t>
  </si>
  <si>
    <t>Bills and coins to drop</t>
  </si>
  <si>
    <t>Bill drop</t>
  </si>
  <si>
    <t>Coin drop</t>
  </si>
  <si>
    <t xml:space="preserve">Hopper extra coins out </t>
  </si>
  <si>
    <t>Total games played</t>
  </si>
  <si>
    <t xml:space="preserve">Total games won </t>
  </si>
  <si>
    <t xml:space="preserve">Total games lost </t>
  </si>
  <si>
    <t xml:space="preserve">Physical coin in count </t>
  </si>
  <si>
    <t>Physical coin out count</t>
  </si>
  <si>
    <t>Voucher in count</t>
  </si>
  <si>
    <t xml:space="preserve">Voucher out count </t>
  </si>
  <si>
    <t>Cash promo coupon in count</t>
  </si>
  <si>
    <t xml:space="preserve">Non cash promo coupon in count </t>
  </si>
  <si>
    <t>Non cash promo coupon out count</t>
  </si>
  <si>
    <t xml:space="preserve">Voucher out  </t>
  </si>
  <si>
    <t>Total cancelled credits</t>
  </si>
  <si>
    <t xml:space="preserve">Attendant paid total won </t>
  </si>
  <si>
    <t xml:space="preserve">Paytable jackpots hand paid </t>
  </si>
  <si>
    <t>Total jackpot won recredited</t>
  </si>
  <si>
    <t xml:space="preserve">EFT in </t>
  </si>
  <si>
    <t xml:space="preserve">WAT in </t>
  </si>
  <si>
    <t>Cashable electronic promotion in</t>
  </si>
  <si>
    <t xml:space="preserve">Non cashable electronic promotion in </t>
  </si>
  <si>
    <t>Keyed-on cashable credit in</t>
  </si>
  <si>
    <t xml:space="preserve">Total transfer out </t>
  </si>
  <si>
    <t xml:space="preserve">WAT out </t>
  </si>
  <si>
    <t xml:space="preserve">Cashable electronic promotion out </t>
  </si>
  <si>
    <t xml:space="preserve">Non cashable electronic promotion out </t>
  </si>
  <si>
    <t>Machine paid external bonus payout</t>
  </si>
  <si>
    <t xml:space="preserve">Attendant paid external bonus payout </t>
  </si>
  <si>
    <t xml:space="preserve">Machine paid progressive payout </t>
  </si>
  <si>
    <t>Attendant paid progressive payout</t>
  </si>
  <si>
    <t>JACKPOTS</t>
  </si>
  <si>
    <t>BLAZZING</t>
  </si>
  <si>
    <t>DIAMOND LINE</t>
  </si>
  <si>
    <t>DOUBLE</t>
  </si>
  <si>
    <t>TRIPLE</t>
  </si>
  <si>
    <t>BLAZZING SEVEN TIMES</t>
  </si>
  <si>
    <t>DATE</t>
  </si>
  <si>
    <t>MAC NO</t>
  </si>
  <si>
    <t>CLOSING</t>
  </si>
  <si>
    <t>OPENING</t>
  </si>
  <si>
    <t>DIFFERENCE</t>
  </si>
  <si>
    <t>MAC VAL</t>
  </si>
  <si>
    <t>DAY DROP</t>
  </si>
  <si>
    <t>NIGHT DROP</t>
  </si>
  <si>
    <t xml:space="preserve">NET DROP </t>
  </si>
  <si>
    <t>NO</t>
  </si>
  <si>
    <t xml:space="preserve">                   </t>
  </si>
  <si>
    <t xml:space="preserve">                        </t>
  </si>
  <si>
    <t xml:space="preserve">                                                     </t>
  </si>
  <si>
    <t xml:space="preserve">                         </t>
  </si>
  <si>
    <t xml:space="preserve">            </t>
  </si>
  <si>
    <t xml:space="preserve">                            </t>
  </si>
  <si>
    <t xml:space="preserve">                                                                                                                                                                   </t>
  </si>
  <si>
    <t xml:space="preserve">                                                         </t>
  </si>
  <si>
    <t xml:space="preserve">              </t>
  </si>
  <si>
    <t xml:space="preserve">                                                                                                                                    </t>
  </si>
  <si>
    <t xml:space="preserve">                  </t>
  </si>
  <si>
    <t>ram cleared started play 04/04/2021</t>
  </si>
  <si>
    <t>start after ram clear 09/03/2020</t>
  </si>
  <si>
    <t>door  opens</t>
  </si>
  <si>
    <t>start afer ram clear 10/03/2020</t>
  </si>
  <si>
    <t>TROPICAL PARADISE</t>
  </si>
  <si>
    <t>cash count</t>
  </si>
  <si>
    <t>bills</t>
  </si>
  <si>
    <t>CANCEL CREDIT</t>
  </si>
  <si>
    <t>handpay</t>
  </si>
  <si>
    <t>RESULT COMPTEUR     A</t>
  </si>
  <si>
    <t>TEST RESULTAT</t>
  </si>
  <si>
    <t>RESULTAT COMPILE APRES TEST</t>
  </si>
  <si>
    <t>ACE RESULT B</t>
  </si>
  <si>
    <t>VARIANCE (B-A)</t>
  </si>
  <si>
    <t>denom</t>
  </si>
  <si>
    <t>bills opening</t>
  </si>
  <si>
    <t>bills closing</t>
  </si>
  <si>
    <t>bills mov</t>
  </si>
  <si>
    <t>CASHLESS IN opening</t>
  </si>
  <si>
    <t>CASHLESS IN CLOSING</t>
  </si>
  <si>
    <t>CASHLESS IN MOVEMENT</t>
  </si>
  <si>
    <t>CASHLESS OUT OPRNING</t>
  </si>
  <si>
    <t>CASHLESS OUT CLOSING</t>
  </si>
  <si>
    <t>CASHLESS OUT MOVEMENT</t>
  </si>
  <si>
    <t>CANCEL CREDIT OPENING</t>
  </si>
  <si>
    <t>CANCEL CREDIT CLOSING</t>
  </si>
  <si>
    <t>CANCEL CREDIT MOVEMENT</t>
  </si>
  <si>
    <t>handpay OPENING</t>
  </si>
  <si>
    <t>handpay CLOSING</t>
  </si>
  <si>
    <t>handpay MOVEMENT</t>
  </si>
  <si>
    <t>JACKPOT HANDPAY OPENING</t>
  </si>
  <si>
    <t>JACKPOT HANDPAY CLOSING</t>
  </si>
  <si>
    <t>JACKPOT HANDPAY MOVEMENT</t>
  </si>
  <si>
    <t>FROG PRINCE</t>
  </si>
  <si>
    <t>LEOPARDS SPOT</t>
  </si>
  <si>
    <t>MONSTER</t>
  </si>
  <si>
    <t>UNICORN</t>
  </si>
  <si>
    <t>MONEY TO BURN</t>
  </si>
  <si>
    <t>PHARAOH'S FORTUNE</t>
  </si>
  <si>
    <t>EGT Multi 2</t>
  </si>
  <si>
    <t>EGT Multi 8</t>
  </si>
  <si>
    <t>video poker</t>
  </si>
  <si>
    <t>KINGKONG (PRINCE OF AMAZON)</t>
  </si>
  <si>
    <t>KINGKONG (WILD VALLEY)</t>
  </si>
  <si>
    <t>KINGKONG (TROPICAL PARADISE)</t>
  </si>
  <si>
    <t>1421 VOYAGES</t>
  </si>
  <si>
    <t>DESERT DANCE</t>
  </si>
  <si>
    <t>TOT.</t>
  </si>
  <si>
    <t>ACE connected MAS PURE METERS RESULTS</t>
  </si>
  <si>
    <t>TOTAL CASHLESS IN</t>
  </si>
  <si>
    <t>TOTAL CASHLESS OUT</t>
  </si>
  <si>
    <t>JACKPOT HANDPAY METERED</t>
  </si>
  <si>
    <t>HANDPAY METERED</t>
  </si>
  <si>
    <t>C/C METERED</t>
  </si>
  <si>
    <t>PURE METERED RESULT RECORDED FOR DS</t>
  </si>
  <si>
    <t>POSITIVE</t>
  </si>
  <si>
    <t>NEGATIVE</t>
  </si>
  <si>
    <t>METERRED RESULT</t>
  </si>
  <si>
    <t>UNMETERED MOVMENTS</t>
  </si>
  <si>
    <t>JACKPOT MYSTERY</t>
  </si>
  <si>
    <t>ACE VARIANCE</t>
  </si>
  <si>
    <t>SPECIAL HANDPAY</t>
  </si>
  <si>
    <t>TEST RESULT</t>
  </si>
  <si>
    <t>TOTAL POSITIVE</t>
  </si>
  <si>
    <t>HYBRYD DS RESULT TO COMPARE TO ACE MOVMENT RESULT</t>
  </si>
  <si>
    <t>ACE REPORTED revevu RESULT</t>
  </si>
  <si>
    <t>UNBALANCING VALUE</t>
  </si>
  <si>
    <t>if different to zero DS cannot balance</t>
  </si>
  <si>
    <t>METERED BASED RESULTS TO COMPARE TO ACE SYSTEM MOVMENT RESULT</t>
  </si>
  <si>
    <t>HOTSHOT</t>
  </si>
  <si>
    <t>HOTSHOT progressive</t>
  </si>
  <si>
    <t>ARRET LE -21/02/2020</t>
  </si>
  <si>
    <t>firecracker</t>
  </si>
  <si>
    <t>FIRECRACKER progressive</t>
  </si>
  <si>
    <t>BRONZE</t>
  </si>
  <si>
    <t>SILVER</t>
  </si>
  <si>
    <t>GOLD</t>
  </si>
  <si>
    <t>PLATINUM</t>
  </si>
  <si>
    <t xml:space="preserve">CREDIT IN </t>
  </si>
  <si>
    <t>NB CREDIT OFF 1375,10</t>
  </si>
  <si>
    <t>WIN/LOSS</t>
  </si>
  <si>
    <t>HARD COPY</t>
  </si>
  <si>
    <t>KING KONG SUMMARY</t>
  </si>
  <si>
    <t>JACKPOT BANK 1</t>
  </si>
  <si>
    <t>WILD VALEY</t>
  </si>
  <si>
    <t>TROPICALPARADISE</t>
  </si>
  <si>
    <t>Key In</t>
  </si>
  <si>
    <t>Key Out</t>
  </si>
  <si>
    <t>king Kong Cash jackpot</t>
  </si>
  <si>
    <t>SECRETS ATRONIC</t>
  </si>
  <si>
    <t>BONUS POKER</t>
  </si>
  <si>
    <t>HOTSPACE III</t>
  </si>
  <si>
    <t>EGT Multi 7</t>
  </si>
  <si>
    <t>Blank</t>
  </si>
  <si>
    <t>BLANK</t>
  </si>
  <si>
    <t>JANUARY CLOSING</t>
  </si>
  <si>
    <t>Total IN</t>
  </si>
  <si>
    <t xml:space="preserve">TOTAL OUT </t>
  </si>
  <si>
    <t>RISQUE BIZ</t>
  </si>
  <si>
    <t>VEDIO POKER</t>
  </si>
  <si>
    <t>CE</t>
  </si>
  <si>
    <t>KK BANK 1 total</t>
  </si>
  <si>
    <t>KK BANK 2 total</t>
  </si>
  <si>
    <t>GIPSY MOON</t>
  </si>
  <si>
    <t>WILD BLANK</t>
  </si>
  <si>
    <t xml:space="preserve">BAUM </t>
  </si>
  <si>
    <t>HOT SHOT Progressiv</t>
  </si>
  <si>
    <t>DRACULA 6</t>
  </si>
  <si>
    <t>DRACULA 7</t>
  </si>
  <si>
    <t>DRACULA 8</t>
  </si>
  <si>
    <t>HOTSPACES</t>
  </si>
  <si>
    <t>Multigames</t>
  </si>
  <si>
    <t>HOTSPACE</t>
  </si>
  <si>
    <t>Cash promo played (sud total )</t>
  </si>
  <si>
    <t>ARISTOCRAT</t>
  </si>
  <si>
    <t>50 LIONS</t>
  </si>
  <si>
    <t>MACHINE</t>
  </si>
  <si>
    <t>TURNOVER</t>
  </si>
  <si>
    <t>CASH BOX</t>
  </si>
  <si>
    <t>EXTRA COINS OUT</t>
  </si>
  <si>
    <t>PROGRESSIVE</t>
  </si>
  <si>
    <t>BANK NOTES IN</t>
  </si>
  <si>
    <t>MONEY IN</t>
  </si>
  <si>
    <t>MONEY OUT</t>
  </si>
  <si>
    <t>BONUS IN</t>
  </si>
  <si>
    <t>MONEY IN AS TICKET</t>
  </si>
  <si>
    <t>TOTAL NB OF TICKETS IN</t>
  </si>
  <si>
    <t>MONEY OUT AS TICKETS</t>
  </si>
  <si>
    <t>TOTAL NB OF TICKET OUT</t>
  </si>
  <si>
    <t>CURRENT HOPER LEVEL</t>
  </si>
  <si>
    <t>REFILL COUNT</t>
  </si>
  <si>
    <t>POWER UP SINCE MEM RESET</t>
  </si>
  <si>
    <t>GAMES SINCE LAST POWER UP</t>
  </si>
  <si>
    <t>GAMES SINCE LAST DOOR OPEN</t>
  </si>
  <si>
    <t>True out</t>
  </si>
  <si>
    <t>AUSTRALIAN METERS</t>
  </si>
  <si>
    <t>POMPE II</t>
  </si>
  <si>
    <t>games since last power up</t>
  </si>
  <si>
    <t>cash vouher OUT</t>
  </si>
  <si>
    <t>MMII</t>
  </si>
  <si>
    <t>SECRETS</t>
  </si>
  <si>
    <t>CREDIT WAGERED</t>
  </si>
  <si>
    <t>HAND PAY WON</t>
  </si>
  <si>
    <t>TOTAL DROP</t>
  </si>
  <si>
    <t>COINS DROP</t>
  </si>
  <si>
    <t>HAND PAY</t>
  </si>
  <si>
    <t>JACKPOT HITS</t>
  </si>
  <si>
    <t>DOOR OPENS</t>
  </si>
  <si>
    <t>PHYSICAL COIN IN</t>
  </si>
  <si>
    <t>TRUE IN</t>
  </si>
  <si>
    <t>TRUE OUT</t>
  </si>
  <si>
    <t>NET WIN</t>
  </si>
  <si>
    <t>CURRENT PAY</t>
  </si>
  <si>
    <t>COINS OVERPAID</t>
  </si>
  <si>
    <t>GAMES/DOOR</t>
  </si>
  <si>
    <t>GAMES POWER</t>
  </si>
  <si>
    <t>LOGIC DOOR</t>
  </si>
  <si>
    <t>DROP DOOR</t>
  </si>
  <si>
    <t>BILL BOX DOOR</t>
  </si>
  <si>
    <t>BILL ACC STACKER</t>
  </si>
  <si>
    <t>KEY CREDIT IN</t>
  </si>
  <si>
    <t>KEY CREDIT OUT</t>
  </si>
  <si>
    <t>DOUBLE UTILIZATION</t>
  </si>
  <si>
    <t>DOUBLE UP WAGERED</t>
  </si>
  <si>
    <t>DOUBLE UP WON</t>
  </si>
  <si>
    <t>DOUBLE UP PAYOUT</t>
  </si>
  <si>
    <t>HOPPER CONTENT</t>
  </si>
  <si>
    <t>USD1</t>
  </si>
  <si>
    <t>USD5</t>
  </si>
  <si>
    <t>USD10</t>
  </si>
  <si>
    <t>USD20</t>
  </si>
  <si>
    <t>USD50</t>
  </si>
  <si>
    <t>USD100</t>
  </si>
  <si>
    <t>TOTAL NUMBER OF BILLS</t>
  </si>
  <si>
    <t>TOTAL BILLS CREDIT</t>
  </si>
  <si>
    <t>TOTAL BILLS CURRENT</t>
  </si>
  <si>
    <t>DOGGIE CASH</t>
  </si>
  <si>
    <t>JACKPOT # 1</t>
  </si>
  <si>
    <t>JACKPOT # 2</t>
  </si>
  <si>
    <t>JACKPOT # 3</t>
  </si>
  <si>
    <t>JACKPOT # 4</t>
  </si>
  <si>
    <t>closing meters</t>
  </si>
  <si>
    <t>opening meters</t>
  </si>
  <si>
    <t>RESULTS</t>
  </si>
  <si>
    <t>ATRONICS DIVERSITY</t>
  </si>
  <si>
    <t>Outstanding Orange</t>
  </si>
  <si>
    <t>true in</t>
  </si>
  <si>
    <t>Physical coin in</t>
  </si>
  <si>
    <t>bills in</t>
  </si>
  <si>
    <t>Total vaucher in</t>
  </si>
  <si>
    <t>Money wangered</t>
  </si>
  <si>
    <t>money won</t>
  </si>
  <si>
    <t>money played</t>
  </si>
  <si>
    <t>Money Won (incl Bonus, jcpts)</t>
  </si>
  <si>
    <t>Money Won (incl  prg Bonus, jcpts)</t>
  </si>
  <si>
    <t>total bonus in</t>
  </si>
  <si>
    <t>true out</t>
  </si>
  <si>
    <t>Physical coin out</t>
  </si>
  <si>
    <t>total voucher out</t>
  </si>
  <si>
    <t>Total drop</t>
  </si>
  <si>
    <t>total cashless trans in</t>
  </si>
  <si>
    <t>cashless in</t>
  </si>
  <si>
    <t>hand pay</t>
  </si>
  <si>
    <t>total cashless trans out</t>
  </si>
  <si>
    <t>cashless out</t>
  </si>
  <si>
    <t>Handpay (incl jackpt)</t>
  </si>
  <si>
    <t>jackpot</t>
  </si>
  <si>
    <t>jackpot (incl progressive jp, bonus)</t>
  </si>
  <si>
    <t>Net win (inc progressive jpt)</t>
  </si>
  <si>
    <t>Net win (inc progressive jpt, bonus)</t>
  </si>
  <si>
    <t>total voucher in</t>
  </si>
  <si>
    <t>²</t>
  </si>
  <si>
    <t>RESULTAT</t>
  </si>
  <si>
    <t>Closing Meters</t>
  </si>
  <si>
    <t>Opening Meters</t>
  </si>
  <si>
    <t>CLOSING METERS</t>
  </si>
  <si>
    <t>THEORETICAL RTP%</t>
  </si>
  <si>
    <t>RESULAT</t>
  </si>
  <si>
    <t>Total cashless trans out</t>
  </si>
  <si>
    <t>GAMES PLAYED SINCE LAST DOOR CLOSED</t>
  </si>
  <si>
    <t>GAMES PLAYED SINCE LAST POWER UP</t>
  </si>
  <si>
    <t xml:space="preserve"> DOUBLE UP METERS</t>
  </si>
  <si>
    <t>TOTAL COINS IN</t>
  </si>
  <si>
    <t>TOTAL COINS OUT</t>
  </si>
  <si>
    <t>DBL UP CHLLENGES</t>
  </si>
  <si>
    <t>DB CHALLENGES WON</t>
  </si>
  <si>
    <t>HANDS TOTAL</t>
  </si>
  <si>
    <t>ROYAL FLUSH</t>
  </si>
  <si>
    <t>FIVE OF A KIND</t>
  </si>
  <si>
    <t>JOKER ROYAL FLUSH</t>
  </si>
  <si>
    <t>STRAIGHT FLUSH</t>
  </si>
  <si>
    <t>FOUR OF A KIND</t>
  </si>
  <si>
    <t>FULL HOUSE</t>
  </si>
  <si>
    <t>FLUSH</t>
  </si>
  <si>
    <t>3 OF A KIND</t>
  </si>
  <si>
    <t>TWO PAIRS</t>
  </si>
  <si>
    <t>JACKS OR BETTER</t>
  </si>
  <si>
    <t>OPENING METERS</t>
  </si>
  <si>
    <t>Absolute Azure</t>
  </si>
  <si>
    <t>CREDITS IN</t>
  </si>
  <si>
    <t>AMES PLAYED 1/10 COINS</t>
  </si>
  <si>
    <t>ouverture meters</t>
  </si>
  <si>
    <t>fermeture meters</t>
  </si>
  <si>
    <t>Gambling green</t>
  </si>
  <si>
    <t xml:space="preserve">                                                                                  </t>
  </si>
  <si>
    <t xml:space="preserve">                                                                                                </t>
  </si>
  <si>
    <t>PRINCESS AMAZON</t>
  </si>
  <si>
    <t xml:space="preserve">                                                                     </t>
  </si>
  <si>
    <t>CASLESS IN</t>
  </si>
  <si>
    <t>SLOT SHORT (SP)</t>
  </si>
  <si>
    <t>ACE SLOTS LESS SPECIAL HANDPAY</t>
  </si>
  <si>
    <t>KING MYSTERY</t>
  </si>
  <si>
    <t>QUEEN MYSTERY</t>
  </si>
  <si>
    <t>JACK MYSTERY</t>
  </si>
  <si>
    <t>TOTAL MYSTERY JACKPOT</t>
  </si>
  <si>
    <t>ACE RESULTS</t>
  </si>
  <si>
    <t>MAC DENOM</t>
  </si>
  <si>
    <t xml:space="preserve">TTL DROP </t>
  </si>
  <si>
    <t xml:space="preserve">RESULT COMPTEUR </t>
  </si>
  <si>
    <t>EGT Multi 9</t>
  </si>
  <si>
    <t>EGT Multi 10</t>
  </si>
  <si>
    <t>EGT Multi 11</t>
  </si>
  <si>
    <t>ATRONIC DIV</t>
  </si>
  <si>
    <t>RESULTAT COMPILE APRES TEST A</t>
  </si>
  <si>
    <t>LEGENDARY 
CLASSICS DELUXE</t>
  </si>
  <si>
    <t>PRINCESS OF
 THE AMAZON</t>
  </si>
  <si>
    <t>PRINCESS OF 
THE AMAZON</t>
  </si>
  <si>
    <t xml:space="preserve">EGT P24 Purple 1 </t>
  </si>
  <si>
    <t>MAGNIFICENT 
MAGENTA DELUXE</t>
  </si>
  <si>
    <t>If different to zero, DS 
cannot balance</t>
  </si>
  <si>
    <t>VARIANCE 
(B-A)</t>
  </si>
  <si>
    <t>IGT VIDEO POKER</t>
  </si>
  <si>
    <t>GAMBLING 
GREEN DELUXE</t>
  </si>
  <si>
    <t>OUTSTANDING
 ORANGE DELUXE</t>
  </si>
  <si>
    <t>ABSOLUTE 
AZURE DELUXE</t>
  </si>
  <si>
    <t>FORTUNE 
COOKIE</t>
  </si>
  <si>
    <t>MAGENTA</t>
  </si>
  <si>
    <t>ACE REPORTED BILLS</t>
  </si>
  <si>
    <t>Difference</t>
  </si>
  <si>
    <t>FAULTY TRUE IN METERS</t>
  </si>
  <si>
    <t>Money to drop</t>
  </si>
  <si>
    <t>Bills to drop</t>
  </si>
  <si>
    <t>Base machine yield%</t>
  </si>
  <si>
    <t>Base machine hold%</t>
  </si>
  <si>
    <t>.</t>
  </si>
  <si>
    <t>61N</t>
  </si>
  <si>
    <t>EAGLE PEAKS</t>
  </si>
  <si>
    <t>60N</t>
  </si>
  <si>
    <t>ram cleared started play 23/02/2023</t>
  </si>
  <si>
    <t>Desert Dancer</t>
  </si>
  <si>
    <t>ram to clear</t>
  </si>
  <si>
    <t>55N</t>
  </si>
  <si>
    <t>Model</t>
  </si>
  <si>
    <t>BILLS IN</t>
  </si>
  <si>
    <t>KINGKONG (PRINCESS OF AMAZON)</t>
  </si>
  <si>
    <t>1421 VOYAGES OF ZHENG</t>
  </si>
  <si>
    <t>EGT PREMIER</t>
  </si>
  <si>
    <t>RED COLLECTION</t>
  </si>
  <si>
    <t>PURPLE COLLECTION</t>
  </si>
  <si>
    <t>THE FROG PRINCESS</t>
  </si>
  <si>
    <t>LEOPARD SPOT</t>
  </si>
  <si>
    <t>VEGA-VISSION</t>
  </si>
  <si>
    <t>ABSOLUTE AZURE</t>
  </si>
  <si>
    <t>GAMBLING GREEN</t>
  </si>
  <si>
    <t>KINGKONG</t>
  </si>
  <si>
    <t>COIN IN/BETS WEGERED</t>
  </si>
  <si>
    <t>jackpot handpay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</si>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</sst>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164" formatCode="_(* #,##0_);_(* \(#,##0\);_(* &quot;-&quot;_);_(@_)"/>
    <numFmt numFmtId="165" formatCode="_(* #,##0.00_);_(* \(#,##0.00\);_(* &quot;-&quot;??_);_(@_)"/>
    <numFmt numFmtId="166" formatCode="&quot;KES. &quot;#,##0.00_);[Red]\(&quot;KES. &quot;#,##0.00\)"/>
    <numFmt numFmtId="167" formatCode="_-* #,##0.00\ _€_-;\-* #,##0.00\ _€_-;_-* \-??\ _€_-;_-@_-"/>
    <numFmt numFmtId="168" formatCode="[$$-409]#,##0.00"/>
    <numFmt numFmtId="169" formatCode="#,##0.00_ ;[Red]\-#,##0.00\ "/>
    <numFmt numFmtId="170" formatCode="[$$-409]#,##0"/>
    <numFmt numFmtId="171" formatCode="_-* #,##0\ _€_-;\-* #,##0\ _€_-;_-* &quot;- &quot;_€_-;_-@_-"/>
    <numFmt numFmtId="172" formatCode="_-* #,##0\ _€_-;\-* #,##0\ _€_-;_-* \-??\ _€_-;_-@_-"/>
    <numFmt numFmtId="173" formatCode="#,##0_ ;[Red]\-#,##0\ "/>
    <numFmt numFmtId="174" formatCode="_(* #,##0.00_);_(* \(#,##0.00\);_(* \-??_);_(@_)"/>
    <numFmt numFmtId="175" formatCode="d\-mmm\-yy;@"/>
    <numFmt numFmtId="176" formatCode="m/d;@"/>
    <numFmt numFmtId="177" formatCode="hh\:mm"/>
    <numFmt numFmtId="178" formatCode="dd\ mmmm\ yyyy"/>
    <numFmt numFmtId="179" formatCode="#,##0.00&quot; €&quot;;[Red]\-#,##0.00&quot; €&quot;"/>
    <numFmt numFmtId="180" formatCode="#,##0.00\ ;[Red]\-#,##0.00\ "/>
    <numFmt numFmtId="181" formatCode="#,##0.00&quot;    &quot;;\-#,##0.00&quot;    &quot;;&quot; -&quot;#&quot;    &quot;;@\ "/>
    <numFmt numFmtId="182" formatCode="0.00\ ;[Red]\-0.00\ "/>
    <numFmt numFmtId="183" formatCode="#,##0.00;[Red]\(#,##0.00\)"/>
    <numFmt numFmtId="184" formatCode="[$-40C]0.00"/>
    <numFmt numFmtId="185" formatCode="[$-40C]0"/>
    <numFmt numFmtId="186" formatCode="[$-40C]#,##0.00"/>
    <numFmt numFmtId="187" formatCode="[$-40C]#,##0"/>
    <numFmt numFmtId="188" formatCode="#,##0.00&quot; &quot;;[Red]&quot;-&quot;#,##0.00&quot; &quot;"/>
    <numFmt numFmtId="189" formatCode="#,##0.00&quot;    &quot;;&quot;-&quot;#,##0.00&quot;    &quot;;&quot; -&quot;#&quot;    &quot;;@&quot; &quot;"/>
    <numFmt numFmtId="190" formatCode="[$-40C]General"/>
    <numFmt numFmtId="191" formatCode="[$-40C]0.00%"/>
    <numFmt numFmtId="192" formatCode="#,##0&quot;    &quot;;&quot;-&quot;#,##0&quot;    &quot;;&quot; -    &quot;;@&quot; &quot;"/>
    <numFmt numFmtId="193" formatCode="0&quot;    &quot;;&quot;-&quot;0&quot;    &quot;;&quot; -    &quot;;@&quot; &quot;"/>
    <numFmt numFmtId="194" formatCode="_(* #,##0_);_(* \(#,##0\);_(* &quot;-&quot;??_);_(@_)"/>
    <numFmt numFmtId="195" formatCode="[$-40C]d/m/yy"/>
    <numFmt numFmtId="196" formatCode="0.0"/>
    <numFmt numFmtId="197" formatCode="dd&quot; &quot;mmmm&quot; &quot;yyyy"/>
    <numFmt numFmtId="198" formatCode="#,##0.00;[Red]&quot;(&quot;#,##0.00&quot;)&quot;"/>
    <numFmt numFmtId="199" formatCode="#,##0.00;[Red]#,##0.00"/>
    <numFmt numFmtId="200" formatCode="#,##0.00&quot; € &quot;;&quot;-&quot;#,##0.00&quot; € &quot;;&quot; -&quot;#&quot; € &quot;;@&quot; &quot;"/>
    <numFmt numFmtId="201" formatCode="[$-40C]hh&quot;:&quot;mm"/>
    <numFmt numFmtId="202" formatCode="#,##0.00&quot; €&quot;;[Red]&quot;-&quot;#,##0.00&quot; €&quot;"/>
    <numFmt numFmtId="203" formatCode="#,##0.00&quot; &quot;;&quot; (&quot;#,##0.00&quot;)&quot;;&quot; -&quot;#&quot; &quot;;@&quot; &quot;"/>
    <numFmt numFmtId="204" formatCode="#,##0\ _€"/>
  </numFmts>
  <fonts count="116">
    <font>
      <sz val="9"/>
      <name val="Geneva"/>
      <family val="2"/>
    </font>
    <font>
      <b/>
      <sz val="10"/>
      <name val="Arial"/>
      <family val="2"/>
    </font>
    <font>
      <sz val="11"/>
      <name val="Geneva"/>
      <family val="2"/>
    </font>
    <font>
      <sz val="11"/>
      <color indexed="10"/>
      <name val="Geneva"/>
      <family val="2"/>
    </font>
    <font>
      <sz val="9"/>
      <color indexed="10"/>
      <name val="Geneva"/>
      <family val="2"/>
    </font>
    <font>
      <sz val="12"/>
      <name val="Geneva"/>
      <family val="2"/>
    </font>
    <font>
      <b/>
      <sz val="9"/>
      <name val="Geneva"/>
      <family val="2"/>
    </font>
    <font>
      <sz val="18"/>
      <name val="Geneva"/>
      <family val="2"/>
    </font>
    <font>
      <b/>
      <sz val="18"/>
      <name val="Geneva"/>
      <family val="2"/>
    </font>
    <font>
      <b/>
      <sz val="11"/>
      <name val="Geneva"/>
      <family val="2"/>
    </font>
    <font>
      <b/>
      <sz val="14"/>
      <name val="Geneva"/>
      <family val="2"/>
    </font>
    <font>
      <i/>
      <sz val="11"/>
      <name val="Geneva"/>
      <family val="2"/>
    </font>
    <font>
      <i/>
      <sz val="9"/>
      <name val="Geneva"/>
      <family val="2"/>
    </font>
    <font>
      <sz val="16"/>
      <name val="Geneva"/>
      <family val="2"/>
    </font>
    <font>
      <sz val="10"/>
      <name val="Geneva"/>
      <family val="2"/>
    </font>
    <font>
      <sz val="8"/>
      <name val="Geneva"/>
      <family val="2"/>
    </font>
    <font>
      <sz val="9"/>
      <name val="Calibri"/>
      <family val="2"/>
    </font>
    <font>
      <b/>
      <sz val="12"/>
      <name val="Geneva"/>
      <family val="2"/>
    </font>
    <font>
      <u/>
      <sz val="9"/>
      <name val="Geneva"/>
      <family val="2"/>
    </font>
    <font>
      <b/>
      <u/>
      <sz val="9"/>
      <name val="Geneva"/>
      <family val="2"/>
    </font>
    <font>
      <u/>
      <sz val="11"/>
      <name val="Geneva"/>
      <family val="2"/>
    </font>
    <font>
      <b/>
      <sz val="18"/>
      <color indexed="60"/>
      <name val="Geneva"/>
      <family val="2"/>
    </font>
    <font>
      <sz val="18"/>
      <color indexed="60"/>
      <name val="Geneva"/>
      <family val="2"/>
    </font>
    <font>
      <sz val="9"/>
      <name val="Courier New"/>
      <family val="3"/>
    </font>
    <font>
      <b/>
      <sz val="9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u/>
      <sz val="11"/>
      <color indexed="8"/>
      <name val="Calibri"/>
      <family val="2"/>
    </font>
    <font>
      <b/>
      <u/>
      <sz val="16"/>
      <color indexed="8"/>
      <name val="Calibri"/>
      <family val="2"/>
    </font>
    <font>
      <b/>
      <sz val="9"/>
      <color indexed="8"/>
      <name val="Geneva1"/>
    </font>
    <font>
      <b/>
      <sz val="11"/>
      <color indexed="9"/>
      <name val="Calibri"/>
      <family val="2"/>
    </font>
    <font>
      <b/>
      <sz val="12"/>
      <color indexed="8"/>
      <name val="Calibri"/>
      <family val="2"/>
    </font>
    <font>
      <sz val="9"/>
      <color indexed="8"/>
      <name val="Courier New"/>
      <family val="3"/>
    </font>
    <font>
      <b/>
      <sz val="10"/>
      <color indexed="8"/>
      <name val="Courier New"/>
      <family val="3"/>
    </font>
    <font>
      <sz val="10"/>
      <color indexed="8"/>
      <name val="Courier New"/>
      <family val="3"/>
    </font>
    <font>
      <sz val="12"/>
      <color indexed="8"/>
      <name val="Geneva"/>
      <family val="2"/>
    </font>
    <font>
      <sz val="12"/>
      <color indexed="8"/>
      <name val="Times New Roman1"/>
    </font>
    <font>
      <b/>
      <sz val="12"/>
      <color indexed="8"/>
      <name val="Times New Roman1"/>
    </font>
    <font>
      <b/>
      <sz val="12"/>
      <color indexed="8"/>
      <name val="Geneva1"/>
    </font>
    <font>
      <sz val="18"/>
      <color indexed="8"/>
      <name val="Geneva"/>
      <family val="2"/>
    </font>
    <font>
      <sz val="12"/>
      <color indexed="8"/>
      <name val="Calibri"/>
      <family val="2"/>
    </font>
    <font>
      <b/>
      <sz val="18"/>
      <color indexed="8"/>
      <name val="Geneva"/>
      <family val="2"/>
    </font>
    <font>
      <b/>
      <sz val="12"/>
      <color indexed="8"/>
      <name val="Geneva"/>
      <family val="2"/>
    </font>
    <font>
      <sz val="9"/>
      <color indexed="8"/>
      <name val="Times New Roman1"/>
    </font>
    <font>
      <sz val="12"/>
      <color indexed="8"/>
      <name val="Arial"/>
      <family val="2"/>
    </font>
    <font>
      <sz val="12"/>
      <color indexed="10"/>
      <name val="Geneva"/>
      <family val="2"/>
    </font>
    <font>
      <sz val="9"/>
      <color indexed="8"/>
      <name val="Geneva"/>
      <family val="2"/>
    </font>
    <font>
      <b/>
      <sz val="16"/>
      <name val="Geneva"/>
      <family val="2"/>
    </font>
    <font>
      <b/>
      <sz val="4"/>
      <name val="Geneva"/>
      <family val="2"/>
    </font>
    <font>
      <sz val="11"/>
      <color indexed="60"/>
      <name val="Geneva"/>
      <family val="2"/>
    </font>
    <font>
      <sz val="9"/>
      <color indexed="60"/>
      <name val="Genev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indexed="9"/>
      <name val="Calibri"/>
      <family val="2"/>
    </font>
    <font>
      <b/>
      <sz val="10"/>
      <name val="Geneva"/>
      <family val="2"/>
    </font>
    <font>
      <sz val="9"/>
      <name val="Geneva"/>
      <family val="2"/>
    </font>
    <font>
      <sz val="11"/>
      <color theme="1"/>
      <name val="Calibri"/>
      <family val="2"/>
      <scheme val="minor"/>
    </font>
    <font>
      <sz val="9"/>
      <color theme="1"/>
      <name val="Geneva"/>
    </font>
    <font>
      <sz val="11"/>
      <color rgb="FF000000"/>
      <name val="Calibri"/>
      <family val="2"/>
    </font>
    <font>
      <sz val="18"/>
      <color theme="1"/>
      <name val="Geneva"/>
    </font>
    <font>
      <u val="double"/>
      <sz val="12"/>
      <color theme="1"/>
      <name val="Times New Roman1"/>
    </font>
    <font>
      <sz val="12"/>
      <color theme="1"/>
      <name val="Times New Roman1"/>
    </font>
    <font>
      <b/>
      <sz val="12"/>
      <color theme="1"/>
      <name val="Times New Roman1"/>
    </font>
    <font>
      <sz val="9"/>
      <color theme="1"/>
      <name val="Times New Roman1"/>
    </font>
    <font>
      <sz val="12"/>
      <color theme="1"/>
      <name val="Arial"/>
      <family val="2"/>
    </font>
    <font>
      <sz val="12"/>
      <color rgb="FFFF3333"/>
      <name val="Geneva"/>
    </font>
    <font>
      <sz val="9"/>
      <color theme="1"/>
      <name val="Courier New"/>
      <family val="3"/>
    </font>
    <font>
      <b/>
      <sz val="10"/>
      <color theme="1"/>
      <name val="Courier New"/>
      <family val="3"/>
    </font>
    <font>
      <b/>
      <sz val="18"/>
      <color theme="0" tint="-4.9989318521683403E-2"/>
      <name val="Geneva"/>
      <family val="2"/>
    </font>
    <font>
      <b/>
      <sz val="18"/>
      <color theme="0"/>
      <name val="Geneva"/>
      <family val="2"/>
    </font>
    <font>
      <b/>
      <u/>
      <sz val="16"/>
      <color rgb="FF000000"/>
      <name val="Calibri"/>
      <family val="2"/>
    </font>
    <font>
      <b/>
      <sz val="9"/>
      <color theme="1"/>
      <name val="Geneva"/>
    </font>
    <font>
      <b/>
      <sz val="9"/>
      <color theme="1"/>
      <name val="Adobe Devanagari"/>
      <family val="1"/>
    </font>
    <font>
      <b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11111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theme="1"/>
      <name val="Times New Roman"/>
      <family val="1"/>
    </font>
    <font>
      <b/>
      <sz val="11"/>
      <color rgb="FF111111"/>
      <name val="Times New Roman"/>
      <family val="1"/>
    </font>
    <font>
      <b/>
      <u/>
      <sz val="16"/>
      <color rgb="FF000000"/>
      <name val="Amasis MT Pro"/>
      <family val="1"/>
    </font>
    <font>
      <b/>
      <sz val="9"/>
      <name val="Geneva"/>
    </font>
    <font>
      <sz val="9"/>
      <name val="Amasis MT Pro"/>
      <family val="1"/>
    </font>
    <font>
      <sz val="12"/>
      <color theme="1"/>
      <name val="Amasis MT Pro"/>
      <family val="1"/>
    </font>
    <font>
      <sz val="12"/>
      <color rgb="FFFF0000"/>
      <name val="Amasis MT Pro"/>
      <family val="1"/>
    </font>
    <font>
      <sz val="12"/>
      <name val="Amasis MT Pro"/>
      <family val="1"/>
    </font>
    <font>
      <b/>
      <sz val="12"/>
      <color theme="1"/>
      <name val="Amasis MT Pro"/>
      <family val="1"/>
    </font>
    <font>
      <b/>
      <sz val="12"/>
      <name val="Amasis MT Pro"/>
      <family val="1"/>
    </font>
    <font>
      <b/>
      <sz val="12"/>
      <color rgb="FFFFFF00"/>
      <name val="Amasis MT Pro"/>
      <family val="1"/>
    </font>
    <font>
      <sz val="12"/>
      <color theme="0"/>
      <name val="Amasis MT Pro"/>
      <family val="1"/>
    </font>
    <font>
      <b/>
      <sz val="12"/>
      <color rgb="FFFF0000"/>
      <name val="Amasis MT Pro"/>
      <family val="1"/>
    </font>
    <font>
      <b/>
      <sz val="12"/>
      <color theme="0"/>
      <name val="Amasis MT Pro"/>
      <family val="1"/>
    </font>
    <font>
      <b/>
      <i/>
      <sz val="12"/>
      <color rgb="FFFFFF00"/>
      <name val="Amasis MT Pro"/>
      <family val="1"/>
    </font>
    <font>
      <b/>
      <i/>
      <sz val="12"/>
      <color theme="0"/>
      <name val="Amasis MT Pro"/>
      <family val="1"/>
    </font>
    <font>
      <i/>
      <sz val="12"/>
      <color theme="1"/>
      <name val="Amasis MT Pro"/>
      <family val="1"/>
    </font>
    <font>
      <sz val="12"/>
      <color rgb="FF003366"/>
      <name val="Amasis MT Pro"/>
      <family val="1"/>
    </font>
    <font>
      <b/>
      <sz val="12"/>
      <color rgb="FF003366"/>
      <name val="Amasis MT Pro"/>
      <family val="1"/>
    </font>
    <font>
      <b/>
      <i/>
      <sz val="12"/>
      <color theme="1"/>
      <name val="Amasis MT Pro"/>
      <family val="1"/>
    </font>
    <font>
      <b/>
      <u/>
      <sz val="12"/>
      <color theme="1"/>
      <name val="Amasis MT Pro"/>
      <family val="1"/>
    </font>
    <font>
      <u/>
      <sz val="12"/>
      <color theme="1"/>
      <name val="Amasis MT Pro"/>
      <family val="1"/>
    </font>
    <font>
      <b/>
      <sz val="12"/>
      <color rgb="FF666666"/>
      <name val="Amasis MT Pro"/>
      <family val="1"/>
    </font>
    <font>
      <b/>
      <sz val="11"/>
      <color theme="1"/>
      <name val="Times New Roman"/>
      <family val="1"/>
    </font>
    <font>
      <b/>
      <sz val="12"/>
      <name val="Geneva"/>
    </font>
    <font>
      <sz val="12"/>
      <color theme="1"/>
      <name val="Courier New"/>
      <family val="3"/>
    </font>
    <font>
      <b/>
      <u/>
      <sz val="12"/>
      <color rgb="FF000000"/>
      <name val="Amasis MT Pro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Courier New"/>
      <family val="3"/>
    </font>
    <font>
      <b/>
      <i/>
      <sz val="12"/>
      <color theme="1"/>
      <name val="Courier New"/>
      <family val="3"/>
    </font>
    <font>
      <b/>
      <i/>
      <sz val="15"/>
      <color theme="1"/>
      <name val="Courier New"/>
      <family val="3"/>
    </font>
    <font>
      <sz val="15"/>
      <color theme="1"/>
      <name val="Courier New"/>
      <family val="3"/>
    </font>
    <font>
      <b/>
      <sz val="15"/>
      <color theme="1"/>
      <name val="Courier New"/>
      <family val="3"/>
    </font>
    <font>
      <sz val="12"/>
      <color theme="1"/>
      <name val="Geneva"/>
    </font>
    <font>
      <b/>
      <sz val="12"/>
      <color theme="1"/>
      <name val="Caladea"/>
      <family val="1"/>
    </font>
    <font>
      <b/>
      <sz val="15"/>
      <color theme="1"/>
      <name val="Caladea"/>
      <family val="1"/>
    </font>
    <font>
      <sz val="15"/>
      <color theme="1"/>
      <name val="Geneva"/>
    </font>
  </fonts>
  <fills count="60">
    <fill>
      <patternFill patternType="none"/>
    </fill>
    <fill>
      <patternFill patternType="gray125"/>
    </fill>
    <fill>
      <patternFill patternType="solid">
        <fgColor indexed="40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19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11"/>
        <bgColor indexed="49"/>
      </patternFill>
    </fill>
    <fill>
      <patternFill patternType="solid">
        <fgColor indexed="23"/>
        <bgColor indexed="55"/>
      </patternFill>
    </fill>
    <fill>
      <patternFill patternType="solid">
        <fgColor indexed="18"/>
        <bgColor indexed="32"/>
      </patternFill>
    </fill>
    <fill>
      <patternFill patternType="solid">
        <fgColor indexed="29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50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49"/>
        <bgColor indexed="40"/>
      </patternFill>
    </fill>
    <fill>
      <patternFill patternType="solid">
        <fgColor indexed="63"/>
        <bgColor indexed="59"/>
      </patternFill>
    </fill>
    <fill>
      <patternFill patternType="solid">
        <fgColor indexed="62"/>
        <bgColor indexed="56"/>
      </patternFill>
    </fill>
    <fill>
      <patternFill patternType="solid">
        <fgColor indexed="1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theme="3" tint="0.59999389629810485"/>
        <bgColor indexed="49"/>
      </patternFill>
    </fill>
    <fill>
      <patternFill patternType="solid">
        <fgColor theme="3" tint="0.59999389629810485"/>
        <bgColor indexed="3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  <fill>
      <patternFill patternType="solid">
        <fgColor rgb="FFC0C0C0"/>
        <bgColor rgb="FFC0C0C0"/>
      </patternFill>
    </fill>
    <fill>
      <patternFill patternType="solid">
        <fgColor rgb="FF00CCFF"/>
        <bgColor rgb="FF00CCFF"/>
      </patternFill>
    </fill>
    <fill>
      <patternFill patternType="solid">
        <fgColor rgb="FFFF0000"/>
        <bgColor rgb="FFFF0000"/>
      </patternFill>
    </fill>
    <fill>
      <patternFill patternType="solid">
        <fgColor rgb="FFC6D9F1"/>
        <bgColor rgb="FFC6D9F1"/>
      </patternFill>
    </fill>
    <fill>
      <patternFill patternType="solid">
        <fgColor rgb="FFDDDDDD"/>
        <bgColor rgb="FFDDDDDD"/>
      </patternFill>
    </fill>
    <fill>
      <patternFill patternType="solid">
        <fgColor rgb="FF808080"/>
        <bgColor rgb="FF808080"/>
      </patternFill>
    </fill>
    <fill>
      <patternFill patternType="solid">
        <fgColor rgb="FF000080"/>
        <bgColor rgb="FF000080"/>
      </patternFill>
    </fill>
    <fill>
      <patternFill patternType="solid">
        <fgColor rgb="FFFFCC00"/>
        <bgColor rgb="FFFFCC00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008000"/>
        <bgColor rgb="FF008000"/>
      </patternFill>
    </fill>
    <fill>
      <patternFill patternType="solid">
        <fgColor rgb="FFD9D9D9"/>
        <bgColor rgb="FFD9D9D9"/>
      </patternFill>
    </fill>
    <fill>
      <patternFill patternType="solid">
        <fgColor rgb="FF262626"/>
        <bgColor rgb="FF262626"/>
      </patternFill>
    </fill>
    <fill>
      <patternFill patternType="solid">
        <fgColor rgb="FFDDD9C3"/>
        <bgColor rgb="FFDDD9C3"/>
      </patternFill>
    </fill>
    <fill>
      <patternFill patternType="solid">
        <fgColor rgb="FFCCFFFF"/>
        <bgColor rgb="FFCCFFFF"/>
      </patternFill>
    </fill>
    <fill>
      <patternFill patternType="solid">
        <fgColor rgb="FFEEECE1"/>
        <bgColor rgb="FFEEECE1"/>
      </patternFill>
    </fill>
    <fill>
      <patternFill patternType="solid">
        <fgColor rgb="FFEEEEEE"/>
        <bgColor rgb="FFEEEEEE"/>
      </patternFill>
    </fill>
    <fill>
      <patternFill patternType="solid">
        <fgColor theme="0"/>
        <bgColor rgb="FFE46C0A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36"/>
      </patternFill>
    </fill>
    <fill>
      <patternFill patternType="solid">
        <fgColor theme="5" tint="0.39997558519241921"/>
        <bgColor rgb="FFEEECE1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EEECE1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rgb="FFDDD9C3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rgb="FFCCCCFF"/>
      </patternFill>
    </fill>
  </fills>
  <borders count="1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 diagonalUp="1">
      <left/>
      <right/>
      <top/>
      <bottom/>
      <diagonal style="double">
        <color indexed="8"/>
      </diagonal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double">
        <color rgb="FF000000"/>
      </diagonal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/>
      <bottom/>
      <diagonal style="double">
        <color rgb="FF000000"/>
      </diagonal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5" fontId="56" fillId="0" borderId="0" applyFont="0" applyFill="0" applyBorder="0" applyAlignment="0" applyProtection="0"/>
    <xf numFmtId="189" fontId="57" fillId="0" borderId="0"/>
    <xf numFmtId="200" fontId="57" fillId="0" borderId="0"/>
    <xf numFmtId="0" fontId="25" fillId="0" borderId="0"/>
    <xf numFmtId="190" fontId="58" fillId="0" borderId="0"/>
    <xf numFmtId="167" fontId="55" fillId="0" borderId="0" applyFill="0" applyBorder="0" applyAlignment="0" applyProtection="0"/>
    <xf numFmtId="167" fontId="1" fillId="0" borderId="0" applyFill="0" applyBorder="0" applyAlignment="0" applyProtection="0"/>
    <xf numFmtId="0" fontId="57" fillId="0" borderId="0"/>
    <xf numFmtId="9" fontId="55" fillId="0" borderId="0" applyFill="0" applyBorder="0" applyAlignment="0" applyProtection="0"/>
  </cellStyleXfs>
  <cellXfs count="1105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2" borderId="0" xfId="0" applyFont="1" applyFill="1"/>
    <xf numFmtId="2" fontId="4" fillId="2" borderId="0" xfId="0" applyNumberFormat="1" applyFont="1" applyFill="1"/>
    <xf numFmtId="0" fontId="4" fillId="2" borderId="0" xfId="0" applyFont="1" applyFill="1"/>
    <xf numFmtId="0" fontId="2" fillId="3" borderId="0" xfId="0" applyFont="1" applyFill="1" applyAlignment="1">
      <alignment horizontal="right"/>
    </xf>
    <xf numFmtId="2" fontId="5" fillId="3" borderId="0" xfId="0" applyNumberFormat="1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2" fontId="5" fillId="4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right"/>
    </xf>
    <xf numFmtId="0" fontId="9" fillId="6" borderId="0" xfId="0" applyFont="1" applyFill="1" applyAlignment="1">
      <alignment horizontal="right" vertical="center"/>
    </xf>
    <xf numFmtId="2" fontId="10" fillId="4" borderId="2" xfId="0" applyNumberFormat="1" applyFont="1" applyFill="1" applyBorder="1" applyAlignment="1">
      <alignment horizontal="center" vertical="center"/>
    </xf>
    <xf numFmtId="0" fontId="2" fillId="0" borderId="1" xfId="0" applyFont="1" applyBorder="1"/>
    <xf numFmtId="4" fontId="7" fillId="0" borderId="2" xfId="0" applyNumberFormat="1" applyFont="1" applyBorder="1"/>
    <xf numFmtId="0" fontId="0" fillId="0" borderId="0" xfId="0" applyAlignment="1">
      <alignment horizontal="left"/>
    </xf>
    <xf numFmtId="2" fontId="7" fillId="0" borderId="2" xfId="0" applyNumberFormat="1" applyFont="1" applyBorder="1"/>
    <xf numFmtId="0" fontId="2" fillId="7" borderId="1" xfId="0" applyFont="1" applyFill="1" applyBorder="1"/>
    <xf numFmtId="2" fontId="7" fillId="7" borderId="2" xfId="0" applyNumberFormat="1" applyFont="1" applyFill="1" applyBorder="1"/>
    <xf numFmtId="3" fontId="7" fillId="7" borderId="2" xfId="0" applyNumberFormat="1" applyFont="1" applyFill="1" applyBorder="1"/>
    <xf numFmtId="10" fontId="7" fillId="0" borderId="2" xfId="0" applyNumberFormat="1" applyFont="1" applyBorder="1"/>
    <xf numFmtId="0" fontId="2" fillId="0" borderId="3" xfId="0" applyFont="1" applyBorder="1"/>
    <xf numFmtId="10" fontId="7" fillId="0" borderId="4" xfId="0" applyNumberFormat="1" applyFont="1" applyBorder="1"/>
    <xf numFmtId="0" fontId="0" fillId="0" borderId="3" xfId="0" applyBorder="1"/>
    <xf numFmtId="4" fontId="7" fillId="0" borderId="4" xfId="0" applyNumberFormat="1" applyFont="1" applyBorder="1"/>
    <xf numFmtId="4" fontId="7" fillId="0" borderId="1" xfId="0" applyNumberFormat="1" applyFont="1" applyBorder="1"/>
    <xf numFmtId="0" fontId="0" fillId="0" borderId="5" xfId="0" applyBorder="1"/>
    <xf numFmtId="0" fontId="0" fillId="0" borderId="1" xfId="0" applyBorder="1" applyAlignment="1">
      <alignment horizontal="left"/>
    </xf>
    <xf numFmtId="2" fontId="7" fillId="0" borderId="1" xfId="0" applyNumberFormat="1" applyFont="1" applyBorder="1"/>
    <xf numFmtId="2" fontId="0" fillId="0" borderId="1" xfId="0" applyNumberFormat="1" applyBorder="1"/>
    <xf numFmtId="49" fontId="2" fillId="0" borderId="6" xfId="0" applyNumberFormat="1" applyFont="1" applyBorder="1" applyAlignment="1">
      <alignment vertical="center" wrapText="1"/>
    </xf>
    <xf numFmtId="4" fontId="7" fillId="0" borderId="7" xfId="0" applyNumberFormat="1" applyFont="1" applyBorder="1"/>
    <xf numFmtId="0" fontId="0" fillId="0" borderId="6" xfId="0" applyBorder="1"/>
    <xf numFmtId="4" fontId="7" fillId="4" borderId="2" xfId="0" applyNumberFormat="1" applyFont="1" applyFill="1" applyBorder="1"/>
    <xf numFmtId="1" fontId="7" fillId="0" borderId="2" xfId="0" applyNumberFormat="1" applyFont="1" applyBorder="1"/>
    <xf numFmtId="2" fontId="7" fillId="4" borderId="2" xfId="0" applyNumberFormat="1" applyFont="1" applyFill="1" applyBorder="1"/>
    <xf numFmtId="2" fontId="4" fillId="0" borderId="0" xfId="0" applyNumberFormat="1" applyFont="1"/>
    <xf numFmtId="1" fontId="8" fillId="4" borderId="0" xfId="0" applyNumberFormat="1" applyFont="1" applyFill="1" applyAlignment="1">
      <alignment horizontal="center"/>
    </xf>
    <xf numFmtId="2" fontId="10" fillId="4" borderId="8" xfId="0" applyNumberFormat="1" applyFont="1" applyFill="1" applyBorder="1" applyAlignment="1">
      <alignment horizontal="center" vertical="center"/>
    </xf>
    <xf numFmtId="0" fontId="7" fillId="0" borderId="1" xfId="0" applyFont="1" applyBorder="1"/>
    <xf numFmtId="168" fontId="7" fillId="0" borderId="9" xfId="0" applyNumberFormat="1" applyFont="1" applyBorder="1"/>
    <xf numFmtId="168" fontId="7" fillId="0" borderId="10" xfId="0" applyNumberFormat="1" applyFont="1" applyBorder="1"/>
    <xf numFmtId="168" fontId="0" fillId="0" borderId="0" xfId="0" applyNumberFormat="1"/>
    <xf numFmtId="10" fontId="7" fillId="0" borderId="9" xfId="0" applyNumberFormat="1" applyFont="1" applyBorder="1"/>
    <xf numFmtId="1" fontId="7" fillId="0" borderId="9" xfId="0" applyNumberFormat="1" applyFont="1" applyBorder="1"/>
    <xf numFmtId="169" fontId="7" fillId="0" borderId="0" xfId="0" applyNumberFormat="1" applyFont="1"/>
    <xf numFmtId="169" fontId="7" fillId="0" borderId="1" xfId="0" applyNumberFormat="1" applyFont="1" applyBorder="1"/>
    <xf numFmtId="169" fontId="0" fillId="0" borderId="0" xfId="0" applyNumberFormat="1"/>
    <xf numFmtId="169" fontId="7" fillId="0" borderId="1" xfId="6" applyNumberFormat="1" applyFont="1" applyFill="1" applyBorder="1" applyAlignment="1" applyProtection="1"/>
    <xf numFmtId="1" fontId="8" fillId="8" borderId="0" xfId="0" applyNumberFormat="1" applyFont="1" applyFill="1" applyAlignment="1">
      <alignment horizontal="center"/>
    </xf>
    <xf numFmtId="170" fontId="7" fillId="0" borderId="9" xfId="0" applyNumberFormat="1" applyFont="1" applyBorder="1"/>
    <xf numFmtId="2" fontId="8" fillId="4" borderId="0" xfId="0" applyNumberFormat="1" applyFont="1" applyFill="1" applyAlignment="1">
      <alignment horizontal="center"/>
    </xf>
    <xf numFmtId="4" fontId="7" fillId="7" borderId="2" xfId="0" applyNumberFormat="1" applyFont="1" applyFill="1" applyBorder="1"/>
    <xf numFmtId="4" fontId="7" fillId="0" borderId="2" xfId="6" applyNumberFormat="1" applyFont="1" applyFill="1" applyBorder="1" applyAlignment="1" applyProtection="1"/>
    <xf numFmtId="4" fontId="7" fillId="0" borderId="4" xfId="6" applyNumberFormat="1" applyFont="1" applyFill="1" applyBorder="1" applyAlignment="1" applyProtection="1"/>
    <xf numFmtId="4" fontId="7" fillId="0" borderId="1" xfId="6" applyNumberFormat="1" applyFont="1" applyFill="1" applyBorder="1" applyAlignment="1" applyProtection="1"/>
    <xf numFmtId="4" fontId="0" fillId="0" borderId="0" xfId="0" applyNumberFormat="1"/>
    <xf numFmtId="0" fontId="11" fillId="0" borderId="1" xfId="0" applyFont="1" applyBorder="1"/>
    <xf numFmtId="0" fontId="12" fillId="0" borderId="1" xfId="0" applyFont="1" applyBorder="1"/>
    <xf numFmtId="0" fontId="12" fillId="0" borderId="0" xfId="0" applyFont="1"/>
    <xf numFmtId="0" fontId="2" fillId="0" borderId="2" xfId="0" applyFont="1" applyBorder="1"/>
    <xf numFmtId="0" fontId="0" fillId="0" borderId="12" xfId="0" applyBorder="1"/>
    <xf numFmtId="0" fontId="9" fillId="0" borderId="1" xfId="0" applyFont="1" applyBorder="1"/>
    <xf numFmtId="3" fontId="7" fillId="0" borderId="2" xfId="0" applyNumberFormat="1" applyFont="1" applyBorder="1"/>
    <xf numFmtId="0" fontId="0" fillId="0" borderId="13" xfId="0" applyBorder="1"/>
    <xf numFmtId="0" fontId="2" fillId="0" borderId="5" xfId="0" applyFont="1" applyBorder="1"/>
    <xf numFmtId="0" fontId="2" fillId="0" borderId="4" xfId="0" applyFont="1" applyBorder="1"/>
    <xf numFmtId="0" fontId="9" fillId="0" borderId="2" xfId="0" applyFont="1" applyBorder="1"/>
    <xf numFmtId="49" fontId="2" fillId="0" borderId="1" xfId="0" applyNumberFormat="1" applyFont="1" applyBorder="1" applyAlignment="1">
      <alignment vertical="center" wrapText="1"/>
    </xf>
    <xf numFmtId="0" fontId="0" fillId="0" borderId="14" xfId="0" applyBorder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0" xfId="0" applyFont="1"/>
    <xf numFmtId="0" fontId="8" fillId="4" borderId="0" xfId="0" applyFont="1" applyFill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3" fontId="7" fillId="0" borderId="7" xfId="0" applyNumberFormat="1" applyFont="1" applyBorder="1"/>
    <xf numFmtId="0" fontId="9" fillId="0" borderId="0" xfId="0" applyFont="1"/>
    <xf numFmtId="4" fontId="7" fillId="0" borderId="0" xfId="0" applyNumberFormat="1" applyFont="1"/>
    <xf numFmtId="3" fontId="7" fillId="4" borderId="2" xfId="0" applyNumberFormat="1" applyFont="1" applyFill="1" applyBorder="1"/>
    <xf numFmtId="0" fontId="2" fillId="9" borderId="1" xfId="0" applyFont="1" applyFill="1" applyBorder="1"/>
    <xf numFmtId="3" fontId="7" fillId="9" borderId="2" xfId="0" applyNumberFormat="1" applyFont="1" applyFill="1" applyBorder="1"/>
    <xf numFmtId="0" fontId="0" fillId="0" borderId="2" xfId="0" applyBorder="1"/>
    <xf numFmtId="0" fontId="2" fillId="0" borderId="13" xfId="0" applyFont="1" applyBorder="1"/>
    <xf numFmtId="3" fontId="7" fillId="0" borderId="4" xfId="0" applyNumberFormat="1" applyFont="1" applyBorder="1"/>
    <xf numFmtId="171" fontId="0" fillId="0" borderId="0" xfId="0" applyNumberFormat="1"/>
    <xf numFmtId="0" fontId="2" fillId="10" borderId="0" xfId="0" applyFont="1" applyFill="1"/>
    <xf numFmtId="171" fontId="0" fillId="10" borderId="0" xfId="0" applyNumberFormat="1" applyFill="1"/>
    <xf numFmtId="0" fontId="0" fillId="10" borderId="0" xfId="0" applyFill="1"/>
    <xf numFmtId="171" fontId="5" fillId="3" borderId="0" xfId="0" applyNumberFormat="1" applyFont="1" applyFill="1" applyAlignment="1">
      <alignment horizontal="center"/>
    </xf>
    <xf numFmtId="167" fontId="5" fillId="4" borderId="0" xfId="0" applyNumberFormat="1" applyFont="1" applyFill="1" applyAlignment="1">
      <alignment horizontal="center"/>
    </xf>
    <xf numFmtId="0" fontId="14" fillId="0" borderId="0" xfId="0" applyFont="1"/>
    <xf numFmtId="171" fontId="8" fillId="4" borderId="0" xfId="0" applyNumberFormat="1" applyFont="1" applyFill="1" applyAlignment="1">
      <alignment horizontal="center"/>
    </xf>
    <xf numFmtId="0" fontId="15" fillId="0" borderId="0" xfId="0" applyFont="1"/>
    <xf numFmtId="171" fontId="10" fillId="4" borderId="4" xfId="0" applyNumberFormat="1" applyFont="1" applyFill="1" applyBorder="1" applyAlignment="1">
      <alignment horizontal="center" vertical="center"/>
    </xf>
    <xf numFmtId="0" fontId="5" fillId="0" borderId="1" xfId="0" applyFont="1" applyBorder="1"/>
    <xf numFmtId="171" fontId="13" fillId="0" borderId="1" xfId="0" applyNumberFormat="1" applyFont="1" applyBorder="1"/>
    <xf numFmtId="10" fontId="13" fillId="0" borderId="1" xfId="0" applyNumberFormat="1" applyFont="1" applyBorder="1"/>
    <xf numFmtId="0" fontId="16" fillId="0" borderId="0" xfId="0" applyFont="1" applyAlignment="1">
      <alignment horizontal="left"/>
    </xf>
    <xf numFmtId="0" fontId="5" fillId="7" borderId="1" xfId="0" applyFont="1" applyFill="1" applyBorder="1"/>
    <xf numFmtId="171" fontId="13" fillId="7" borderId="1" xfId="0" applyNumberFormat="1" applyFont="1" applyFill="1" applyBorder="1"/>
    <xf numFmtId="171" fontId="13" fillId="4" borderId="1" xfId="0" applyNumberFormat="1" applyFont="1" applyFill="1" applyBorder="1"/>
    <xf numFmtId="0" fontId="17" fillId="0" borderId="1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71" fontId="7" fillId="5" borderId="0" xfId="0" applyNumberFormat="1" applyFont="1" applyFill="1"/>
    <xf numFmtId="0" fontId="2" fillId="5" borderId="0" xfId="0" applyFont="1" applyFill="1"/>
    <xf numFmtId="171" fontId="7" fillId="0" borderId="0" xfId="0" applyNumberFormat="1" applyFont="1"/>
    <xf numFmtId="0" fontId="18" fillId="0" borderId="0" xfId="0" applyFont="1" applyAlignment="1">
      <alignment horizontal="left"/>
    </xf>
    <xf numFmtId="0" fontId="2" fillId="11" borderId="0" xfId="0" applyFont="1" applyFill="1"/>
    <xf numFmtId="0" fontId="0" fillId="11" borderId="0" xfId="0" applyFill="1"/>
    <xf numFmtId="0" fontId="0" fillId="3" borderId="0" xfId="0" applyFill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7" fillId="0" borderId="1" xfId="0" applyNumberFormat="1" applyFont="1" applyBorder="1"/>
    <xf numFmtId="0" fontId="19" fillId="0" borderId="1" xfId="0" applyFont="1" applyBorder="1" applyAlignment="1">
      <alignment horizontal="left"/>
    </xf>
    <xf numFmtId="10" fontId="7" fillId="0" borderId="1" xfId="0" applyNumberFormat="1" applyFont="1" applyBorder="1"/>
    <xf numFmtId="0" fontId="2" fillId="10" borderId="1" xfId="0" applyFont="1" applyFill="1" applyBorder="1"/>
    <xf numFmtId="3" fontId="7" fillId="10" borderId="1" xfId="0" applyNumberFormat="1" applyFont="1" applyFill="1" applyBorder="1"/>
    <xf numFmtId="0" fontId="0" fillId="10" borderId="1" xfId="0" applyFill="1" applyBorder="1"/>
    <xf numFmtId="3" fontId="7" fillId="7" borderId="1" xfId="0" applyNumberFormat="1" applyFont="1" applyFill="1" applyBorder="1"/>
    <xf numFmtId="0" fontId="0" fillId="7" borderId="1" xfId="0" applyFill="1" applyBorder="1"/>
    <xf numFmtId="10" fontId="7" fillId="4" borderId="1" xfId="0" applyNumberFormat="1" applyFont="1" applyFill="1" applyBorder="1"/>
    <xf numFmtId="0" fontId="0" fillId="0" borderId="0" xfId="0" applyAlignment="1">
      <alignment horizontal="center"/>
    </xf>
    <xf numFmtId="14" fontId="0" fillId="0" borderId="0" xfId="0" applyNumberFormat="1"/>
    <xf numFmtId="3" fontId="7" fillId="12" borderId="1" xfId="0" applyNumberFormat="1" applyFont="1" applyFill="1" applyBorder="1"/>
    <xf numFmtId="3" fontId="7" fillId="4" borderId="1" xfId="0" applyNumberFormat="1" applyFont="1" applyFill="1" applyBorder="1"/>
    <xf numFmtId="2" fontId="10" fillId="4" borderId="2" xfId="0" applyNumberFormat="1" applyFont="1" applyFill="1" applyBorder="1" applyAlignment="1">
      <alignment horizontal="left" vertical="center"/>
    </xf>
    <xf numFmtId="0" fontId="7" fillId="5" borderId="1" xfId="0" applyFont="1" applyFill="1" applyBorder="1"/>
    <xf numFmtId="0" fontId="2" fillId="4" borderId="1" xfId="0" applyFont="1" applyFill="1" applyBorder="1"/>
    <xf numFmtId="1" fontId="7" fillId="4" borderId="1" xfId="0" applyNumberFormat="1" applyFont="1" applyFill="1" applyBorder="1"/>
    <xf numFmtId="0" fontId="6" fillId="0" borderId="0" xfId="0" applyFont="1"/>
    <xf numFmtId="1" fontId="7" fillId="0" borderId="1" xfId="0" applyNumberFormat="1" applyFont="1" applyBorder="1"/>
    <xf numFmtId="4" fontId="7" fillId="9" borderId="2" xfId="0" applyNumberFormat="1" applyFont="1" applyFill="1" applyBorder="1"/>
    <xf numFmtId="1" fontId="7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8" xfId="0" applyFont="1" applyBorder="1"/>
    <xf numFmtId="0" fontId="0" fillId="4" borderId="0" xfId="0" applyFill="1"/>
    <xf numFmtId="4" fontId="2" fillId="0" borderId="2" xfId="0" applyNumberFormat="1" applyFont="1" applyBorder="1"/>
    <xf numFmtId="4" fontId="2" fillId="0" borderId="4" xfId="0" applyNumberFormat="1" applyFont="1" applyBorder="1"/>
    <xf numFmtId="4" fontId="7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3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left"/>
    </xf>
    <xf numFmtId="4" fontId="0" fillId="0" borderId="1" xfId="0" applyNumberFormat="1" applyBorder="1"/>
    <xf numFmtId="4" fontId="7" fillId="0" borderId="3" xfId="0" applyNumberFormat="1" applyFont="1" applyBorder="1"/>
    <xf numFmtId="4" fontId="7" fillId="0" borderId="15" xfId="0" applyNumberFormat="1" applyFont="1" applyBorder="1"/>
    <xf numFmtId="3" fontId="0" fillId="0" borderId="0" xfId="0" applyNumberFormat="1"/>
    <xf numFmtId="0" fontId="6" fillId="0" borderId="1" xfId="0" applyFont="1" applyBorder="1"/>
    <xf numFmtId="172" fontId="7" fillId="0" borderId="9" xfId="6" applyNumberFormat="1" applyFont="1" applyFill="1" applyBorder="1" applyAlignment="1" applyProtection="1"/>
    <xf numFmtId="0" fontId="7" fillId="4" borderId="1" xfId="0" applyFont="1" applyFill="1" applyBorder="1"/>
    <xf numFmtId="168" fontId="7" fillId="4" borderId="1" xfId="0" applyNumberFormat="1" applyFont="1" applyFill="1" applyBorder="1"/>
    <xf numFmtId="168" fontId="7" fillId="4" borderId="9" xfId="0" applyNumberFormat="1" applyFont="1" applyFill="1" applyBorder="1"/>
    <xf numFmtId="168" fontId="7" fillId="4" borderId="11" xfId="0" applyNumberFormat="1" applyFont="1" applyFill="1" applyBorder="1"/>
    <xf numFmtId="0" fontId="0" fillId="4" borderId="1" xfId="0" applyFill="1" applyBorder="1"/>
    <xf numFmtId="3" fontId="7" fillId="0" borderId="0" xfId="0" applyNumberFormat="1" applyFont="1"/>
    <xf numFmtId="0" fontId="20" fillId="0" borderId="0" xfId="0" applyFont="1" applyAlignment="1">
      <alignment horizontal="left"/>
    </xf>
    <xf numFmtId="0" fontId="7" fillId="0" borderId="3" xfId="0" applyFont="1" applyBorder="1"/>
    <xf numFmtId="170" fontId="7" fillId="0" borderId="10" xfId="0" applyNumberFormat="1" applyFont="1" applyBorder="1"/>
    <xf numFmtId="1" fontId="7" fillId="0" borderId="0" xfId="0" applyNumberFormat="1" applyFont="1"/>
    <xf numFmtId="0" fontId="21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2" fillId="0" borderId="0" xfId="0" applyFont="1"/>
    <xf numFmtId="49" fontId="7" fillId="0" borderId="1" xfId="0" applyNumberFormat="1" applyFont="1" applyBorder="1" applyAlignment="1">
      <alignment vertical="center" wrapText="1"/>
    </xf>
    <xf numFmtId="3" fontId="7" fillId="7" borderId="0" xfId="0" applyNumberFormat="1" applyFont="1" applyFill="1"/>
    <xf numFmtId="0" fontId="7" fillId="0" borderId="0" xfId="0" applyFont="1"/>
    <xf numFmtId="169" fontId="22" fillId="0" borderId="0" xfId="0" applyNumberFormat="1" applyFont="1"/>
    <xf numFmtId="49" fontId="7" fillId="0" borderId="0" xfId="0" applyNumberFormat="1" applyFont="1" applyAlignment="1">
      <alignment vertical="center" wrapText="1"/>
    </xf>
    <xf numFmtId="1" fontId="7" fillId="0" borderId="1" xfId="0" applyNumberFormat="1" applyFont="1" applyBorder="1" applyAlignment="1">
      <alignment horizontal="right"/>
    </xf>
    <xf numFmtId="2" fontId="7" fillId="0" borderId="4" xfId="0" applyNumberFormat="1" applyFont="1" applyBorder="1"/>
    <xf numFmtId="2" fontId="7" fillId="0" borderId="7" xfId="0" applyNumberFormat="1" applyFont="1" applyBorder="1"/>
    <xf numFmtId="173" fontId="7" fillId="0" borderId="0" xfId="0" applyNumberFormat="1" applyFont="1"/>
    <xf numFmtId="0" fontId="23" fillId="0" borderId="0" xfId="0" applyFont="1"/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0" fontId="23" fillId="0" borderId="3" xfId="0" applyFont="1" applyBorder="1"/>
    <xf numFmtId="167" fontId="23" fillId="0" borderId="0" xfId="6" applyFont="1" applyFill="1" applyBorder="1" applyAlignment="1" applyProtection="1">
      <alignment horizontal="center"/>
    </xf>
    <xf numFmtId="167" fontId="23" fillId="0" borderId="7" xfId="6" applyFont="1" applyFill="1" applyBorder="1" applyAlignment="1" applyProtection="1"/>
    <xf numFmtId="167" fontId="23" fillId="0" borderId="0" xfId="6" applyFont="1" applyFill="1" applyBorder="1" applyAlignment="1" applyProtection="1"/>
    <xf numFmtId="0" fontId="24" fillId="0" borderId="0" xfId="0" applyFont="1"/>
    <xf numFmtId="0" fontId="23" fillId="9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67" fontId="23" fillId="0" borderId="6" xfId="6" applyFont="1" applyFill="1" applyBorder="1" applyAlignment="1" applyProtection="1">
      <alignment horizontal="center"/>
    </xf>
    <xf numFmtId="167" fontId="23" fillId="0" borderId="6" xfId="6" applyFont="1" applyFill="1" applyBorder="1" applyAlignment="1" applyProtection="1"/>
    <xf numFmtId="2" fontId="23" fillId="0" borderId="0" xfId="0" applyNumberFormat="1" applyFont="1"/>
    <xf numFmtId="174" fontId="23" fillId="0" borderId="0" xfId="0" applyNumberFormat="1" applyFont="1"/>
    <xf numFmtId="0" fontId="23" fillId="4" borderId="3" xfId="0" applyFont="1" applyFill="1" applyBorder="1"/>
    <xf numFmtId="174" fontId="23" fillId="4" borderId="1" xfId="0" applyNumberFormat="1" applyFont="1" applyFill="1" applyBorder="1" applyAlignment="1">
      <alignment horizontal="left"/>
    </xf>
    <xf numFmtId="167" fontId="23" fillId="4" borderId="7" xfId="6" applyFont="1" applyFill="1" applyBorder="1" applyAlignment="1" applyProtection="1"/>
    <xf numFmtId="167" fontId="23" fillId="4" borderId="6" xfId="6" applyFont="1" applyFill="1" applyBorder="1" applyAlignment="1" applyProtection="1"/>
    <xf numFmtId="0" fontId="24" fillId="0" borderId="16" xfId="0" applyFont="1" applyBorder="1"/>
    <xf numFmtId="0" fontId="24" fillId="9" borderId="16" xfId="0" applyFont="1" applyFill="1" applyBorder="1" applyAlignment="1">
      <alignment horizontal="center" vertical="center"/>
    </xf>
    <xf numFmtId="0" fontId="24" fillId="8" borderId="16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 wrapText="1"/>
    </xf>
    <xf numFmtId="0" fontId="23" fillId="0" borderId="6" xfId="0" applyFont="1" applyBorder="1"/>
    <xf numFmtId="0" fontId="23" fillId="0" borderId="6" xfId="0" applyFont="1" applyBorder="1" applyAlignment="1">
      <alignment horizontal="right"/>
    </xf>
    <xf numFmtId="0" fontId="23" fillId="0" borderId="3" xfId="0" applyFont="1" applyBorder="1" applyAlignment="1">
      <alignment horizontal="right"/>
    </xf>
    <xf numFmtId="167" fontId="23" fillId="0" borderId="14" xfId="6" applyFont="1" applyFill="1" applyBorder="1" applyAlignment="1" applyProtection="1"/>
    <xf numFmtId="167" fontId="23" fillId="0" borderId="0" xfId="0" applyNumberFormat="1" applyFont="1"/>
    <xf numFmtId="0" fontId="23" fillId="0" borderId="7" xfId="0" applyFont="1" applyBorder="1"/>
    <xf numFmtId="0" fontId="23" fillId="0" borderId="14" xfId="0" applyFont="1" applyBorder="1" applyAlignment="1">
      <alignment horizontal="right"/>
    </xf>
    <xf numFmtId="0" fontId="23" fillId="0" borderId="0" xfId="0" applyFont="1" applyAlignment="1">
      <alignment horizontal="right"/>
    </xf>
    <xf numFmtId="167" fontId="23" fillId="0" borderId="3" xfId="6" applyFont="1" applyFill="1" applyBorder="1" applyAlignment="1" applyProtection="1"/>
    <xf numFmtId="167" fontId="23" fillId="0" borderId="5" xfId="6" applyFont="1" applyFill="1" applyBorder="1" applyAlignment="1" applyProtection="1"/>
    <xf numFmtId="0" fontId="23" fillId="4" borderId="0" xfId="0" applyFont="1" applyFill="1"/>
    <xf numFmtId="0" fontId="0" fillId="5" borderId="0" xfId="0" applyFill="1"/>
    <xf numFmtId="168" fontId="8" fillId="4" borderId="1" xfId="0" applyNumberFormat="1" applyFont="1" applyFill="1" applyBorder="1"/>
    <xf numFmtId="168" fontId="8" fillId="4" borderId="9" xfId="0" applyNumberFormat="1" applyFont="1" applyFill="1" applyBorder="1"/>
    <xf numFmtId="0" fontId="2" fillId="3" borderId="1" xfId="0" applyFont="1" applyFill="1" applyBorder="1"/>
    <xf numFmtId="3" fontId="7" fillId="3" borderId="1" xfId="0" applyNumberFormat="1" applyFont="1" applyFill="1" applyBorder="1"/>
    <xf numFmtId="0" fontId="0" fillId="3" borderId="1" xfId="0" applyFill="1" applyBorder="1"/>
    <xf numFmtId="3" fontId="7" fillId="13" borderId="1" xfId="0" applyNumberFormat="1" applyFont="1" applyFill="1" applyBorder="1"/>
    <xf numFmtId="173" fontId="7" fillId="0" borderId="0" xfId="6" applyNumberFormat="1" applyFont="1" applyFill="1" applyBorder="1" applyAlignment="1" applyProtection="1">
      <alignment horizontal="right"/>
    </xf>
    <xf numFmtId="9" fontId="0" fillId="0" borderId="0" xfId="0" applyNumberFormat="1"/>
    <xf numFmtId="0" fontId="4" fillId="2" borderId="1" xfId="0" applyFont="1" applyFill="1" applyBorder="1"/>
    <xf numFmtId="2" fontId="10" fillId="4" borderId="4" xfId="0" applyNumberFormat="1" applyFont="1" applyFill="1" applyBorder="1" applyAlignment="1">
      <alignment horizontal="center" vertical="center"/>
    </xf>
    <xf numFmtId="168" fontId="7" fillId="0" borderId="1" xfId="0" applyNumberFormat="1" applyFont="1" applyBorder="1"/>
    <xf numFmtId="0" fontId="2" fillId="4" borderId="2" xfId="0" applyFont="1" applyFill="1" applyBorder="1"/>
    <xf numFmtId="168" fontId="7" fillId="4" borderId="2" xfId="0" applyNumberFormat="1" applyFont="1" applyFill="1" applyBorder="1"/>
    <xf numFmtId="170" fontId="7" fillId="0" borderId="1" xfId="0" applyNumberFormat="1" applyFont="1" applyBorder="1"/>
    <xf numFmtId="1" fontId="7" fillId="0" borderId="10" xfId="0" applyNumberFormat="1" applyFont="1" applyBorder="1"/>
    <xf numFmtId="168" fontId="7" fillId="0" borderId="11" xfId="0" applyNumberFormat="1" applyFont="1" applyBorder="1"/>
    <xf numFmtId="49" fontId="2" fillId="0" borderId="7" xfId="0" applyNumberFormat="1" applyFont="1" applyBorder="1" applyAlignment="1">
      <alignment vertical="center" wrapText="1"/>
    </xf>
    <xf numFmtId="0" fontId="2" fillId="7" borderId="2" xfId="0" applyFont="1" applyFill="1" applyBorder="1"/>
    <xf numFmtId="2" fontId="7" fillId="7" borderId="1" xfId="0" applyNumberFormat="1" applyFont="1" applyFill="1" applyBorder="1"/>
    <xf numFmtId="0" fontId="2" fillId="14" borderId="0" xfId="0" applyFont="1" applyFill="1"/>
    <xf numFmtId="0" fontId="0" fillId="14" borderId="0" xfId="0" applyFill="1"/>
    <xf numFmtId="10" fontId="7" fillId="0" borderId="6" xfId="0" applyNumberFormat="1" applyFont="1" applyBorder="1"/>
    <xf numFmtId="10" fontId="7" fillId="7" borderId="1" xfId="0" applyNumberFormat="1" applyFont="1" applyFill="1" applyBorder="1"/>
    <xf numFmtId="172" fontId="7" fillId="0" borderId="1" xfId="6" applyNumberFormat="1" applyFont="1" applyFill="1" applyBorder="1" applyAlignment="1" applyProtection="1"/>
    <xf numFmtId="172" fontId="7" fillId="0" borderId="1" xfId="6" applyNumberFormat="1" applyFont="1" applyFill="1" applyBorder="1" applyAlignment="1" applyProtection="1">
      <alignment horizontal="right"/>
    </xf>
    <xf numFmtId="172" fontId="7" fillId="0" borderId="0" xfId="6" applyNumberFormat="1" applyFont="1" applyFill="1" applyBorder="1" applyAlignment="1" applyProtection="1">
      <alignment horizontal="right"/>
    </xf>
    <xf numFmtId="172" fontId="7" fillId="7" borderId="1" xfId="6" applyNumberFormat="1" applyFont="1" applyFill="1" applyBorder="1" applyAlignment="1" applyProtection="1">
      <alignment horizontal="right"/>
    </xf>
    <xf numFmtId="172" fontId="0" fillId="0" borderId="0" xfId="6" applyNumberFormat="1" applyFont="1" applyFill="1" applyBorder="1" applyAlignment="1" applyProtection="1">
      <alignment horizontal="right"/>
    </xf>
    <xf numFmtId="172" fontId="0" fillId="0" borderId="0" xfId="0" applyNumberFormat="1" applyAlignment="1">
      <alignment horizontal="right"/>
    </xf>
    <xf numFmtId="172" fontId="18" fillId="0" borderId="0" xfId="0" applyNumberFormat="1" applyFont="1" applyAlignment="1">
      <alignment horizontal="right"/>
    </xf>
    <xf numFmtId="0" fontId="0" fillId="4" borderId="13" xfId="0" applyFill="1" applyBorder="1"/>
    <xf numFmtId="3" fontId="7" fillId="7" borderId="9" xfId="0" applyNumberFormat="1" applyFont="1" applyFill="1" applyBorder="1"/>
    <xf numFmtId="0" fontId="0" fillId="0" borderId="17" xfId="0" applyBorder="1"/>
    <xf numFmtId="2" fontId="10" fillId="4" borderId="4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3" fontId="7" fillId="10" borderId="5" xfId="0" applyNumberFormat="1" applyFont="1" applyFill="1" applyBorder="1"/>
    <xf numFmtId="0" fontId="25" fillId="0" borderId="0" xfId="4"/>
    <xf numFmtId="0" fontId="26" fillId="0" borderId="18" xfId="4" applyFont="1" applyBorder="1"/>
    <xf numFmtId="175" fontId="27" fillId="15" borderId="19" xfId="4" applyNumberFormat="1" applyFont="1" applyFill="1" applyBorder="1"/>
    <xf numFmtId="0" fontId="25" fillId="0" borderId="19" xfId="4" applyBorder="1"/>
    <xf numFmtId="14" fontId="25" fillId="0" borderId="19" xfId="4" applyNumberFormat="1" applyBorder="1"/>
    <xf numFmtId="0" fontId="25" fillId="0" borderId="20" xfId="4" applyBorder="1"/>
    <xf numFmtId="0" fontId="25" fillId="0" borderId="0" xfId="4" applyAlignment="1">
      <alignment horizontal="center" wrapText="1"/>
    </xf>
    <xf numFmtId="0" fontId="26" fillId="0" borderId="21" xfId="4" applyFont="1" applyBorder="1" applyAlignment="1">
      <alignment wrapText="1"/>
    </xf>
    <xf numFmtId="0" fontId="26" fillId="0" borderId="3" xfId="4" applyFont="1" applyBorder="1" applyAlignment="1">
      <alignment horizontal="center" wrapText="1"/>
    </xf>
    <xf numFmtId="0" fontId="26" fillId="0" borderId="4" xfId="4" applyFont="1" applyBorder="1" applyAlignment="1">
      <alignment horizontal="center" wrapText="1"/>
    </xf>
    <xf numFmtId="177" fontId="26" fillId="0" borderId="22" xfId="4" applyNumberFormat="1" applyFont="1" applyBorder="1" applyAlignment="1">
      <alignment horizontal="center" wrapText="1"/>
    </xf>
    <xf numFmtId="0" fontId="26" fillId="15" borderId="23" xfId="4" applyFont="1" applyFill="1" applyBorder="1" applyAlignment="1">
      <alignment horizontal="center" wrapText="1"/>
    </xf>
    <xf numFmtId="0" fontId="26" fillId="0" borderId="24" xfId="4" applyFont="1" applyBorder="1"/>
    <xf numFmtId="0" fontId="26" fillId="0" borderId="5" xfId="4" applyFont="1" applyBorder="1"/>
    <xf numFmtId="0" fontId="26" fillId="0" borderId="8" xfId="4" applyFont="1" applyBorder="1"/>
    <xf numFmtId="0" fontId="26" fillId="0" borderId="25" xfId="4" applyFont="1" applyBorder="1"/>
    <xf numFmtId="0" fontId="26" fillId="15" borderId="26" xfId="4" applyFont="1" applyFill="1" applyBorder="1"/>
    <xf numFmtId="0" fontId="26" fillId="0" borderId="27" xfId="4" applyFont="1" applyBorder="1"/>
    <xf numFmtId="2" fontId="29" fillId="5" borderId="4" xfId="0" applyNumberFormat="1" applyFont="1" applyFill="1" applyBorder="1"/>
    <xf numFmtId="4" fontId="25" fillId="0" borderId="1" xfId="4" applyNumberFormat="1" applyBorder="1"/>
    <xf numFmtId="0" fontId="25" fillId="0" borderId="1" xfId="4" applyBorder="1"/>
    <xf numFmtId="3" fontId="26" fillId="5" borderId="1" xfId="4" applyNumberFormat="1" applyFont="1" applyFill="1" applyBorder="1"/>
    <xf numFmtId="0" fontId="26" fillId="5" borderId="5" xfId="4" applyFont="1" applyFill="1" applyBorder="1"/>
    <xf numFmtId="0" fontId="26" fillId="5" borderId="2" xfId="4" applyFont="1" applyFill="1" applyBorder="1"/>
    <xf numFmtId="0" fontId="26" fillId="5" borderId="8" xfId="4" applyFont="1" applyFill="1" applyBorder="1"/>
    <xf numFmtId="3" fontId="26" fillId="5" borderId="28" xfId="4" applyNumberFormat="1" applyFont="1" applyFill="1" applyBorder="1"/>
    <xf numFmtId="0" fontId="25" fillId="5" borderId="0" xfId="4" applyFill="1"/>
    <xf numFmtId="3" fontId="26" fillId="5" borderId="2" xfId="4" applyNumberFormat="1" applyFont="1" applyFill="1" applyBorder="1"/>
    <xf numFmtId="3" fontId="26" fillId="5" borderId="29" xfId="4" applyNumberFormat="1" applyFont="1" applyFill="1" applyBorder="1"/>
    <xf numFmtId="3" fontId="25" fillId="5" borderId="0" xfId="4" applyNumberFormat="1" applyFill="1"/>
    <xf numFmtId="3" fontId="26" fillId="5" borderId="30" xfId="4" applyNumberFormat="1" applyFont="1" applyFill="1" applyBorder="1"/>
    <xf numFmtId="0" fontId="25" fillId="0" borderId="3" xfId="4" applyBorder="1"/>
    <xf numFmtId="3" fontId="26" fillId="5" borderId="9" xfId="4" applyNumberFormat="1" applyFont="1" applyFill="1" applyBorder="1"/>
    <xf numFmtId="4" fontId="25" fillId="5" borderId="1" xfId="4" applyNumberFormat="1" applyFill="1" applyBorder="1"/>
    <xf numFmtId="0" fontId="25" fillId="5" borderId="3" xfId="4" applyFill="1" applyBorder="1"/>
    <xf numFmtId="0" fontId="26" fillId="5" borderId="21" xfId="4" applyFont="1" applyFill="1" applyBorder="1"/>
    <xf numFmtId="4" fontId="25" fillId="5" borderId="3" xfId="4" applyNumberFormat="1" applyFill="1" applyBorder="1"/>
    <xf numFmtId="3" fontId="26" fillId="5" borderId="4" xfId="4" applyNumberFormat="1" applyFont="1" applyFill="1" applyBorder="1"/>
    <xf numFmtId="3" fontId="26" fillId="5" borderId="31" xfId="4" applyNumberFormat="1" applyFont="1" applyFill="1" applyBorder="1"/>
    <xf numFmtId="3" fontId="26" fillId="4" borderId="16" xfId="4" applyNumberFormat="1" applyFont="1" applyFill="1" applyBorder="1"/>
    <xf numFmtId="3" fontId="26" fillId="4" borderId="32" xfId="4" applyNumberFormat="1" applyFont="1" applyFill="1" applyBorder="1"/>
    <xf numFmtId="3" fontId="26" fillId="4" borderId="15" xfId="4" applyNumberFormat="1" applyFont="1" applyFill="1" applyBorder="1"/>
    <xf numFmtId="0" fontId="26" fillId="0" borderId="0" xfId="4" applyFont="1" applyAlignment="1">
      <alignment horizontal="right"/>
    </xf>
    <xf numFmtId="3" fontId="30" fillId="5" borderId="0" xfId="4" applyNumberFormat="1" applyFont="1" applyFill="1"/>
    <xf numFmtId="3" fontId="26" fillId="0" borderId="0" xfId="4" applyNumberFormat="1" applyFont="1"/>
    <xf numFmtId="3" fontId="31" fillId="0" borderId="0" xfId="4" applyNumberFormat="1" applyFont="1"/>
    <xf numFmtId="3" fontId="31" fillId="5" borderId="0" xfId="4" applyNumberFormat="1" applyFont="1" applyFill="1"/>
    <xf numFmtId="0" fontId="31" fillId="0" borderId="0" xfId="4" applyFont="1"/>
    <xf numFmtId="3" fontId="25" fillId="0" borderId="0" xfId="4" applyNumberFormat="1"/>
    <xf numFmtId="3" fontId="25" fillId="0" borderId="1" xfId="4" applyNumberFormat="1" applyBorder="1"/>
    <xf numFmtId="0" fontId="4" fillId="0" borderId="1" xfId="0" applyFont="1" applyBorder="1"/>
    <xf numFmtId="168" fontId="7" fillId="0" borderId="2" xfId="0" applyNumberFormat="1" applyFont="1" applyBorder="1"/>
    <xf numFmtId="170" fontId="7" fillId="0" borderId="2" xfId="0" applyNumberFormat="1" applyFont="1" applyBorder="1"/>
    <xf numFmtId="0" fontId="32" fillId="0" borderId="0" xfId="0" applyFont="1"/>
    <xf numFmtId="0" fontId="32" fillId="0" borderId="11" xfId="0" applyFont="1" applyBorder="1"/>
    <xf numFmtId="0" fontId="33" fillId="0" borderId="1" xfId="0" applyFont="1" applyBorder="1"/>
    <xf numFmtId="0" fontId="33" fillId="0" borderId="1" xfId="0" applyFont="1" applyBorder="1" applyAlignment="1">
      <alignment wrapText="1"/>
    </xf>
    <xf numFmtId="179" fontId="33" fillId="16" borderId="1" xfId="0" applyNumberFormat="1" applyFont="1" applyFill="1" applyBorder="1" applyAlignment="1">
      <alignment horizontal="center" vertical="center" wrapText="1"/>
    </xf>
    <xf numFmtId="0" fontId="33" fillId="16" borderId="5" xfId="0" applyFont="1" applyFill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33" xfId="0" applyFont="1" applyBorder="1" applyAlignment="1">
      <alignment wrapText="1"/>
    </xf>
    <xf numFmtId="0" fontId="34" fillId="16" borderId="34" xfId="0" applyFont="1" applyFill="1" applyBorder="1" applyAlignment="1">
      <alignment horizontal="center" vertical="center" wrapText="1"/>
    </xf>
    <xf numFmtId="179" fontId="33" fillId="16" borderId="35" xfId="0" applyNumberFormat="1" applyFont="1" applyFill="1" applyBorder="1" applyAlignment="1">
      <alignment horizontal="center" vertical="center" wrapText="1"/>
    </xf>
    <xf numFmtId="0" fontId="34" fillId="16" borderId="35" xfId="0" applyFont="1" applyFill="1" applyBorder="1" applyAlignment="1">
      <alignment horizontal="center" vertical="center" wrapText="1"/>
    </xf>
    <xf numFmtId="179" fontId="33" fillId="16" borderId="36" xfId="0" applyNumberFormat="1" applyFont="1" applyFill="1" applyBorder="1" applyAlignment="1">
      <alignment horizontal="center" vertical="center" wrapText="1"/>
    </xf>
    <xf numFmtId="0" fontId="33" fillId="0" borderId="2" xfId="0" applyFont="1" applyBorder="1"/>
    <xf numFmtId="180" fontId="33" fillId="0" borderId="14" xfId="6" applyNumberFormat="1" applyFont="1" applyFill="1" applyBorder="1" applyAlignment="1" applyProtection="1"/>
    <xf numFmtId="180" fontId="33" fillId="0" borderId="1" xfId="6" applyNumberFormat="1" applyFont="1" applyFill="1" applyBorder="1" applyAlignment="1" applyProtection="1"/>
    <xf numFmtId="180" fontId="33" fillId="5" borderId="1" xfId="6" applyNumberFormat="1" applyFont="1" applyFill="1" applyBorder="1" applyAlignment="1" applyProtection="1"/>
    <xf numFmtId="180" fontId="33" fillId="17" borderId="1" xfId="6" applyNumberFormat="1" applyFont="1" applyFill="1" applyBorder="1" applyAlignment="1" applyProtection="1"/>
    <xf numFmtId="181" fontId="33" fillId="0" borderId="1" xfId="0" applyNumberFormat="1" applyFont="1" applyBorder="1"/>
    <xf numFmtId="0" fontId="33" fillId="0" borderId="37" xfId="0" applyFont="1" applyBorder="1"/>
    <xf numFmtId="4" fontId="33" fillId="0" borderId="0" xfId="0" applyNumberFormat="1" applyFont="1"/>
    <xf numFmtId="4" fontId="26" fillId="18" borderId="0" xfId="0" applyNumberFormat="1" applyFont="1" applyFill="1"/>
    <xf numFmtId="4" fontId="26" fillId="18" borderId="38" xfId="0" applyNumberFormat="1" applyFont="1" applyFill="1" applyBorder="1"/>
    <xf numFmtId="0" fontId="33" fillId="0" borderId="3" xfId="0" applyFont="1" applyBorder="1"/>
    <xf numFmtId="0" fontId="33" fillId="0" borderId="4" xfId="0" applyFont="1" applyBorder="1"/>
    <xf numFmtId="180" fontId="33" fillId="0" borderId="3" xfId="6" applyNumberFormat="1" applyFont="1" applyFill="1" applyBorder="1" applyAlignment="1" applyProtection="1"/>
    <xf numFmtId="180" fontId="33" fillId="5" borderId="3" xfId="6" applyNumberFormat="1" applyFont="1" applyFill="1" applyBorder="1" applyAlignment="1" applyProtection="1"/>
    <xf numFmtId="180" fontId="33" fillId="17" borderId="3" xfId="6" applyNumberFormat="1" applyFont="1" applyFill="1" applyBorder="1" applyAlignment="1" applyProtection="1"/>
    <xf numFmtId="181" fontId="33" fillId="0" borderId="3" xfId="0" applyNumberFormat="1" applyFont="1" applyBorder="1"/>
    <xf numFmtId="0" fontId="33" fillId="0" borderId="39" xfId="0" applyFont="1" applyBorder="1"/>
    <xf numFmtId="0" fontId="33" fillId="0" borderId="40" xfId="0" applyFont="1" applyBorder="1"/>
    <xf numFmtId="0" fontId="33" fillId="0" borderId="41" xfId="0" applyFont="1" applyBorder="1"/>
    <xf numFmtId="180" fontId="33" fillId="17" borderId="15" xfId="6" applyNumberFormat="1" applyFont="1" applyFill="1" applyBorder="1" applyAlignment="1" applyProtection="1"/>
    <xf numFmtId="181" fontId="33" fillId="0" borderId="15" xfId="0" applyNumberFormat="1" applyFont="1" applyBorder="1"/>
    <xf numFmtId="0" fontId="33" fillId="0" borderId="0" xfId="0" applyFont="1"/>
    <xf numFmtId="180" fontId="33" fillId="0" borderId="0" xfId="0" applyNumberFormat="1" applyFont="1"/>
    <xf numFmtId="180" fontId="33" fillId="6" borderId="5" xfId="0" applyNumberFormat="1" applyFont="1" applyFill="1" applyBorder="1"/>
    <xf numFmtId="180" fontId="33" fillId="17" borderId="5" xfId="6" applyNumberFormat="1" applyFont="1" applyFill="1" applyBorder="1" applyAlignment="1" applyProtection="1"/>
    <xf numFmtId="180" fontId="33" fillId="17" borderId="0" xfId="6" applyNumberFormat="1" applyFont="1" applyFill="1" applyBorder="1" applyAlignment="1" applyProtection="1"/>
    <xf numFmtId="4" fontId="35" fillId="0" borderId="20" xfId="0" applyNumberFormat="1" applyFont="1" applyBorder="1"/>
    <xf numFmtId="4" fontId="36" fillId="0" borderId="0" xfId="0" applyNumberFormat="1" applyFont="1"/>
    <xf numFmtId="0" fontId="36" fillId="0" borderId="0" xfId="0" applyFont="1"/>
    <xf numFmtId="4" fontId="35" fillId="0" borderId="38" xfId="0" applyNumberFormat="1" applyFont="1" applyBorder="1"/>
    <xf numFmtId="0" fontId="37" fillId="4" borderId="2" xfId="0" applyFont="1" applyFill="1" applyBorder="1"/>
    <xf numFmtId="0" fontId="36" fillId="4" borderId="1" xfId="0" applyFont="1" applyFill="1" applyBorder="1"/>
    <xf numFmtId="4" fontId="38" fillId="5" borderId="38" xfId="0" applyNumberFormat="1" applyFont="1" applyFill="1" applyBorder="1"/>
    <xf numFmtId="0" fontId="36" fillId="0" borderId="1" xfId="0" applyFont="1" applyBorder="1"/>
    <xf numFmtId="180" fontId="36" fillId="0" borderId="1" xfId="0" applyNumberFormat="1" applyFont="1" applyBorder="1" applyAlignment="1">
      <alignment horizontal="right"/>
    </xf>
    <xf numFmtId="0" fontId="39" fillId="0" borderId="0" xfId="0" applyFont="1"/>
    <xf numFmtId="4" fontId="40" fillId="0" borderId="38" xfId="0" applyNumberFormat="1" applyFont="1" applyBorder="1"/>
    <xf numFmtId="0" fontId="37" fillId="0" borderId="1" xfId="0" applyFont="1" applyBorder="1"/>
    <xf numFmtId="180" fontId="37" fillId="4" borderId="1" xfId="0" applyNumberFormat="1" applyFont="1" applyFill="1" applyBorder="1"/>
    <xf numFmtId="0" fontId="41" fillId="0" borderId="0" xfId="0" applyFont="1"/>
    <xf numFmtId="0" fontId="36" fillId="0" borderId="1" xfId="0" applyFont="1" applyBorder="1" applyAlignment="1">
      <alignment horizontal="center"/>
    </xf>
    <xf numFmtId="4" fontId="42" fillId="5" borderId="38" xfId="0" applyNumberFormat="1" applyFont="1" applyFill="1" applyBorder="1"/>
    <xf numFmtId="0" fontId="43" fillId="0" borderId="0" xfId="0" applyFont="1" applyAlignment="1">
      <alignment horizontal="right"/>
    </xf>
    <xf numFmtId="182" fontId="36" fillId="0" borderId="0" xfId="0" applyNumberFormat="1" applyFont="1"/>
    <xf numFmtId="0" fontId="0" fillId="3" borderId="42" xfId="0" applyFill="1" applyBorder="1"/>
    <xf numFmtId="183" fontId="44" fillId="0" borderId="1" xfId="6" applyNumberFormat="1" applyFont="1" applyFill="1" applyBorder="1" applyAlignment="1" applyProtection="1"/>
    <xf numFmtId="183" fontId="45" fillId="0" borderId="0" xfId="0" applyNumberFormat="1" applyFont="1"/>
    <xf numFmtId="181" fontId="46" fillId="0" borderId="0" xfId="6" applyNumberFormat="1" applyFont="1" applyBorder="1"/>
    <xf numFmtId="180" fontId="37" fillId="0" borderId="1" xfId="0" applyNumberFormat="1" applyFont="1" applyBorder="1" applyAlignment="1">
      <alignment horizontal="right"/>
    </xf>
    <xf numFmtId="180" fontId="0" fillId="0" borderId="0" xfId="0" applyNumberFormat="1"/>
    <xf numFmtId="180" fontId="36" fillId="3" borderId="1" xfId="0" applyNumberFormat="1" applyFont="1" applyFill="1" applyBorder="1" applyAlignment="1">
      <alignment horizontal="right"/>
    </xf>
    <xf numFmtId="182" fontId="35" fillId="0" borderId="0" xfId="0" applyNumberFormat="1" applyFont="1"/>
    <xf numFmtId="0" fontId="0" fillId="0" borderId="43" xfId="0" applyBorder="1"/>
    <xf numFmtId="4" fontId="35" fillId="0" borderId="44" xfId="0" applyNumberFormat="1" applyFont="1" applyBorder="1"/>
    <xf numFmtId="0" fontId="6" fillId="4" borderId="1" xfId="0" applyFont="1" applyFill="1" applyBorder="1" applyAlignment="1">
      <alignment horizontal="center"/>
    </xf>
    <xf numFmtId="4" fontId="7" fillId="4" borderId="4" xfId="0" applyNumberFormat="1" applyFont="1" applyFill="1" applyBorder="1"/>
    <xf numFmtId="4" fontId="7" fillId="4" borderId="1" xfId="0" applyNumberFormat="1" applyFont="1" applyFill="1" applyBorder="1"/>
    <xf numFmtId="1" fontId="7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3" fontId="7" fillId="4" borderId="4" xfId="0" applyNumberFormat="1" applyFont="1" applyFill="1" applyBorder="1"/>
    <xf numFmtId="4" fontId="7" fillId="4" borderId="0" xfId="0" applyNumberFormat="1" applyFont="1" applyFill="1"/>
    <xf numFmtId="4" fontId="2" fillId="4" borderId="2" xfId="0" applyNumberFormat="1" applyFont="1" applyFill="1" applyBorder="1"/>
    <xf numFmtId="4" fontId="2" fillId="4" borderId="4" xfId="0" applyNumberFormat="1" applyFont="1" applyFill="1" applyBorder="1"/>
    <xf numFmtId="4" fontId="7" fillId="4" borderId="0" xfId="0" applyNumberFormat="1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4" borderId="1" xfId="0" applyFont="1" applyFill="1" applyBorder="1" applyAlignment="1">
      <alignment horizontal="right"/>
    </xf>
    <xf numFmtId="3" fontId="7" fillId="4" borderId="1" xfId="0" applyNumberFormat="1" applyFont="1" applyFill="1" applyBorder="1" applyAlignment="1">
      <alignment horizontal="center"/>
    </xf>
    <xf numFmtId="3" fontId="7" fillId="4" borderId="1" xfId="0" applyNumberFormat="1" applyFont="1" applyFill="1" applyBorder="1" applyAlignment="1">
      <alignment horizontal="right"/>
    </xf>
    <xf numFmtId="0" fontId="2" fillId="4" borderId="0" xfId="0" applyFont="1" applyFill="1" applyAlignment="1">
      <alignment horizontal="right"/>
    </xf>
    <xf numFmtId="4" fontId="0" fillId="4" borderId="1" xfId="0" applyNumberFormat="1" applyFill="1" applyBorder="1"/>
    <xf numFmtId="4" fontId="7" fillId="4" borderId="3" xfId="0" applyNumberFormat="1" applyFont="1" applyFill="1" applyBorder="1"/>
    <xf numFmtId="0" fontId="0" fillId="4" borderId="3" xfId="0" applyFill="1" applyBorder="1"/>
    <xf numFmtId="2" fontId="0" fillId="4" borderId="0" xfId="0" applyNumberFormat="1" applyFill="1"/>
    <xf numFmtId="4" fontId="7" fillId="4" borderId="15" xfId="0" applyNumberFormat="1" applyFont="1" applyFill="1" applyBorder="1"/>
    <xf numFmtId="3" fontId="7" fillId="4" borderId="13" xfId="0" applyNumberFormat="1" applyFont="1" applyFill="1" applyBorder="1"/>
    <xf numFmtId="3" fontId="0" fillId="4" borderId="0" xfId="0" applyNumberFormat="1" applyFill="1"/>
    <xf numFmtId="0" fontId="10" fillId="0" borderId="0" xfId="0" applyFont="1"/>
    <xf numFmtId="49" fontId="47" fillId="0" borderId="1" xfId="0" applyNumberFormat="1" applyFont="1" applyBorder="1" applyAlignment="1">
      <alignment vertical="center" wrapText="1"/>
    </xf>
    <xf numFmtId="3" fontId="7" fillId="7" borderId="4" xfId="0" applyNumberFormat="1" applyFont="1" applyFill="1" applyBorder="1"/>
    <xf numFmtId="0" fontId="9" fillId="0" borderId="13" xfId="0" applyFont="1" applyBorder="1"/>
    <xf numFmtId="3" fontId="7" fillId="0" borderId="8" xfId="0" applyNumberFormat="1" applyFont="1" applyBorder="1"/>
    <xf numFmtId="0" fontId="9" fillId="0" borderId="1" xfId="0" applyFont="1" applyBorder="1" applyAlignment="1">
      <alignment horizontal="left"/>
    </xf>
    <xf numFmtId="4" fontId="7" fillId="0" borderId="13" xfId="0" applyNumberFormat="1" applyFont="1" applyBorder="1"/>
    <xf numFmtId="0" fontId="9" fillId="0" borderId="0" xfId="0" applyFont="1" applyAlignment="1">
      <alignment horizontal="right"/>
    </xf>
    <xf numFmtId="2" fontId="6" fillId="0" borderId="0" xfId="0" applyNumberFormat="1" applyFont="1"/>
    <xf numFmtId="3" fontId="6" fillId="0" borderId="0" xfId="0" applyNumberFormat="1" applyFont="1"/>
    <xf numFmtId="0" fontId="7" fillId="5" borderId="1" xfId="0" applyFont="1" applyFill="1" applyBorder="1" applyAlignment="1">
      <alignment horizontal="center"/>
    </xf>
    <xf numFmtId="1" fontId="7" fillId="9" borderId="1" xfId="0" applyNumberFormat="1" applyFont="1" applyFill="1" applyBorder="1"/>
    <xf numFmtId="0" fontId="7" fillId="5" borderId="2" xfId="0" applyFont="1" applyFill="1" applyBorder="1"/>
    <xf numFmtId="0" fontId="7" fillId="4" borderId="2" xfId="0" applyFont="1" applyFill="1" applyBorder="1"/>
    <xf numFmtId="1" fontId="7" fillId="0" borderId="1" xfId="0" applyNumberFormat="1" applyFont="1" applyBorder="1" applyAlignment="1">
      <alignment horizontal="center"/>
    </xf>
    <xf numFmtId="1" fontId="7" fillId="0" borderId="5" xfId="0" applyNumberFormat="1" applyFont="1" applyBorder="1"/>
    <xf numFmtId="0" fontId="0" fillId="0" borderId="4" xfId="0" applyBorder="1"/>
    <xf numFmtId="4" fontId="7" fillId="0" borderId="1" xfId="0" applyNumberFormat="1" applyFont="1" applyBorder="1" applyAlignment="1">
      <alignment horizontal="left"/>
    </xf>
    <xf numFmtId="4" fontId="7" fillId="0" borderId="0" xfId="0" applyNumberFormat="1" applyFont="1" applyAlignment="1">
      <alignment horizontal="left"/>
    </xf>
    <xf numFmtId="2" fontId="48" fillId="0" borderId="0" xfId="0" applyNumberFormat="1" applyFont="1" applyAlignment="1">
      <alignment horizontal="center"/>
    </xf>
    <xf numFmtId="2" fontId="48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2" fontId="2" fillId="0" borderId="2" xfId="0" applyNumberFormat="1" applyFont="1" applyBorder="1"/>
    <xf numFmtId="4" fontId="0" fillId="7" borderId="0" xfId="0" applyNumberFormat="1" applyFill="1"/>
    <xf numFmtId="2" fontId="0" fillId="0" borderId="2" xfId="0" applyNumberFormat="1" applyBorder="1"/>
    <xf numFmtId="0" fontId="0" fillId="6" borderId="0" xfId="0" applyFill="1" applyAlignment="1">
      <alignment horizontal="right"/>
    </xf>
    <xf numFmtId="2" fontId="6" fillId="6" borderId="0" xfId="0" applyNumberFormat="1" applyFont="1" applyFill="1"/>
    <xf numFmtId="0" fontId="21" fillId="0" borderId="0" xfId="0" applyFont="1" applyAlignment="1">
      <alignment horizontal="left"/>
    </xf>
    <xf numFmtId="0" fontId="49" fillId="0" borderId="0" xfId="0" applyFont="1"/>
    <xf numFmtId="0" fontId="8" fillId="0" borderId="0" xfId="0" applyFont="1" applyAlignment="1">
      <alignment horizontal="left"/>
    </xf>
    <xf numFmtId="1" fontId="2" fillId="0" borderId="1" xfId="0" applyNumberFormat="1" applyFont="1" applyBorder="1"/>
    <xf numFmtId="169" fontId="2" fillId="0" borderId="1" xfId="0" applyNumberFormat="1" applyFont="1" applyBorder="1"/>
    <xf numFmtId="0" fontId="50" fillId="0" borderId="0" xfId="0" applyFont="1"/>
    <xf numFmtId="169" fontId="0" fillId="0" borderId="1" xfId="0" applyNumberFormat="1" applyBorder="1"/>
    <xf numFmtId="0" fontId="51" fillId="0" borderId="0" xfId="0" applyFont="1"/>
    <xf numFmtId="0" fontId="51" fillId="0" borderId="0" xfId="0" applyFont="1" applyAlignment="1">
      <alignment horizontal="center"/>
    </xf>
    <xf numFmtId="0" fontId="51" fillId="0" borderId="1" xfId="0" applyFont="1" applyBorder="1"/>
    <xf numFmtId="0" fontId="51" fillId="9" borderId="1" xfId="0" applyFont="1" applyFill="1" applyBorder="1" applyAlignment="1">
      <alignment horizontal="center" vertical="center"/>
    </xf>
    <xf numFmtId="0" fontId="51" fillId="8" borderId="1" xfId="0" applyFont="1" applyFill="1" applyBorder="1" applyAlignment="1">
      <alignment horizontal="center" vertical="center" wrapText="1"/>
    </xf>
    <xf numFmtId="0" fontId="52" fillId="6" borderId="1" xfId="0" applyFont="1" applyFill="1" applyBorder="1" applyAlignment="1">
      <alignment horizontal="center" vertical="center" wrapText="1"/>
    </xf>
    <xf numFmtId="0" fontId="51" fillId="0" borderId="3" xfId="0" applyFont="1" applyBorder="1"/>
    <xf numFmtId="167" fontId="51" fillId="0" borderId="1" xfId="6" applyFont="1" applyFill="1" applyBorder="1" applyAlignment="1" applyProtection="1"/>
    <xf numFmtId="0" fontId="51" fillId="4" borderId="1" xfId="0" applyFont="1" applyFill="1" applyBorder="1"/>
    <xf numFmtId="0" fontId="51" fillId="19" borderId="1" xfId="0" applyFont="1" applyFill="1" applyBorder="1"/>
    <xf numFmtId="2" fontId="51" fillId="0" borderId="0" xfId="0" applyNumberFormat="1" applyFont="1"/>
    <xf numFmtId="0" fontId="51" fillId="0" borderId="1" xfId="0" applyFont="1" applyBorder="1" applyAlignment="1">
      <alignment horizontal="right"/>
    </xf>
    <xf numFmtId="174" fontId="51" fillId="0" borderId="0" xfId="0" applyNumberFormat="1" applyFont="1"/>
    <xf numFmtId="167" fontId="51" fillId="0" borderId="0" xfId="0" applyNumberFormat="1" applyFont="1"/>
    <xf numFmtId="0" fontId="51" fillId="20" borderId="3" xfId="0" applyFont="1" applyFill="1" applyBorder="1"/>
    <xf numFmtId="0" fontId="51" fillId="20" borderId="6" xfId="0" applyFont="1" applyFill="1" applyBorder="1"/>
    <xf numFmtId="167" fontId="51" fillId="20" borderId="7" xfId="6" applyFont="1" applyFill="1" applyBorder="1" applyAlignment="1" applyProtection="1"/>
    <xf numFmtId="167" fontId="53" fillId="20" borderId="7" xfId="6" applyFont="1" applyFill="1" applyBorder="1" applyAlignment="1" applyProtection="1"/>
    <xf numFmtId="167" fontId="51" fillId="20" borderId="6" xfId="6" applyFont="1" applyFill="1" applyBorder="1" applyAlignment="1" applyProtection="1"/>
    <xf numFmtId="0" fontId="51" fillId="20" borderId="0" xfId="0" applyFont="1" applyFill="1"/>
    <xf numFmtId="10" fontId="51" fillId="0" borderId="1" xfId="9" applyNumberFormat="1" applyFont="1" applyFill="1" applyBorder="1" applyAlignment="1" applyProtection="1"/>
    <xf numFmtId="0" fontId="51" fillId="21" borderId="1" xfId="0" applyFont="1" applyFill="1" applyBorder="1"/>
    <xf numFmtId="0" fontId="53" fillId="21" borderId="1" xfId="0" applyFont="1" applyFill="1" applyBorder="1"/>
    <xf numFmtId="0" fontId="51" fillId="21" borderId="0" xfId="0" applyFont="1" applyFill="1"/>
    <xf numFmtId="0" fontId="2" fillId="22" borderId="0" xfId="0" applyFont="1" applyFill="1"/>
    <xf numFmtId="0" fontId="0" fillId="22" borderId="0" xfId="0" applyFill="1"/>
    <xf numFmtId="3" fontId="7" fillId="0" borderId="2" xfId="0" applyNumberFormat="1" applyFont="1" applyBorder="1" applyAlignment="1">
      <alignment horizontal="right"/>
    </xf>
    <xf numFmtId="168" fontId="54" fillId="4" borderId="1" xfId="0" applyNumberFormat="1" applyFont="1" applyFill="1" applyBorder="1"/>
    <xf numFmtId="0" fontId="7" fillId="0" borderId="5" xfId="0" applyFont="1" applyBorder="1"/>
    <xf numFmtId="3" fontId="7" fillId="0" borderId="6" xfId="0" applyNumberFormat="1" applyFont="1" applyBorder="1"/>
    <xf numFmtId="0" fontId="2" fillId="23" borderId="0" xfId="0" applyFont="1" applyFill="1"/>
    <xf numFmtId="0" fontId="0" fillId="23" borderId="0" xfId="0" applyFill="1"/>
    <xf numFmtId="0" fontId="17" fillId="0" borderId="15" xfId="0" applyFont="1" applyBorder="1"/>
    <xf numFmtId="3" fontId="7" fillId="0" borderId="11" xfId="0" applyNumberFormat="1" applyFont="1" applyBorder="1"/>
    <xf numFmtId="3" fontId="7" fillId="0" borderId="9" xfId="0" applyNumberFormat="1" applyFont="1" applyBorder="1"/>
    <xf numFmtId="0" fontId="2" fillId="24" borderId="1" xfId="0" applyFont="1" applyFill="1" applyBorder="1"/>
    <xf numFmtId="3" fontId="7" fillId="24" borderId="2" xfId="0" applyNumberFormat="1" applyFont="1" applyFill="1" applyBorder="1"/>
    <xf numFmtId="49" fontId="2" fillId="26" borderId="1" xfId="0" applyNumberFormat="1" applyFont="1" applyFill="1" applyBorder="1" applyAlignment="1">
      <alignment vertical="center" wrapText="1"/>
    </xf>
    <xf numFmtId="0" fontId="57" fillId="0" borderId="0" xfId="8"/>
    <xf numFmtId="0" fontId="57" fillId="0" borderId="0" xfId="8" applyAlignment="1">
      <alignment horizontal="left"/>
    </xf>
    <xf numFmtId="0" fontId="62" fillId="30" borderId="53" xfId="8" applyFont="1" applyFill="1" applyBorder="1"/>
    <xf numFmtId="0" fontId="61" fillId="30" borderId="52" xfId="8" applyFont="1" applyFill="1" applyBorder="1"/>
    <xf numFmtId="0" fontId="61" fillId="0" borderId="52" xfId="8" applyFont="1" applyBorder="1"/>
    <xf numFmtId="188" fontId="61" fillId="0" borderId="52" xfId="8" applyNumberFormat="1" applyFont="1" applyBorder="1" applyAlignment="1">
      <alignment horizontal="right"/>
    </xf>
    <xf numFmtId="0" fontId="62" fillId="0" borderId="52" xfId="8" applyFont="1" applyBorder="1"/>
    <xf numFmtId="188" fontId="62" fillId="30" borderId="52" xfId="8" applyNumberFormat="1" applyFont="1" applyFill="1" applyBorder="1"/>
    <xf numFmtId="0" fontId="61" fillId="37" borderId="0" xfId="8" applyFont="1" applyFill="1"/>
    <xf numFmtId="0" fontId="62" fillId="0" borderId="52" xfId="8" applyFont="1" applyBorder="1" applyAlignment="1">
      <alignment horizontal="left"/>
    </xf>
    <xf numFmtId="0" fontId="61" fillId="0" borderId="52" xfId="8" applyFont="1" applyBorder="1" applyAlignment="1">
      <alignment horizontal="right"/>
    </xf>
    <xf numFmtId="0" fontId="61" fillId="37" borderId="0" xfId="8" applyFont="1" applyFill="1" applyAlignment="1">
      <alignment horizontal="left"/>
    </xf>
    <xf numFmtId="200" fontId="61" fillId="37" borderId="0" xfId="3" applyFont="1" applyFill="1"/>
    <xf numFmtId="0" fontId="62" fillId="0" borderId="65" xfId="8" applyFont="1" applyBorder="1" applyAlignment="1">
      <alignment horizontal="left"/>
    </xf>
    <xf numFmtId="0" fontId="61" fillId="0" borderId="66" xfId="8" applyFont="1" applyBorder="1" applyAlignment="1">
      <alignment horizontal="right"/>
    </xf>
    <xf numFmtId="0" fontId="61" fillId="28" borderId="0" xfId="8" applyFont="1" applyFill="1" applyAlignment="1">
      <alignment horizontal="left"/>
    </xf>
    <xf numFmtId="0" fontId="61" fillId="28" borderId="0" xfId="8" applyFont="1" applyFill="1"/>
    <xf numFmtId="188" fontId="62" fillId="0" borderId="66" xfId="8" applyNumberFormat="1" applyFont="1" applyBorder="1" applyAlignment="1">
      <alignment horizontal="right"/>
    </xf>
    <xf numFmtId="0" fontId="57" fillId="44" borderId="0" xfId="8" applyFill="1"/>
    <xf numFmtId="0" fontId="66" fillId="0" borderId="0" xfId="8" applyFont="1"/>
    <xf numFmtId="0" fontId="67" fillId="0" borderId="52" xfId="8" applyFont="1" applyBorder="1"/>
    <xf numFmtId="0" fontId="67" fillId="0" borderId="0" xfId="8" applyFont="1"/>
    <xf numFmtId="0" fontId="67" fillId="0" borderId="53" xfId="8" applyFont="1" applyBorder="1"/>
    <xf numFmtId="165" fontId="67" fillId="0" borderId="45" xfId="1" applyFont="1" applyFill="1" applyBorder="1" applyAlignment="1" applyProtection="1"/>
    <xf numFmtId="165" fontId="67" fillId="0" borderId="61" xfId="1" applyFont="1" applyFill="1" applyBorder="1" applyAlignment="1" applyProtection="1"/>
    <xf numFmtId="165" fontId="67" fillId="0" borderId="52" xfId="1" applyFont="1" applyFill="1" applyBorder="1" applyAlignment="1" applyProtection="1"/>
    <xf numFmtId="165" fontId="67" fillId="47" borderId="52" xfId="1" applyFont="1" applyFill="1" applyBorder="1" applyAlignment="1" applyProtection="1"/>
    <xf numFmtId="165" fontId="67" fillId="27" borderId="52" xfId="1" applyFont="1" applyFill="1" applyBorder="1" applyAlignment="1" applyProtection="1"/>
    <xf numFmtId="203" fontId="67" fillId="0" borderId="0" xfId="8" applyNumberFormat="1" applyFont="1"/>
    <xf numFmtId="165" fontId="67" fillId="0" borderId="62" xfId="1" applyFont="1" applyFill="1" applyBorder="1" applyAlignment="1" applyProtection="1"/>
    <xf numFmtId="188" fontId="67" fillId="0" borderId="0" xfId="8" applyNumberFormat="1" applyFont="1"/>
    <xf numFmtId="165" fontId="67" fillId="0" borderId="0" xfId="1" applyFont="1" applyAlignment="1"/>
    <xf numFmtId="165" fontId="67" fillId="31" borderId="56" xfId="1" applyFont="1" applyFill="1" applyBorder="1" applyAlignment="1"/>
    <xf numFmtId="165" fontId="67" fillId="0" borderId="0" xfId="1" applyFont="1"/>
    <xf numFmtId="165" fontId="67" fillId="47" borderId="0" xfId="1" applyFont="1" applyFill="1" applyBorder="1" applyAlignment="1" applyProtection="1"/>
    <xf numFmtId="188" fontId="67" fillId="0" borderId="0" xfId="8" applyNumberFormat="1" applyFont="1" applyAlignment="1">
      <alignment horizontal="right"/>
    </xf>
    <xf numFmtId="189" fontId="67" fillId="0" borderId="0" xfId="8" applyNumberFormat="1" applyFont="1"/>
    <xf numFmtId="4" fontId="67" fillId="0" borderId="0" xfId="8" applyNumberFormat="1" applyFont="1"/>
    <xf numFmtId="0" fontId="66" fillId="0" borderId="0" xfId="8" applyFont="1" applyAlignment="1">
      <alignment vertical="top"/>
    </xf>
    <xf numFmtId="188" fontId="66" fillId="0" borderId="0" xfId="8" applyNumberFormat="1" applyFont="1"/>
    <xf numFmtId="189" fontId="66" fillId="0" borderId="0" xfId="8" applyNumberFormat="1" applyFont="1"/>
    <xf numFmtId="2" fontId="10" fillId="4" borderId="8" xfId="0" applyNumberFormat="1" applyFont="1" applyFill="1" applyBorder="1" applyAlignment="1">
      <alignment horizontal="center" vertical="center" wrapText="1"/>
    </xf>
    <xf numFmtId="2" fontId="10" fillId="4" borderId="2" xfId="0" applyNumberFormat="1" applyFont="1" applyFill="1" applyBorder="1" applyAlignment="1">
      <alignment horizontal="center" vertical="center" wrapText="1"/>
    </xf>
    <xf numFmtId="1" fontId="68" fillId="23" borderId="0" xfId="0" applyNumberFormat="1" applyFont="1" applyFill="1" applyAlignment="1">
      <alignment horizontal="center"/>
    </xf>
    <xf numFmtId="1" fontId="68" fillId="8" borderId="0" xfId="0" applyNumberFormat="1" applyFont="1" applyFill="1" applyAlignment="1">
      <alignment horizontal="center"/>
    </xf>
    <xf numFmtId="1" fontId="8" fillId="51" borderId="0" xfId="0" applyNumberFormat="1" applyFont="1" applyFill="1" applyAlignment="1">
      <alignment horizontal="center"/>
    </xf>
    <xf numFmtId="1" fontId="69" fillId="23" borderId="0" xfId="0" applyNumberFormat="1" applyFont="1" applyFill="1" applyAlignment="1">
      <alignment horizontal="center"/>
    </xf>
    <xf numFmtId="10" fontId="7" fillId="0" borderId="9" xfId="9" applyNumberFormat="1" applyFont="1" applyBorder="1" applyAlignment="1"/>
    <xf numFmtId="169" fontId="7" fillId="0" borderId="2" xfId="0" applyNumberFormat="1" applyFont="1" applyBorder="1"/>
    <xf numFmtId="169" fontId="7" fillId="7" borderId="2" xfId="0" applyNumberFormat="1" applyFont="1" applyFill="1" applyBorder="1"/>
    <xf numFmtId="169" fontId="7" fillId="0" borderId="4" xfId="0" applyNumberFormat="1" applyFont="1" applyBorder="1"/>
    <xf numFmtId="169" fontId="7" fillId="0" borderId="7" xfId="0" applyNumberFormat="1" applyFont="1" applyBorder="1"/>
    <xf numFmtId="2" fontId="10" fillId="4" borderId="8" xfId="0" applyNumberFormat="1" applyFont="1" applyFill="1" applyBorder="1" applyAlignment="1">
      <alignment horizontal="left" vertical="center" wrapText="1"/>
    </xf>
    <xf numFmtId="4" fontId="0" fillId="0" borderId="5" xfId="0" applyNumberFormat="1" applyBorder="1"/>
    <xf numFmtId="4" fontId="7" fillId="0" borderId="8" xfId="0" applyNumberFormat="1" applyFont="1" applyBorder="1"/>
    <xf numFmtId="1" fontId="7" fillId="4" borderId="2" xfId="0" applyNumberFormat="1" applyFont="1" applyFill="1" applyBorder="1"/>
    <xf numFmtId="3" fontId="7" fillId="25" borderId="2" xfId="0" applyNumberFormat="1" applyFont="1" applyFill="1" applyBorder="1"/>
    <xf numFmtId="0" fontId="13" fillId="0" borderId="9" xfId="0" applyFont="1" applyBorder="1"/>
    <xf numFmtId="171" fontId="0" fillId="0" borderId="1" xfId="0" applyNumberFormat="1" applyBorder="1"/>
    <xf numFmtId="173" fontId="7" fillId="0" borderId="2" xfId="0" applyNumberFormat="1" applyFont="1" applyBorder="1"/>
    <xf numFmtId="169" fontId="7" fillId="4" borderId="2" xfId="0" applyNumberFormat="1" applyFont="1" applyFill="1" applyBorder="1"/>
    <xf numFmtId="4" fontId="7" fillId="5" borderId="2" xfId="0" applyNumberFormat="1" applyFont="1" applyFill="1" applyBorder="1"/>
    <xf numFmtId="10" fontId="7" fillId="5" borderId="2" xfId="0" applyNumberFormat="1" applyFont="1" applyFill="1" applyBorder="1"/>
    <xf numFmtId="169" fontId="7" fillId="5" borderId="2" xfId="0" applyNumberFormat="1" applyFont="1" applyFill="1" applyBorder="1"/>
    <xf numFmtId="190" fontId="73" fillId="50" borderId="46" xfId="5" applyFont="1" applyFill="1" applyBorder="1"/>
    <xf numFmtId="190" fontId="75" fillId="0" borderId="0" xfId="5" applyFont="1"/>
    <xf numFmtId="190" fontId="75" fillId="0" borderId="0" xfId="5" applyFont="1" applyAlignment="1">
      <alignment horizontal="center" wrapText="1"/>
    </xf>
    <xf numFmtId="190" fontId="75" fillId="0" borderId="67" xfId="5" applyFont="1" applyBorder="1"/>
    <xf numFmtId="194" fontId="76" fillId="48" borderId="57" xfId="1" applyNumberFormat="1" applyFont="1" applyFill="1" applyBorder="1" applyAlignment="1"/>
    <xf numFmtId="186" fontId="75" fillId="0" borderId="52" xfId="5" applyNumberFormat="1" applyFont="1" applyBorder="1"/>
    <xf numFmtId="190" fontId="75" fillId="0" borderId="52" xfId="5" applyFont="1" applyBorder="1"/>
    <xf numFmtId="167" fontId="77" fillId="0" borderId="57" xfId="6" applyFont="1" applyBorder="1"/>
    <xf numFmtId="167" fontId="77" fillId="45" borderId="68" xfId="6" applyFont="1" applyFill="1" applyBorder="1"/>
    <xf numFmtId="190" fontId="75" fillId="27" borderId="0" xfId="5" applyFont="1" applyFill="1"/>
    <xf numFmtId="0" fontId="79" fillId="0" borderId="0" xfId="8" applyFont="1"/>
    <xf numFmtId="194" fontId="80" fillId="48" borderId="57" xfId="1" applyNumberFormat="1" applyFont="1" applyFill="1" applyBorder="1" applyAlignment="1"/>
    <xf numFmtId="167" fontId="77" fillId="0" borderId="53" xfId="6" applyFont="1" applyBorder="1"/>
    <xf numFmtId="167" fontId="77" fillId="45" borderId="69" xfId="6" applyFont="1" applyFill="1" applyBorder="1"/>
    <xf numFmtId="167" fontId="77" fillId="30" borderId="70" xfId="6" applyFont="1" applyFill="1" applyBorder="1"/>
    <xf numFmtId="167" fontId="77" fillId="30" borderId="71" xfId="6" applyFont="1" applyFill="1" applyBorder="1"/>
    <xf numFmtId="190" fontId="73" fillId="0" borderId="0" xfId="5" applyFont="1" applyAlignment="1">
      <alignment horizontal="right"/>
    </xf>
    <xf numFmtId="187" fontId="73" fillId="0" borderId="0" xfId="5" applyNumberFormat="1" applyFont="1"/>
    <xf numFmtId="167" fontId="78" fillId="49" borderId="75" xfId="6" applyFont="1" applyFill="1" applyBorder="1"/>
    <xf numFmtId="167" fontId="78" fillId="49" borderId="63" xfId="6" applyFont="1" applyFill="1" applyBorder="1"/>
    <xf numFmtId="167" fontId="78" fillId="49" borderId="58" xfId="6" applyFont="1" applyFill="1" applyBorder="1"/>
    <xf numFmtId="167" fontId="78" fillId="30" borderId="76" xfId="6" applyFont="1" applyFill="1" applyBorder="1"/>
    <xf numFmtId="167" fontId="78" fillId="49" borderId="77" xfId="6" applyFont="1" applyFill="1" applyBorder="1"/>
    <xf numFmtId="167" fontId="78" fillId="30" borderId="78" xfId="6" applyFont="1" applyFill="1" applyBorder="1"/>
    <xf numFmtId="204" fontId="7" fillId="0" borderId="9" xfId="0" applyNumberFormat="1" applyFont="1" applyBorder="1"/>
    <xf numFmtId="165" fontId="67" fillId="52" borderId="52" xfId="1" applyFont="1" applyFill="1" applyBorder="1" applyAlignment="1" applyProtection="1"/>
    <xf numFmtId="165" fontId="67" fillId="0" borderId="79" xfId="1" applyFont="1" applyFill="1" applyBorder="1" applyAlignment="1" applyProtection="1"/>
    <xf numFmtId="165" fontId="67" fillId="0" borderId="60" xfId="1" applyFont="1" applyFill="1" applyBorder="1" applyAlignment="1" applyProtection="1"/>
    <xf numFmtId="165" fontId="67" fillId="0" borderId="55" xfId="1" applyFont="1" applyFill="1" applyBorder="1" applyAlignment="1" applyProtection="1"/>
    <xf numFmtId="165" fontId="67" fillId="47" borderId="55" xfId="1" applyFont="1" applyFill="1" applyBorder="1" applyAlignment="1" applyProtection="1"/>
    <xf numFmtId="165" fontId="67" fillId="27" borderId="55" xfId="1" applyFont="1" applyFill="1" applyBorder="1" applyAlignment="1" applyProtection="1"/>
    <xf numFmtId="165" fontId="67" fillId="47" borderId="56" xfId="1" applyFont="1" applyFill="1" applyBorder="1" applyAlignment="1" applyProtection="1"/>
    <xf numFmtId="165" fontId="67" fillId="53" borderId="70" xfId="1" applyFont="1" applyFill="1" applyBorder="1" applyAlignment="1"/>
    <xf numFmtId="165" fontId="67" fillId="53" borderId="71" xfId="1" applyFont="1" applyFill="1" applyBorder="1" applyAlignment="1"/>
    <xf numFmtId="165" fontId="67" fillId="54" borderId="71" xfId="1" applyFont="1" applyFill="1" applyBorder="1" applyAlignment="1" applyProtection="1"/>
    <xf numFmtId="165" fontId="67" fillId="53" borderId="80" xfId="1" applyFont="1" applyFill="1" applyBorder="1" applyAlignment="1"/>
    <xf numFmtId="0" fontId="10" fillId="4" borderId="1" xfId="0" applyFont="1" applyFill="1" applyBorder="1" applyAlignment="1">
      <alignment horizontal="center" vertical="center" wrapText="1"/>
    </xf>
    <xf numFmtId="0" fontId="60" fillId="0" borderId="46" xfId="8" applyFont="1" applyBorder="1" applyAlignment="1">
      <alignment horizontal="center"/>
    </xf>
    <xf numFmtId="0" fontId="61" fillId="0" borderId="83" xfId="8" applyFont="1" applyBorder="1"/>
    <xf numFmtId="0" fontId="57" fillId="0" borderId="84" xfId="8" applyBorder="1"/>
    <xf numFmtId="0" fontId="57" fillId="0" borderId="83" xfId="8" applyBorder="1"/>
    <xf numFmtId="0" fontId="61" fillId="0" borderId="85" xfId="8" applyFont="1" applyBorder="1" applyAlignment="1">
      <alignment horizontal="center"/>
    </xf>
    <xf numFmtId="0" fontId="63" fillId="0" borderId="0" xfId="8" applyFont="1" applyAlignment="1">
      <alignment horizontal="right"/>
    </xf>
    <xf numFmtId="198" fontId="65" fillId="0" borderId="84" xfId="8" applyNumberFormat="1" applyFont="1" applyBorder="1"/>
    <xf numFmtId="189" fontId="57" fillId="0" borderId="84" xfId="2" applyBorder="1"/>
    <xf numFmtId="188" fontId="57" fillId="0" borderId="84" xfId="8" applyNumberFormat="1" applyBorder="1"/>
    <xf numFmtId="0" fontId="61" fillId="0" borderId="0" xfId="8" applyFont="1"/>
    <xf numFmtId="199" fontId="59" fillId="0" borderId="84" xfId="8" applyNumberFormat="1" applyFont="1" applyBorder="1"/>
    <xf numFmtId="199" fontId="71" fillId="0" borderId="0" xfId="8" applyNumberFormat="1" applyFont="1"/>
    <xf numFmtId="0" fontId="72" fillId="0" borderId="84" xfId="8" applyFont="1" applyBorder="1" applyAlignment="1">
      <alignment wrapText="1"/>
    </xf>
    <xf numFmtId="0" fontId="57" fillId="0" borderId="86" xfId="8" applyBorder="1"/>
    <xf numFmtId="0" fontId="57" fillId="0" borderId="87" xfId="8" applyBorder="1"/>
    <xf numFmtId="0" fontId="57" fillId="0" borderId="88" xfId="8" applyBorder="1"/>
    <xf numFmtId="0" fontId="61" fillId="0" borderId="53" xfId="8" applyFont="1" applyBorder="1"/>
    <xf numFmtId="198" fontId="64" fillId="0" borderId="89" xfId="2" applyNumberFormat="1" applyFont="1" applyBorder="1"/>
    <xf numFmtId="0" fontId="57" fillId="43" borderId="90" xfId="8" applyFill="1" applyBorder="1"/>
    <xf numFmtId="0" fontId="57" fillId="43" borderId="92" xfId="8" applyFill="1" applyBorder="1"/>
    <xf numFmtId="188" fontId="61" fillId="0" borderId="93" xfId="8" applyNumberFormat="1" applyFont="1" applyBorder="1" applyAlignment="1">
      <alignment horizontal="right"/>
    </xf>
    <xf numFmtId="198" fontId="64" fillId="0" borderId="93" xfId="2" applyNumberFormat="1" applyFont="1" applyBorder="1"/>
    <xf numFmtId="0" fontId="61" fillId="0" borderId="55" xfId="8" applyFont="1" applyBorder="1" applyAlignment="1">
      <alignment horizontal="center"/>
    </xf>
    <xf numFmtId="190" fontId="75" fillId="0" borderId="94" xfId="5" applyFont="1" applyBorder="1"/>
    <xf numFmtId="194" fontId="80" fillId="48" borderId="58" xfId="1" applyNumberFormat="1" applyFont="1" applyFill="1" applyBorder="1" applyAlignment="1"/>
    <xf numFmtId="186" fontId="75" fillId="0" borderId="56" xfId="5" applyNumberFormat="1" applyFont="1" applyBorder="1"/>
    <xf numFmtId="190" fontId="75" fillId="0" borderId="56" xfId="5" applyFont="1" applyBorder="1"/>
    <xf numFmtId="167" fontId="77" fillId="0" borderId="63" xfId="6" applyFont="1" applyBorder="1"/>
    <xf numFmtId="167" fontId="77" fillId="45" borderId="95" xfId="6" applyFont="1" applyFill="1" applyBorder="1"/>
    <xf numFmtId="167" fontId="78" fillId="49" borderId="96" xfId="6" applyFont="1" applyFill="1" applyBorder="1"/>
    <xf numFmtId="190" fontId="75" fillId="0" borderId="97" xfId="5" applyFont="1" applyBorder="1"/>
    <xf numFmtId="190" fontId="75" fillId="0" borderId="47" xfId="5" applyFont="1" applyBorder="1"/>
    <xf numFmtId="190" fontId="75" fillId="0" borderId="98" xfId="5" applyFont="1" applyBorder="1"/>
    <xf numFmtId="190" fontId="75" fillId="0" borderId="99" xfId="5" applyFont="1" applyBorder="1"/>
    <xf numFmtId="190" fontId="75" fillId="0" borderId="100" xfId="5" applyFont="1" applyBorder="1"/>
    <xf numFmtId="194" fontId="76" fillId="48" borderId="101" xfId="1" applyNumberFormat="1" applyFont="1" applyFill="1" applyBorder="1" applyAlignment="1"/>
    <xf numFmtId="186" fontId="75" fillId="0" borderId="102" xfId="5" applyNumberFormat="1" applyFont="1" applyBorder="1"/>
    <xf numFmtId="190" fontId="75" fillId="0" borderId="102" xfId="5" applyFont="1" applyBorder="1"/>
    <xf numFmtId="167" fontId="77" fillId="0" borderId="101" xfId="6" applyFont="1" applyBorder="1"/>
    <xf numFmtId="167" fontId="77" fillId="45" borderId="103" xfId="6" applyFont="1" applyFill="1" applyBorder="1"/>
    <xf numFmtId="167" fontId="78" fillId="49" borderId="104" xfId="6" applyFont="1" applyFill="1" applyBorder="1"/>
    <xf numFmtId="167" fontId="78" fillId="49" borderId="78" xfId="6" applyFont="1" applyFill="1" applyBorder="1"/>
    <xf numFmtId="190" fontId="75" fillId="27" borderId="87" xfId="5" applyFont="1" applyFill="1" applyBorder="1"/>
    <xf numFmtId="190" fontId="75" fillId="0" borderId="105" xfId="5" applyFont="1" applyBorder="1"/>
    <xf numFmtId="0" fontId="67" fillId="0" borderId="106" xfId="8" applyFont="1" applyBorder="1"/>
    <xf numFmtId="0" fontId="67" fillId="0" borderId="107" xfId="8" applyFont="1" applyBorder="1"/>
    <xf numFmtId="0" fontId="67" fillId="0" borderId="107" xfId="8" applyFont="1" applyBorder="1" applyAlignment="1">
      <alignment wrapText="1"/>
    </xf>
    <xf numFmtId="202" fontId="67" fillId="46" borderId="107" xfId="8" applyNumberFormat="1" applyFont="1" applyFill="1" applyBorder="1" applyAlignment="1">
      <alignment horizontal="center" vertical="center" wrapText="1"/>
    </xf>
    <xf numFmtId="0" fontId="67" fillId="46" borderId="107" xfId="8" applyFont="1" applyFill="1" applyBorder="1" applyAlignment="1">
      <alignment horizontal="center" vertical="center" wrapText="1"/>
    </xf>
    <xf numFmtId="0" fontId="67" fillId="0" borderId="108" xfId="8" applyFont="1" applyBorder="1" applyAlignment="1">
      <alignment horizontal="center" vertical="center" wrapText="1"/>
    </xf>
    <xf numFmtId="0" fontId="67" fillId="0" borderId="98" xfId="8" applyFont="1" applyBorder="1"/>
    <xf numFmtId="165" fontId="67" fillId="0" borderId="85" xfId="1" applyFont="1" applyBorder="1"/>
    <xf numFmtId="165" fontId="67" fillId="0" borderId="109" xfId="1" applyFont="1" applyBorder="1"/>
    <xf numFmtId="0" fontId="67" fillId="0" borderId="86" xfId="8" applyFont="1" applyBorder="1"/>
    <xf numFmtId="167" fontId="82" fillId="0" borderId="113" xfId="6" applyFont="1" applyBorder="1"/>
    <xf numFmtId="167" fontId="82" fillId="30" borderId="113" xfId="6" applyFont="1" applyFill="1" applyBorder="1"/>
    <xf numFmtId="167" fontId="82" fillId="28" borderId="114" xfId="6" applyFont="1" applyFill="1" applyBorder="1"/>
    <xf numFmtId="167" fontId="83" fillId="0" borderId="0" xfId="6" applyFont="1"/>
    <xf numFmtId="184" fontId="84" fillId="32" borderId="0" xfId="8" applyNumberFormat="1" applyFont="1" applyFill="1" applyAlignment="1">
      <alignment horizontal="center"/>
    </xf>
    <xf numFmtId="184" fontId="84" fillId="30" borderId="0" xfId="8" applyNumberFormat="1" applyFont="1" applyFill="1" applyAlignment="1">
      <alignment horizontal="center"/>
    </xf>
    <xf numFmtId="0" fontId="85" fillId="0" borderId="0" xfId="8" applyFont="1"/>
    <xf numFmtId="184" fontId="85" fillId="33" borderId="0" xfId="8" applyNumberFormat="1" applyFont="1" applyFill="1"/>
    <xf numFmtId="0" fontId="85" fillId="33" borderId="0" xfId="8" applyFont="1" applyFill="1"/>
    <xf numFmtId="0" fontId="84" fillId="0" borderId="0" xfId="8" applyFont="1"/>
    <xf numFmtId="167" fontId="86" fillId="0" borderId="0" xfId="6" applyFont="1"/>
    <xf numFmtId="0" fontId="84" fillId="32" borderId="0" xfId="8" applyFont="1" applyFill="1" applyAlignment="1">
      <alignment horizontal="right"/>
    </xf>
    <xf numFmtId="0" fontId="87" fillId="0" borderId="52" xfId="8" applyFont="1" applyBorder="1" applyAlignment="1">
      <alignment horizontal="center"/>
    </xf>
    <xf numFmtId="0" fontId="84" fillId="0" borderId="52" xfId="8" applyFont="1" applyBorder="1"/>
    <xf numFmtId="184" fontId="84" fillId="0" borderId="0" xfId="8" applyNumberFormat="1" applyFont="1"/>
    <xf numFmtId="0" fontId="84" fillId="27" borderId="0" xfId="8" applyFont="1" applyFill="1" applyAlignment="1">
      <alignment horizontal="right"/>
    </xf>
    <xf numFmtId="185" fontId="87" fillId="30" borderId="0" xfId="8" applyNumberFormat="1" applyFont="1" applyFill="1" applyAlignment="1">
      <alignment horizontal="center"/>
    </xf>
    <xf numFmtId="0" fontId="87" fillId="31" borderId="0" xfId="8" applyFont="1" applyFill="1" applyAlignment="1">
      <alignment horizontal="right" vertical="center"/>
    </xf>
    <xf numFmtId="184" fontId="87" fillId="30" borderId="53" xfId="8" applyNumberFormat="1" applyFont="1" applyFill="1" applyBorder="1" applyAlignment="1">
      <alignment horizontal="center" vertical="center"/>
    </xf>
    <xf numFmtId="0" fontId="84" fillId="0" borderId="53" xfId="8" applyFont="1" applyBorder="1"/>
    <xf numFmtId="184" fontId="87" fillId="30" borderId="112" xfId="8" applyNumberFormat="1" applyFont="1" applyFill="1" applyBorder="1" applyAlignment="1">
      <alignment horizontal="center" vertical="center"/>
    </xf>
    <xf numFmtId="186" fontId="84" fillId="0" borderId="53" xfId="8" applyNumberFormat="1" applyFont="1" applyBorder="1"/>
    <xf numFmtId="167" fontId="88" fillId="0" borderId="113" xfId="6" applyFont="1" applyBorder="1"/>
    <xf numFmtId="0" fontId="84" fillId="27" borderId="52" xfId="8" applyFont="1" applyFill="1" applyBorder="1"/>
    <xf numFmtId="186" fontId="84" fillId="27" borderId="53" xfId="8" applyNumberFormat="1" applyFont="1" applyFill="1" applyBorder="1"/>
    <xf numFmtId="0" fontId="84" fillId="27" borderId="0" xfId="8" applyFont="1" applyFill="1" applyAlignment="1">
      <alignment horizontal="left"/>
    </xf>
    <xf numFmtId="167" fontId="88" fillId="0" borderId="113" xfId="6" applyFont="1" applyBorder="1" applyAlignment="1">
      <alignment horizontal="left"/>
    </xf>
    <xf numFmtId="0" fontId="84" fillId="0" borderId="0" xfId="8" applyFont="1" applyAlignment="1">
      <alignment horizontal="left"/>
    </xf>
    <xf numFmtId="184" fontId="84" fillId="0" borderId="53" xfId="8" applyNumberFormat="1" applyFont="1" applyBorder="1"/>
    <xf numFmtId="184" fontId="84" fillId="27" borderId="53" xfId="8" applyNumberFormat="1" applyFont="1" applyFill="1" applyBorder="1"/>
    <xf numFmtId="187" fontId="84" fillId="27" borderId="53" xfId="8" applyNumberFormat="1" applyFont="1" applyFill="1" applyBorder="1"/>
    <xf numFmtId="0" fontId="84" fillId="27" borderId="0" xfId="8" applyFont="1" applyFill="1"/>
    <xf numFmtId="0" fontId="89" fillId="29" borderId="55" xfId="8" applyFont="1" applyFill="1" applyBorder="1"/>
    <xf numFmtId="0" fontId="84" fillId="0" borderId="55" xfId="8" applyFont="1" applyBorder="1"/>
    <xf numFmtId="0" fontId="84" fillId="0" borderId="57" xfId="8" applyFont="1" applyBorder="1"/>
    <xf numFmtId="167" fontId="88" fillId="30" borderId="113" xfId="6" applyFont="1" applyFill="1" applyBorder="1"/>
    <xf numFmtId="0" fontId="89" fillId="29" borderId="52" xfId="8" applyFont="1" applyFill="1" applyBorder="1"/>
    <xf numFmtId="0" fontId="84" fillId="0" borderId="56" xfId="8" applyFont="1" applyBorder="1"/>
    <xf numFmtId="0" fontId="84" fillId="0" borderId="63" xfId="8" applyFont="1" applyBorder="1"/>
    <xf numFmtId="0" fontId="84" fillId="0" borderId="52" xfId="8" applyFont="1" applyBorder="1" applyAlignment="1">
      <alignment horizontal="left"/>
    </xf>
    <xf numFmtId="0" fontId="89" fillId="29" borderId="0" xfId="8" applyFont="1" applyFill="1"/>
    <xf numFmtId="49" fontId="84" fillId="0" borderId="54" xfId="8" applyNumberFormat="1" applyFont="1" applyBorder="1" applyAlignment="1">
      <alignment vertical="center" wrapText="1"/>
    </xf>
    <xf numFmtId="0" fontId="84" fillId="0" borderId="54" xfId="8" applyFont="1" applyBorder="1"/>
    <xf numFmtId="0" fontId="84" fillId="0" borderId="58" xfId="8" applyFont="1" applyBorder="1"/>
    <xf numFmtId="0" fontId="84" fillId="28" borderId="52" xfId="8" applyFont="1" applyFill="1" applyBorder="1"/>
    <xf numFmtId="0" fontId="84" fillId="28" borderId="0" xfId="8" applyFont="1" applyFill="1"/>
    <xf numFmtId="0" fontId="84" fillId="28" borderId="53" xfId="8" applyFont="1" applyFill="1" applyBorder="1"/>
    <xf numFmtId="167" fontId="88" fillId="28" borderId="114" xfId="6" applyFont="1" applyFill="1" applyBorder="1"/>
    <xf numFmtId="4" fontId="84" fillId="0" borderId="53" xfId="8" applyNumberFormat="1" applyFont="1" applyBorder="1"/>
    <xf numFmtId="185" fontId="84" fillId="0" borderId="53" xfId="8" applyNumberFormat="1" applyFont="1" applyBorder="1"/>
    <xf numFmtId="184" fontId="91" fillId="33" borderId="0" xfId="8" applyNumberFormat="1" applyFont="1" applyFill="1"/>
    <xf numFmtId="184" fontId="87" fillId="32" borderId="0" xfId="8" applyNumberFormat="1" applyFont="1" applyFill="1" applyAlignment="1">
      <alignment horizontal="center"/>
    </xf>
    <xf numFmtId="184" fontId="87" fillId="30" borderId="0" xfId="8" applyNumberFormat="1" applyFont="1" applyFill="1" applyAlignment="1">
      <alignment horizontal="center"/>
    </xf>
    <xf numFmtId="184" fontId="87" fillId="0" borderId="0" xfId="8" applyNumberFormat="1" applyFont="1"/>
    <xf numFmtId="186" fontId="87" fillId="0" borderId="53" xfId="8" applyNumberFormat="1" applyFont="1" applyBorder="1"/>
    <xf numFmtId="186" fontId="87" fillId="27" borderId="53" xfId="8" applyNumberFormat="1" applyFont="1" applyFill="1" applyBorder="1"/>
    <xf numFmtId="184" fontId="87" fillId="0" borderId="53" xfId="8" applyNumberFormat="1" applyFont="1" applyBorder="1"/>
    <xf numFmtId="184" fontId="87" fillId="27" borderId="53" xfId="8" applyNumberFormat="1" applyFont="1" applyFill="1" applyBorder="1"/>
    <xf numFmtId="167" fontId="92" fillId="29" borderId="52" xfId="6" applyFont="1" applyFill="1" applyBorder="1"/>
    <xf numFmtId="167" fontId="92" fillId="27" borderId="52" xfId="6" applyFont="1" applyFill="1" applyBorder="1"/>
    <xf numFmtId="167" fontId="92" fillId="0" borderId="52" xfId="6" applyFont="1" applyBorder="1"/>
    <xf numFmtId="167" fontId="92" fillId="27" borderId="53" xfId="6" applyFont="1" applyFill="1" applyBorder="1"/>
    <xf numFmtId="167" fontId="92" fillId="0" borderId="57" xfId="6" applyFont="1" applyBorder="1"/>
    <xf numFmtId="167" fontId="92" fillId="0" borderId="58" xfId="6" applyFont="1" applyBorder="1"/>
    <xf numFmtId="167" fontId="92" fillId="0" borderId="53" xfId="6" applyFont="1" applyBorder="1"/>
    <xf numFmtId="167" fontId="92" fillId="29" borderId="53" xfId="6" applyFont="1" applyFill="1" applyBorder="1"/>
    <xf numFmtId="185" fontId="87" fillId="0" borderId="53" xfId="8" applyNumberFormat="1" applyFont="1" applyBorder="1"/>
    <xf numFmtId="0" fontId="87" fillId="30" borderId="0" xfId="8" applyFont="1" applyFill="1"/>
    <xf numFmtId="167" fontId="86" fillId="0" borderId="59" xfId="6" applyFont="1" applyBorder="1"/>
    <xf numFmtId="0" fontId="84" fillId="30" borderId="0" xfId="8" applyFont="1" applyFill="1"/>
    <xf numFmtId="4" fontId="84" fillId="0" borderId="0" xfId="8" applyNumberFormat="1" applyFont="1"/>
    <xf numFmtId="190" fontId="84" fillId="27" borderId="0" xfId="8" applyNumberFormat="1" applyFont="1" applyFill="1"/>
    <xf numFmtId="167" fontId="88" fillId="0" borderId="59" xfId="6" applyFont="1" applyBorder="1"/>
    <xf numFmtId="0" fontId="84" fillId="0" borderId="115" xfId="8" applyFont="1" applyBorder="1"/>
    <xf numFmtId="167" fontId="86" fillId="30" borderId="113" xfId="6" applyFont="1" applyFill="1" applyBorder="1"/>
    <xf numFmtId="167" fontId="86" fillId="0" borderId="113" xfId="6" applyFont="1" applyBorder="1"/>
    <xf numFmtId="0" fontId="84" fillId="0" borderId="113" xfId="8" applyFont="1" applyBorder="1"/>
    <xf numFmtId="0" fontId="87" fillId="0" borderId="115" xfId="8" applyFont="1" applyBorder="1"/>
    <xf numFmtId="0" fontId="87" fillId="0" borderId="113" xfId="8" applyFont="1" applyBorder="1"/>
    <xf numFmtId="4" fontId="87" fillId="0" borderId="113" xfId="8" applyNumberFormat="1" applyFont="1" applyBorder="1"/>
    <xf numFmtId="4" fontId="87" fillId="0" borderId="116" xfId="8" applyNumberFormat="1" applyFont="1" applyBorder="1"/>
    <xf numFmtId="0" fontId="87" fillId="0" borderId="111" xfId="8" applyFont="1" applyBorder="1"/>
    <xf numFmtId="184" fontId="84" fillId="27" borderId="0" xfId="8" applyNumberFormat="1" applyFont="1" applyFill="1"/>
    <xf numFmtId="0" fontId="84" fillId="27" borderId="55" xfId="8" applyFont="1" applyFill="1" applyBorder="1"/>
    <xf numFmtId="0" fontId="84" fillId="27" borderId="56" xfId="8" applyFont="1" applyFill="1" applyBorder="1"/>
    <xf numFmtId="0" fontId="84" fillId="27" borderId="54" xfId="8" applyFont="1" applyFill="1" applyBorder="1"/>
    <xf numFmtId="0" fontId="87" fillId="0" borderId="0" xfId="8" applyFont="1"/>
    <xf numFmtId="184" fontId="87" fillId="27" borderId="0" xfId="8" applyNumberFormat="1" applyFont="1" applyFill="1"/>
    <xf numFmtId="167" fontId="92" fillId="0" borderId="0" xfId="6" applyFont="1"/>
    <xf numFmtId="185" fontId="87" fillId="27" borderId="53" xfId="8" applyNumberFormat="1" applyFont="1" applyFill="1" applyBorder="1"/>
    <xf numFmtId="167" fontId="82" fillId="30" borderId="0" xfId="6" applyFont="1" applyFill="1"/>
    <xf numFmtId="167" fontId="82" fillId="27" borderId="0" xfId="6" applyFont="1" applyFill="1"/>
    <xf numFmtId="167" fontId="82" fillId="0" borderId="0" xfId="6" applyFont="1"/>
    <xf numFmtId="167" fontId="82" fillId="28" borderId="0" xfId="6" applyFont="1" applyFill="1"/>
    <xf numFmtId="0" fontId="87" fillId="27" borderId="0" xfId="8" applyFont="1" applyFill="1"/>
    <xf numFmtId="0" fontId="87" fillId="0" borderId="113" xfId="8" applyFont="1" applyBorder="1" applyAlignment="1">
      <alignment horizontal="left"/>
    </xf>
    <xf numFmtId="4" fontId="84" fillId="27" borderId="52" xfId="8" applyNumberFormat="1" applyFont="1" applyFill="1" applyBorder="1"/>
    <xf numFmtId="4" fontId="84" fillId="0" borderId="52" xfId="8" applyNumberFormat="1" applyFont="1" applyBorder="1"/>
    <xf numFmtId="184" fontId="84" fillId="0" borderId="52" xfId="8" applyNumberFormat="1" applyFont="1" applyBorder="1"/>
    <xf numFmtId="4" fontId="84" fillId="0" borderId="57" xfId="8" applyNumberFormat="1" applyFont="1" applyBorder="1"/>
    <xf numFmtId="4" fontId="84" fillId="0" borderId="58" xfId="8" applyNumberFormat="1" applyFont="1" applyBorder="1"/>
    <xf numFmtId="184" fontId="87" fillId="28" borderId="114" xfId="8" applyNumberFormat="1" applyFont="1" applyFill="1" applyBorder="1"/>
    <xf numFmtId="167" fontId="88" fillId="0" borderId="58" xfId="6" applyFont="1" applyBorder="1"/>
    <xf numFmtId="167" fontId="88" fillId="0" borderId="53" xfId="6" applyFont="1" applyBorder="1"/>
    <xf numFmtId="0" fontId="93" fillId="29" borderId="55" xfId="8" applyFont="1" applyFill="1" applyBorder="1"/>
    <xf numFmtId="167" fontId="94" fillId="29" borderId="52" xfId="6" applyFont="1" applyFill="1" applyBorder="1"/>
    <xf numFmtId="167" fontId="90" fillId="0" borderId="59" xfId="6" applyFont="1" applyBorder="1"/>
    <xf numFmtId="167" fontId="86" fillId="30" borderId="115" xfId="6" applyFont="1" applyFill="1" applyBorder="1"/>
    <xf numFmtId="167" fontId="88" fillId="30" borderId="115" xfId="6" applyFont="1" applyFill="1" applyBorder="1"/>
    <xf numFmtId="167" fontId="88" fillId="30" borderId="116" xfId="6" applyFont="1" applyFill="1" applyBorder="1"/>
    <xf numFmtId="186" fontId="87" fillId="27" borderId="0" xfId="8" applyNumberFormat="1" applyFont="1" applyFill="1"/>
    <xf numFmtId="186" fontId="84" fillId="0" borderId="0" xfId="8" applyNumberFormat="1" applyFont="1"/>
    <xf numFmtId="0" fontId="87" fillId="27" borderId="0" xfId="8" applyFont="1" applyFill="1" applyAlignment="1">
      <alignment horizontal="left"/>
    </xf>
    <xf numFmtId="0" fontId="87" fillId="0" borderId="0" xfId="8" applyFont="1" applyAlignment="1">
      <alignment horizontal="left"/>
    </xf>
    <xf numFmtId="186" fontId="84" fillId="27" borderId="0" xfId="8" applyNumberFormat="1" applyFont="1" applyFill="1"/>
    <xf numFmtId="186" fontId="87" fillId="0" borderId="0" xfId="8" applyNumberFormat="1" applyFont="1" applyAlignment="1">
      <alignment horizontal="left"/>
    </xf>
    <xf numFmtId="191" fontId="84" fillId="0" borderId="53" xfId="8" applyNumberFormat="1" applyFont="1" applyBorder="1"/>
    <xf numFmtId="186" fontId="84" fillId="27" borderId="53" xfId="2" applyNumberFormat="1" applyFont="1" applyFill="1" applyBorder="1"/>
    <xf numFmtId="186" fontId="84" fillId="0" borderId="53" xfId="2" applyNumberFormat="1" applyFont="1" applyBorder="1"/>
    <xf numFmtId="167" fontId="88" fillId="0" borderId="0" xfId="6" applyFont="1" applyFill="1"/>
    <xf numFmtId="0" fontId="84" fillId="27" borderId="57" xfId="8" applyFont="1" applyFill="1" applyBorder="1"/>
    <xf numFmtId="167" fontId="88" fillId="0" borderId="115" xfId="6" applyFont="1" applyFill="1" applyBorder="1"/>
    <xf numFmtId="0" fontId="84" fillId="27" borderId="53" xfId="8" applyFont="1" applyFill="1" applyBorder="1"/>
    <xf numFmtId="167" fontId="88" fillId="0" borderId="113" xfId="6" applyFont="1" applyFill="1" applyBorder="1"/>
    <xf numFmtId="186" fontId="84" fillId="27" borderId="52" xfId="2" applyNumberFormat="1" applyFont="1" applyFill="1" applyBorder="1"/>
    <xf numFmtId="0" fontId="84" fillId="27" borderId="63" xfId="8" applyFont="1" applyFill="1" applyBorder="1"/>
    <xf numFmtId="186" fontId="84" fillId="0" borderId="52" xfId="2" applyNumberFormat="1" applyFont="1" applyBorder="1"/>
    <xf numFmtId="0" fontId="95" fillId="0" borderId="52" xfId="8" applyFont="1" applyBorder="1"/>
    <xf numFmtId="0" fontId="95" fillId="27" borderId="52" xfId="8" applyFont="1" applyFill="1" applyBorder="1"/>
    <xf numFmtId="0" fontId="95" fillId="0" borderId="0" xfId="8" applyFont="1"/>
    <xf numFmtId="0" fontId="95" fillId="27" borderId="53" xfId="8" applyFont="1" applyFill="1" applyBorder="1"/>
    <xf numFmtId="186" fontId="84" fillId="27" borderId="57" xfId="8" applyNumberFormat="1" applyFont="1" applyFill="1" applyBorder="1"/>
    <xf numFmtId="186" fontId="84" fillId="0" borderId="52" xfId="8" applyNumberFormat="1" applyFont="1" applyBorder="1"/>
    <xf numFmtId="0" fontId="84" fillId="27" borderId="60" xfId="8" applyFont="1" applyFill="1" applyBorder="1"/>
    <xf numFmtId="167" fontId="86" fillId="0" borderId="52" xfId="6" applyFont="1" applyBorder="1"/>
    <xf numFmtId="0" fontId="84" fillId="27" borderId="117" xfId="8" applyFont="1" applyFill="1" applyBorder="1"/>
    <xf numFmtId="186" fontId="84" fillId="0" borderId="58" xfId="8" applyNumberFormat="1" applyFont="1" applyBorder="1"/>
    <xf numFmtId="167" fontId="88" fillId="0" borderId="116" xfId="6" applyFont="1" applyFill="1" applyBorder="1"/>
    <xf numFmtId="167" fontId="86" fillId="27" borderId="0" xfId="6" applyFont="1" applyFill="1"/>
    <xf numFmtId="0" fontId="96" fillId="27" borderId="52" xfId="8" applyFont="1" applyFill="1" applyBorder="1"/>
    <xf numFmtId="187" fontId="84" fillId="0" borderId="53" xfId="8" applyNumberFormat="1" applyFont="1" applyBorder="1"/>
    <xf numFmtId="167" fontId="82" fillId="30" borderId="115" xfId="6" applyFont="1" applyFill="1" applyBorder="1"/>
    <xf numFmtId="4" fontId="84" fillId="0" borderId="59" xfId="8" applyNumberFormat="1" applyFont="1" applyBorder="1"/>
    <xf numFmtId="167" fontId="88" fillId="0" borderId="116" xfId="6" applyFont="1" applyBorder="1"/>
    <xf numFmtId="4" fontId="87" fillId="0" borderId="0" xfId="8" applyNumberFormat="1" applyFont="1"/>
    <xf numFmtId="4" fontId="84" fillId="0" borderId="117" xfId="8" applyNumberFormat="1" applyFont="1" applyBorder="1"/>
    <xf numFmtId="4" fontId="84" fillId="0" borderId="64" xfId="8" applyNumberFormat="1" applyFont="1" applyBorder="1"/>
    <xf numFmtId="0" fontId="84" fillId="0" borderId="118" xfId="8" applyFont="1" applyBorder="1"/>
    <xf numFmtId="4" fontId="84" fillId="0" borderId="119" xfId="8" applyNumberFormat="1" applyFont="1" applyBorder="1"/>
    <xf numFmtId="0" fontId="84" fillId="0" borderId="119" xfId="8" applyFont="1" applyBorder="1"/>
    <xf numFmtId="4" fontId="84" fillId="0" borderId="120" xfId="8" applyNumberFormat="1" applyFont="1" applyBorder="1"/>
    <xf numFmtId="186" fontId="84" fillId="27" borderId="52" xfId="8" applyNumberFormat="1" applyFont="1" applyFill="1" applyBorder="1"/>
    <xf numFmtId="0" fontId="87" fillId="0" borderId="52" xfId="8" applyFont="1" applyBorder="1"/>
    <xf numFmtId="0" fontId="84" fillId="27" borderId="61" xfId="8" applyFont="1" applyFill="1" applyBorder="1"/>
    <xf numFmtId="186" fontId="84" fillId="0" borderId="56" xfId="8" applyNumberFormat="1" applyFont="1" applyBorder="1"/>
    <xf numFmtId="49" fontId="84" fillId="0" borderId="52" xfId="8" applyNumberFormat="1" applyFont="1" applyBorder="1" applyAlignment="1">
      <alignment vertical="center" wrapText="1"/>
    </xf>
    <xf numFmtId="0" fontId="84" fillId="27" borderId="62" xfId="8" applyFont="1" applyFill="1" applyBorder="1"/>
    <xf numFmtId="186" fontId="84" fillId="0" borderId="63" xfId="8" applyNumberFormat="1" applyFont="1" applyBorder="1"/>
    <xf numFmtId="186" fontId="89" fillId="34" borderId="57" xfId="8" applyNumberFormat="1" applyFont="1" applyFill="1" applyBorder="1"/>
    <xf numFmtId="186" fontId="89" fillId="34" borderId="52" xfId="8" applyNumberFormat="1" applyFont="1" applyFill="1" applyBorder="1"/>
    <xf numFmtId="186" fontId="89" fillId="34" borderId="53" xfId="8" applyNumberFormat="1" applyFont="1" applyFill="1" applyBorder="1"/>
    <xf numFmtId="186" fontId="84" fillId="28" borderId="53" xfId="8" applyNumberFormat="1" applyFont="1" applyFill="1" applyBorder="1"/>
    <xf numFmtId="0" fontId="84" fillId="27" borderId="59" xfId="8" applyFont="1" applyFill="1" applyBorder="1"/>
    <xf numFmtId="167" fontId="86" fillId="27" borderId="113" xfId="6" applyFont="1" applyFill="1" applyBorder="1"/>
    <xf numFmtId="167" fontId="86" fillId="28" borderId="113" xfId="6" applyFont="1" applyFill="1" applyBorder="1"/>
    <xf numFmtId="0" fontId="84" fillId="27" borderId="113" xfId="8" applyFont="1" applyFill="1" applyBorder="1"/>
    <xf numFmtId="0" fontId="84" fillId="0" borderId="116" xfId="8" applyFont="1" applyBorder="1"/>
    <xf numFmtId="184" fontId="87" fillId="0" borderId="53" xfId="8" applyNumberFormat="1" applyFont="1" applyBorder="1" applyAlignment="1">
      <alignment horizontal="center" vertical="center"/>
    </xf>
    <xf numFmtId="165" fontId="84" fillId="27" borderId="52" xfId="1" applyFont="1" applyFill="1" applyBorder="1" applyAlignment="1"/>
    <xf numFmtId="165" fontId="84" fillId="0" borderId="52" xfId="1" applyFont="1" applyBorder="1" applyAlignment="1"/>
    <xf numFmtId="165" fontId="84" fillId="27" borderId="53" xfId="1" applyFont="1" applyFill="1" applyBorder="1" applyAlignment="1"/>
    <xf numFmtId="165" fontId="84" fillId="0" borderId="57" xfId="1" applyFont="1" applyBorder="1" applyAlignment="1"/>
    <xf numFmtId="165" fontId="84" fillId="0" borderId="58" xfId="1" applyFont="1" applyBorder="1" applyAlignment="1"/>
    <xf numFmtId="165" fontId="84" fillId="0" borderId="53" xfId="1" applyFont="1" applyBorder="1" applyAlignment="1"/>
    <xf numFmtId="165" fontId="84" fillId="0" borderId="59" xfId="1" applyFont="1" applyBorder="1" applyAlignment="1"/>
    <xf numFmtId="0" fontId="84" fillId="32" borderId="0" xfId="8" applyFont="1" applyFill="1" applyAlignment="1">
      <alignment horizontal="center"/>
    </xf>
    <xf numFmtId="0" fontId="84" fillId="30" borderId="0" xfId="8" applyFont="1" applyFill="1" applyAlignment="1">
      <alignment horizontal="center"/>
    </xf>
    <xf numFmtId="0" fontId="87" fillId="30" borderId="0" xfId="8" applyFont="1" applyFill="1" applyAlignment="1">
      <alignment horizontal="center"/>
    </xf>
    <xf numFmtId="0" fontId="87" fillId="30" borderId="53" xfId="8" applyFont="1" applyFill="1" applyBorder="1" applyAlignment="1">
      <alignment horizontal="center" vertical="center"/>
    </xf>
    <xf numFmtId="187" fontId="84" fillId="0" borderId="0" xfId="8" applyNumberFormat="1" applyFont="1"/>
    <xf numFmtId="165" fontId="84" fillId="0" borderId="0" xfId="1" applyFont="1" applyFill="1" applyAlignment="1"/>
    <xf numFmtId="0" fontId="84" fillId="35" borderId="52" xfId="8" applyFont="1" applyFill="1" applyBorder="1"/>
    <xf numFmtId="165" fontId="98" fillId="30" borderId="113" xfId="1" applyFont="1" applyFill="1" applyBorder="1" applyAlignment="1">
      <alignment horizontal="center"/>
    </xf>
    <xf numFmtId="165" fontId="84" fillId="0" borderId="113" xfId="1" applyFont="1" applyBorder="1" applyAlignment="1">
      <alignment horizontal="left"/>
    </xf>
    <xf numFmtId="165" fontId="84" fillId="0" borderId="113" xfId="1" applyFont="1" applyBorder="1"/>
    <xf numFmtId="165" fontId="84" fillId="0" borderId="0" xfId="1" applyFont="1" applyAlignment="1"/>
    <xf numFmtId="165" fontId="87" fillId="30" borderId="113" xfId="1" applyFont="1" applyFill="1" applyBorder="1"/>
    <xf numFmtId="0" fontId="87" fillId="0" borderId="53" xfId="8" applyFont="1" applyBorder="1"/>
    <xf numFmtId="0" fontId="84" fillId="0" borderId="59" xfId="8" applyFont="1" applyBorder="1"/>
    <xf numFmtId="0" fontId="84" fillId="0" borderId="61" xfId="8" applyFont="1" applyBorder="1"/>
    <xf numFmtId="0" fontId="87" fillId="0" borderId="0" xfId="8" applyFont="1" applyAlignment="1">
      <alignment horizontal="center"/>
    </xf>
    <xf numFmtId="187" fontId="84" fillId="0" borderId="52" xfId="8" applyNumberFormat="1" applyFont="1" applyBorder="1"/>
    <xf numFmtId="165" fontId="97" fillId="30" borderId="115" xfId="1" applyFont="1" applyFill="1" applyBorder="1"/>
    <xf numFmtId="165" fontId="97" fillId="30" borderId="113" xfId="1" applyFont="1" applyFill="1" applyBorder="1"/>
    <xf numFmtId="165" fontId="87" fillId="0" borderId="113" xfId="1" applyFont="1" applyBorder="1"/>
    <xf numFmtId="184" fontId="87" fillId="0" borderId="114" xfId="8" applyNumberFormat="1" applyFont="1" applyBorder="1"/>
    <xf numFmtId="192" fontId="84" fillId="32" borderId="0" xfId="8" applyNumberFormat="1" applyFont="1" applyFill="1" applyAlignment="1">
      <alignment horizontal="center"/>
    </xf>
    <xf numFmtId="189" fontId="84" fillId="30" borderId="0" xfId="8" applyNumberFormat="1" applyFont="1" applyFill="1" applyAlignment="1">
      <alignment horizontal="center"/>
    </xf>
    <xf numFmtId="0" fontId="84" fillId="34" borderId="52" xfId="8" applyFont="1" applyFill="1" applyBorder="1"/>
    <xf numFmtId="0" fontId="84" fillId="37" borderId="0" xfId="8" applyFont="1" applyFill="1"/>
    <xf numFmtId="192" fontId="84" fillId="37" borderId="0" xfId="8" applyNumberFormat="1" applyFont="1" applyFill="1"/>
    <xf numFmtId="192" fontId="84" fillId="0" borderId="0" xfId="8" applyNumberFormat="1" applyFont="1"/>
    <xf numFmtId="192" fontId="87" fillId="30" borderId="0" xfId="8" applyNumberFormat="1" applyFont="1" applyFill="1" applyAlignment="1">
      <alignment horizontal="center"/>
    </xf>
    <xf numFmtId="192" fontId="87" fillId="30" borderId="57" xfId="8" applyNumberFormat="1" applyFont="1" applyFill="1" applyBorder="1" applyAlignment="1">
      <alignment horizontal="center" vertical="center"/>
    </xf>
    <xf numFmtId="193" fontId="84" fillId="27" borderId="52" xfId="8" applyNumberFormat="1" applyFont="1" applyFill="1" applyBorder="1"/>
    <xf numFmtId="167" fontId="88" fillId="27" borderId="0" xfId="6" applyFont="1" applyFill="1"/>
    <xf numFmtId="193" fontId="84" fillId="0" borderId="0" xfId="8" applyNumberFormat="1" applyFont="1"/>
    <xf numFmtId="167" fontId="88" fillId="0" borderId="0" xfId="6" applyFont="1"/>
    <xf numFmtId="193" fontId="84" fillId="0" borderId="52" xfId="8" applyNumberFormat="1" applyFont="1" applyBorder="1"/>
    <xf numFmtId="191" fontId="84" fillId="0" borderId="52" xfId="8" applyNumberFormat="1" applyFont="1" applyBorder="1"/>
    <xf numFmtId="191" fontId="84" fillId="0" borderId="0" xfId="8" applyNumberFormat="1" applyFont="1"/>
    <xf numFmtId="192" fontId="84" fillId="27" borderId="0" xfId="8" applyNumberFormat="1" applyFont="1" applyFill="1"/>
    <xf numFmtId="165" fontId="84" fillId="27" borderId="53" xfId="1" applyFont="1" applyFill="1" applyBorder="1"/>
    <xf numFmtId="167" fontId="88" fillId="27" borderId="121" xfId="6" applyFont="1" applyFill="1" applyBorder="1"/>
    <xf numFmtId="167" fontId="88" fillId="27" borderId="122" xfId="6" applyFont="1" applyFill="1" applyBorder="1"/>
    <xf numFmtId="165" fontId="84" fillId="0" borderId="0" xfId="1" applyFont="1"/>
    <xf numFmtId="167" fontId="88" fillId="0" borderId="123" xfId="6" applyFont="1" applyBorder="1"/>
    <xf numFmtId="167" fontId="88" fillId="0" borderId="124" xfId="6" applyFont="1" applyBorder="1"/>
    <xf numFmtId="167" fontId="94" fillId="29" borderId="53" xfId="6" applyFont="1" applyFill="1" applyBorder="1"/>
    <xf numFmtId="167" fontId="88" fillId="30" borderId="123" xfId="6" applyFont="1" applyFill="1" applyBorder="1"/>
    <xf numFmtId="167" fontId="88" fillId="30" borderId="124" xfId="6" applyFont="1" applyFill="1" applyBorder="1"/>
    <xf numFmtId="165" fontId="84" fillId="0" borderId="53" xfId="1" applyFont="1" applyBorder="1"/>
    <xf numFmtId="189" fontId="84" fillId="0" borderId="0" xfId="8" applyNumberFormat="1" applyFont="1"/>
    <xf numFmtId="167" fontId="88" fillId="27" borderId="123" xfId="6" applyFont="1" applyFill="1" applyBorder="1"/>
    <xf numFmtId="167" fontId="88" fillId="27" borderId="124" xfId="6" applyFont="1" applyFill="1" applyBorder="1"/>
    <xf numFmtId="192" fontId="84" fillId="34" borderId="0" xfId="8" applyNumberFormat="1" applyFont="1" applyFill="1"/>
    <xf numFmtId="165" fontId="84" fillId="34" borderId="53" xfId="1" applyFont="1" applyFill="1" applyBorder="1"/>
    <xf numFmtId="167" fontId="88" fillId="34" borderId="125" xfId="6" applyFont="1" applyFill="1" applyBorder="1"/>
    <xf numFmtId="167" fontId="88" fillId="34" borderId="126" xfId="6" applyFont="1" applyFill="1" applyBorder="1"/>
    <xf numFmtId="0" fontId="84" fillId="38" borderId="0" xfId="8" applyFont="1" applyFill="1"/>
    <xf numFmtId="0" fontId="87" fillId="30" borderId="52" xfId="8" applyFont="1" applyFill="1" applyBorder="1" applyAlignment="1">
      <alignment horizontal="center" vertical="center"/>
    </xf>
    <xf numFmtId="0" fontId="87" fillId="0" borderId="52" xfId="8" applyFont="1" applyBorder="1" applyAlignment="1">
      <alignment horizontal="center" vertical="center"/>
    </xf>
    <xf numFmtId="0" fontId="87" fillId="0" borderId="0" xfId="8" applyFont="1" applyAlignment="1">
      <alignment horizontal="center" vertical="center"/>
    </xf>
    <xf numFmtId="0" fontId="87" fillId="0" borderId="53" xfId="8" applyFont="1" applyBorder="1" applyAlignment="1">
      <alignment horizontal="center" vertical="center"/>
    </xf>
    <xf numFmtId="187" fontId="84" fillId="0" borderId="121" xfId="8" applyNumberFormat="1" applyFont="1" applyBorder="1"/>
    <xf numFmtId="0" fontId="84" fillId="0" borderId="122" xfId="8" applyFont="1" applyBorder="1"/>
    <xf numFmtId="0" fontId="99" fillId="0" borderId="52" xfId="8" applyFont="1" applyBorder="1" applyAlignment="1">
      <alignment horizontal="left"/>
    </xf>
    <xf numFmtId="187" fontId="84" fillId="0" borderId="123" xfId="8" applyNumberFormat="1" applyFont="1" applyBorder="1"/>
    <xf numFmtId="0" fontId="84" fillId="0" borderId="124" xfId="8" applyFont="1" applyBorder="1"/>
    <xf numFmtId="0" fontId="84" fillId="0" borderId="123" xfId="8" applyFont="1" applyBorder="1"/>
    <xf numFmtId="187" fontId="84" fillId="27" borderId="52" xfId="8" applyNumberFormat="1" applyFont="1" applyFill="1" applyBorder="1"/>
    <xf numFmtId="3" fontId="84" fillId="27" borderId="52" xfId="8" applyNumberFormat="1" applyFont="1" applyFill="1" applyBorder="1"/>
    <xf numFmtId="187" fontId="84" fillId="27" borderId="123" xfId="8" applyNumberFormat="1" applyFont="1" applyFill="1" applyBorder="1"/>
    <xf numFmtId="0" fontId="84" fillId="27" borderId="124" xfId="8" applyFont="1" applyFill="1" applyBorder="1"/>
    <xf numFmtId="0" fontId="87" fillId="27" borderId="52" xfId="8" applyFont="1" applyFill="1" applyBorder="1"/>
    <xf numFmtId="0" fontId="87" fillId="27" borderId="53" xfId="8" applyFont="1" applyFill="1" applyBorder="1"/>
    <xf numFmtId="165" fontId="87" fillId="30" borderId="123" xfId="1" applyFont="1" applyFill="1" applyBorder="1" applyAlignment="1"/>
    <xf numFmtId="165" fontId="87" fillId="30" borderId="124" xfId="1" applyFont="1" applyFill="1" applyBorder="1" applyAlignment="1"/>
    <xf numFmtId="0" fontId="84" fillId="39" borderId="0" xfId="8" applyFont="1" applyFill="1"/>
    <xf numFmtId="165" fontId="84" fillId="0" borderId="123" xfId="1" applyFont="1" applyFill="1" applyBorder="1" applyAlignment="1"/>
    <xf numFmtId="165" fontId="84" fillId="0" borderId="124" xfId="1" applyFont="1" applyFill="1" applyBorder="1" applyAlignment="1"/>
    <xf numFmtId="165" fontId="84" fillId="27" borderId="123" xfId="1" applyFont="1" applyFill="1" applyBorder="1" applyAlignment="1"/>
    <xf numFmtId="165" fontId="84" fillId="27" borderId="124" xfId="1" applyFont="1" applyFill="1" applyBorder="1" applyAlignment="1"/>
    <xf numFmtId="165" fontId="84" fillId="0" borderId="125" xfId="1" applyFont="1" applyFill="1" applyBorder="1" applyAlignment="1"/>
    <xf numFmtId="165" fontId="84" fillId="0" borderId="126" xfId="1" applyFont="1" applyFill="1" applyBorder="1" applyAlignment="1"/>
    <xf numFmtId="0" fontId="84" fillId="34" borderId="0" xfId="8" applyFont="1" applyFill="1"/>
    <xf numFmtId="186" fontId="84" fillId="34" borderId="0" xfId="8" applyNumberFormat="1" applyFont="1" applyFill="1"/>
    <xf numFmtId="191" fontId="84" fillId="27" borderId="52" xfId="8" applyNumberFormat="1" applyFont="1" applyFill="1" applyBorder="1"/>
    <xf numFmtId="0" fontId="100" fillId="27" borderId="0" xfId="8" applyFont="1" applyFill="1" applyAlignment="1">
      <alignment horizontal="left"/>
    </xf>
    <xf numFmtId="0" fontId="84" fillId="27" borderId="0" xfId="8" applyFont="1" applyFill="1" applyAlignment="1">
      <alignment horizontal="center"/>
    </xf>
    <xf numFmtId="165" fontId="84" fillId="0" borderId="0" xfId="1" applyFont="1" applyFill="1" applyBorder="1" applyAlignment="1">
      <alignment horizontal="center"/>
    </xf>
    <xf numFmtId="0" fontId="84" fillId="0" borderId="0" xfId="8" applyFont="1" applyAlignment="1">
      <alignment horizontal="center"/>
    </xf>
    <xf numFmtId="165" fontId="84" fillId="0" borderId="0" xfId="1" applyFont="1" applyFill="1"/>
    <xf numFmtId="165" fontId="84" fillId="0" borderId="0" xfId="1" applyFont="1" applyFill="1" applyBorder="1"/>
    <xf numFmtId="165" fontId="84" fillId="0" borderId="0" xfId="1" applyFont="1" applyBorder="1"/>
    <xf numFmtId="165" fontId="85" fillId="0" borderId="0" xfId="1" applyFont="1" applyFill="1" applyBorder="1"/>
    <xf numFmtId="165" fontId="84" fillId="0" borderId="0" xfId="1" applyFont="1" applyFill="1" applyBorder="1" applyAlignment="1">
      <alignment horizontal="right"/>
    </xf>
    <xf numFmtId="0" fontId="84" fillId="0" borderId="0" xfId="8" applyFont="1" applyAlignment="1">
      <alignment horizontal="right"/>
    </xf>
    <xf numFmtId="195" fontId="84" fillId="0" borderId="0" xfId="8" applyNumberFormat="1" applyFont="1"/>
    <xf numFmtId="165" fontId="87" fillId="0" borderId="0" xfId="1" applyFont="1" applyFill="1" applyBorder="1" applyAlignment="1">
      <alignment horizontal="center"/>
    </xf>
    <xf numFmtId="165" fontId="84" fillId="0" borderId="121" xfId="1" applyFont="1" applyFill="1" applyBorder="1"/>
    <xf numFmtId="165" fontId="84" fillId="0" borderId="122" xfId="1" applyFont="1" applyFill="1" applyBorder="1"/>
    <xf numFmtId="165" fontId="87" fillId="0" borderId="0" xfId="1" applyFont="1" applyFill="1" applyBorder="1" applyAlignment="1">
      <alignment horizontal="right" vertical="center"/>
    </xf>
    <xf numFmtId="165" fontId="87" fillId="0" borderId="0" xfId="1" applyFont="1" applyFill="1" applyBorder="1" applyAlignment="1">
      <alignment horizontal="center" vertical="center"/>
    </xf>
    <xf numFmtId="0" fontId="87" fillId="0" borderId="0" xfId="8" applyFont="1" applyAlignment="1">
      <alignment horizontal="right" vertical="center"/>
    </xf>
    <xf numFmtId="165" fontId="84" fillId="0" borderId="123" xfId="1" applyFont="1" applyFill="1" applyBorder="1"/>
    <xf numFmtId="165" fontId="84" fillId="0" borderId="124" xfId="1" applyFont="1" applyFill="1" applyBorder="1"/>
    <xf numFmtId="165" fontId="84" fillId="0" borderId="0" xfId="1" applyFont="1" applyFill="1" applyBorder="1" applyAlignment="1"/>
    <xf numFmtId="165" fontId="87" fillId="30" borderId="123" xfId="1" applyFont="1" applyFill="1" applyBorder="1"/>
    <xf numFmtId="165" fontId="87" fillId="30" borderId="124" xfId="1" applyFont="1" applyFill="1" applyBorder="1"/>
    <xf numFmtId="3" fontId="84" fillId="0" borderId="52" xfId="8" applyNumberFormat="1" applyFont="1" applyBorder="1"/>
    <xf numFmtId="165" fontId="84" fillId="0" borderId="125" xfId="1" applyFont="1" applyFill="1" applyBorder="1"/>
    <xf numFmtId="165" fontId="84" fillId="0" borderId="126" xfId="1" applyFont="1" applyFill="1" applyBorder="1"/>
    <xf numFmtId="165" fontId="87" fillId="0" borderId="0" xfId="1" applyFont="1"/>
    <xf numFmtId="165" fontId="87" fillId="30" borderId="115" xfId="1" applyFont="1" applyFill="1" applyBorder="1"/>
    <xf numFmtId="165" fontId="87" fillId="0" borderId="113" xfId="1" applyFont="1" applyBorder="1" applyAlignment="1">
      <alignment horizontal="left"/>
    </xf>
    <xf numFmtId="165" fontId="87" fillId="30" borderId="116" xfId="1" applyFont="1" applyFill="1" applyBorder="1"/>
    <xf numFmtId="0" fontId="87" fillId="0" borderId="55" xfId="8" applyFont="1" applyBorder="1"/>
    <xf numFmtId="0" fontId="101" fillId="36" borderId="52" xfId="8" applyFont="1" applyFill="1" applyBorder="1"/>
    <xf numFmtId="167" fontId="88" fillId="40" borderId="112" xfId="6" applyFont="1" applyFill="1" applyBorder="1" applyAlignment="1">
      <alignment horizontal="center"/>
    </xf>
    <xf numFmtId="167" fontId="88" fillId="40" borderId="129" xfId="6" applyFont="1" applyFill="1" applyBorder="1" applyAlignment="1">
      <alignment horizontal="center"/>
    </xf>
    <xf numFmtId="165" fontId="101" fillId="36" borderId="0" xfId="1" applyFont="1" applyFill="1" applyBorder="1" applyAlignment="1">
      <alignment horizontal="left"/>
    </xf>
    <xf numFmtId="165" fontId="101" fillId="36" borderId="53" xfId="1" applyFont="1" applyFill="1" applyBorder="1" applyAlignment="1"/>
    <xf numFmtId="165" fontId="84" fillId="36" borderId="0" xfId="1" applyFont="1" applyFill="1" applyBorder="1"/>
    <xf numFmtId="0" fontId="84" fillId="36" borderId="0" xfId="8" applyFont="1" applyFill="1"/>
    <xf numFmtId="167" fontId="88" fillId="0" borderId="129" xfId="6" applyFont="1" applyBorder="1"/>
    <xf numFmtId="165" fontId="84" fillId="0" borderId="0" xfId="1" applyFont="1" applyBorder="1" applyAlignment="1">
      <alignment horizontal="left"/>
    </xf>
    <xf numFmtId="167" fontId="88" fillId="27" borderId="129" xfId="6" applyFont="1" applyFill="1" applyBorder="1"/>
    <xf numFmtId="187" fontId="87" fillId="27" borderId="63" xfId="8" applyNumberFormat="1" applyFont="1" applyFill="1" applyBorder="1"/>
    <xf numFmtId="0" fontId="84" fillId="0" borderId="53" xfId="8" applyFont="1" applyBorder="1" applyAlignment="1">
      <alignment horizontal="center"/>
    </xf>
    <xf numFmtId="0" fontId="84" fillId="0" borderId="59" xfId="8" applyFont="1" applyBorder="1" applyAlignment="1">
      <alignment horizontal="center"/>
    </xf>
    <xf numFmtId="0" fontId="84" fillId="0" borderId="61" xfId="8" applyFont="1" applyBorder="1" applyAlignment="1">
      <alignment horizontal="center"/>
    </xf>
    <xf numFmtId="165" fontId="87" fillId="0" borderId="114" xfId="1" applyFont="1" applyFill="1" applyBorder="1" applyAlignment="1"/>
    <xf numFmtId="190" fontId="84" fillId="0" borderId="53" xfId="8" applyNumberFormat="1" applyFont="1" applyBorder="1"/>
    <xf numFmtId="165" fontId="87" fillId="0" borderId="115" xfId="1" applyFont="1" applyBorder="1"/>
    <xf numFmtId="165" fontId="87" fillId="41" borderId="0" xfId="1" applyFont="1" applyFill="1" applyBorder="1"/>
    <xf numFmtId="0" fontId="84" fillId="42" borderId="0" xfId="8" applyFont="1" applyFill="1"/>
    <xf numFmtId="0" fontId="87" fillId="27" borderId="52" xfId="8" applyFont="1" applyFill="1" applyBorder="1" applyAlignment="1">
      <alignment horizontal="center" vertical="center"/>
    </xf>
    <xf numFmtId="165" fontId="84" fillId="27" borderId="46" xfId="1" applyFont="1" applyFill="1" applyBorder="1"/>
    <xf numFmtId="165" fontId="84" fillId="27" borderId="47" xfId="1" applyFont="1" applyFill="1" applyBorder="1"/>
    <xf numFmtId="165" fontId="84" fillId="27" borderId="83" xfId="1" applyFont="1" applyFill="1" applyBorder="1"/>
    <xf numFmtId="165" fontId="84" fillId="27" borderId="84" xfId="1" applyFont="1" applyFill="1" applyBorder="1"/>
    <xf numFmtId="165" fontId="84" fillId="0" borderId="83" xfId="1" applyFont="1" applyFill="1" applyBorder="1"/>
    <xf numFmtId="165" fontId="84" fillId="0" borderId="84" xfId="1" applyFont="1" applyFill="1" applyBorder="1"/>
    <xf numFmtId="165" fontId="84" fillId="27" borderId="0" xfId="1" applyFont="1" applyFill="1" applyAlignment="1"/>
    <xf numFmtId="165" fontId="87" fillId="30" borderId="83" xfId="1" applyFont="1" applyFill="1" applyBorder="1"/>
    <xf numFmtId="165" fontId="87" fillId="30" borderId="84" xfId="1" applyFont="1" applyFill="1" applyBorder="1"/>
    <xf numFmtId="0" fontId="84" fillId="0" borderId="83" xfId="8" applyFont="1" applyBorder="1"/>
    <xf numFmtId="0" fontId="84" fillId="0" borderId="84" xfId="8" applyFont="1" applyBorder="1"/>
    <xf numFmtId="187" fontId="84" fillId="27" borderId="83" xfId="8" applyNumberFormat="1" applyFont="1" applyFill="1" applyBorder="1"/>
    <xf numFmtId="0" fontId="84" fillId="27" borderId="84" xfId="8" applyFont="1" applyFill="1" applyBorder="1"/>
    <xf numFmtId="0" fontId="84" fillId="27" borderId="83" xfId="8" applyFont="1" applyFill="1" applyBorder="1"/>
    <xf numFmtId="0" fontId="84" fillId="34" borderId="86" xfId="8" applyFont="1" applyFill="1" applyBorder="1"/>
    <xf numFmtId="0" fontId="84" fillId="34" borderId="88" xfId="8" applyFont="1" applyFill="1" applyBorder="1"/>
    <xf numFmtId="0" fontId="84" fillId="0" borderId="64" xfId="8" applyFont="1" applyBorder="1"/>
    <xf numFmtId="165" fontId="87" fillId="27" borderId="115" xfId="1" applyFont="1" applyFill="1" applyBorder="1"/>
    <xf numFmtId="165" fontId="87" fillId="27" borderId="113" xfId="1" applyFont="1" applyFill="1" applyBorder="1"/>
    <xf numFmtId="165" fontId="87" fillId="0" borderId="113" xfId="1" applyFont="1" applyFill="1" applyBorder="1"/>
    <xf numFmtId="165" fontId="84" fillId="27" borderId="0" xfId="1" applyFont="1" applyFill="1" applyBorder="1"/>
    <xf numFmtId="196" fontId="84" fillId="0" borderId="0" xfId="8" applyNumberFormat="1" applyFont="1"/>
    <xf numFmtId="165" fontId="87" fillId="0" borderId="0" xfId="1" applyFont="1" applyBorder="1"/>
    <xf numFmtId="165" fontId="87" fillId="0" borderId="129" xfId="1" applyFont="1" applyBorder="1"/>
    <xf numFmtId="165" fontId="84" fillId="0" borderId="115" xfId="1" applyFont="1" applyBorder="1"/>
    <xf numFmtId="165" fontId="87" fillId="28" borderId="114" xfId="1" applyFont="1" applyFill="1" applyBorder="1" applyAlignment="1"/>
    <xf numFmtId="167" fontId="86" fillId="28" borderId="129" xfId="6" applyFont="1" applyFill="1" applyBorder="1"/>
    <xf numFmtId="167" fontId="86" fillId="0" borderId="116" xfId="6" applyFont="1" applyBorder="1"/>
    <xf numFmtId="184" fontId="87" fillId="28" borderId="129" xfId="8" applyNumberFormat="1" applyFont="1" applyFill="1" applyBorder="1"/>
    <xf numFmtId="0" fontId="87" fillId="0" borderId="116" xfId="8" applyFont="1" applyBorder="1"/>
    <xf numFmtId="165" fontId="87" fillId="0" borderId="0" xfId="1" applyFont="1" applyBorder="1" applyAlignment="1">
      <alignment horizontal="left"/>
    </xf>
    <xf numFmtId="190" fontId="75" fillId="0" borderId="130" xfId="5" applyFont="1" applyBorder="1"/>
    <xf numFmtId="194" fontId="76" fillId="48" borderId="58" xfId="1" applyNumberFormat="1" applyFont="1" applyFill="1" applyBorder="1" applyAlignment="1"/>
    <xf numFmtId="167" fontId="77" fillId="0" borderId="58" xfId="6" applyFont="1" applyBorder="1"/>
    <xf numFmtId="167" fontId="78" fillId="49" borderId="131" xfId="6" applyFont="1" applyFill="1" applyBorder="1"/>
    <xf numFmtId="190" fontId="75" fillId="0" borderId="132" xfId="5" applyFont="1" applyBorder="1"/>
    <xf numFmtId="190" fontId="73" fillId="55" borderId="70" xfId="5" applyFont="1" applyFill="1" applyBorder="1" applyAlignment="1">
      <alignment wrapText="1"/>
    </xf>
    <xf numFmtId="190" fontId="73" fillId="55" borderId="71" xfId="5" applyFont="1" applyFill="1" applyBorder="1" applyAlignment="1">
      <alignment horizontal="center" wrapText="1"/>
    </xf>
    <xf numFmtId="190" fontId="73" fillId="55" borderId="76" xfId="5" applyFont="1" applyFill="1" applyBorder="1" applyAlignment="1">
      <alignment horizontal="center" wrapText="1"/>
    </xf>
    <xf numFmtId="190" fontId="73" fillId="55" borderId="71" xfId="5" applyFont="1" applyFill="1" applyBorder="1" applyAlignment="1">
      <alignment horizontal="center" vertical="center" wrapText="1"/>
    </xf>
    <xf numFmtId="201" fontId="73" fillId="55" borderId="133" xfId="5" applyNumberFormat="1" applyFont="1" applyFill="1" applyBorder="1" applyAlignment="1">
      <alignment horizontal="center" wrapText="1"/>
    </xf>
    <xf numFmtId="190" fontId="73" fillId="56" borderId="134" xfId="5" applyFont="1" applyFill="1" applyBorder="1" applyAlignment="1">
      <alignment horizontal="center" wrapText="1"/>
    </xf>
    <xf numFmtId="190" fontId="73" fillId="55" borderId="76" xfId="5" applyFont="1" applyFill="1" applyBorder="1" applyAlignment="1">
      <alignment horizontal="center" vertical="center" wrapText="1"/>
    </xf>
    <xf numFmtId="190" fontId="73" fillId="55" borderId="111" xfId="5" applyFont="1" applyFill="1" applyBorder="1" applyAlignment="1">
      <alignment horizontal="center" vertical="center" wrapText="1"/>
    </xf>
    <xf numFmtId="190" fontId="75" fillId="55" borderId="135" xfId="5" applyFont="1" applyFill="1" applyBorder="1" applyAlignment="1">
      <alignment horizontal="center" wrapText="1"/>
    </xf>
    <xf numFmtId="190" fontId="73" fillId="55" borderId="136" xfId="5" applyFont="1" applyFill="1" applyBorder="1" applyAlignment="1">
      <alignment wrapText="1"/>
    </xf>
    <xf numFmtId="167" fontId="94" fillId="27" borderId="52" xfId="6" applyFont="1" applyFill="1" applyBorder="1"/>
    <xf numFmtId="167" fontId="94" fillId="0" borderId="52" xfId="6" applyFont="1" applyBorder="1"/>
    <xf numFmtId="167" fontId="94" fillId="27" borderId="53" xfId="6" applyFont="1" applyFill="1" applyBorder="1"/>
    <xf numFmtId="167" fontId="94" fillId="0" borderId="57" xfId="6" applyFont="1" applyBorder="1"/>
    <xf numFmtId="167" fontId="94" fillId="0" borderId="58" xfId="6" applyFont="1" applyBorder="1"/>
    <xf numFmtId="167" fontId="94" fillId="0" borderId="53" xfId="6" applyFont="1" applyBorder="1"/>
    <xf numFmtId="184" fontId="98" fillId="0" borderId="53" xfId="8" applyNumberFormat="1" applyFont="1" applyBorder="1"/>
    <xf numFmtId="4" fontId="98" fillId="0" borderId="53" xfId="8" applyNumberFormat="1" applyFont="1" applyBorder="1"/>
    <xf numFmtId="167" fontId="55" fillId="0" borderId="52" xfId="6" applyBorder="1" applyAlignment="1">
      <alignment horizontal="right"/>
    </xf>
    <xf numFmtId="167" fontId="55" fillId="0" borderId="84" xfId="6" applyBorder="1"/>
    <xf numFmtId="167" fontId="55" fillId="0" borderId="85" xfId="6" applyBorder="1" applyAlignment="1">
      <alignment horizontal="right"/>
    </xf>
    <xf numFmtId="167" fontId="55" fillId="30" borderId="52" xfId="6" applyFill="1" applyBorder="1"/>
    <xf numFmtId="167" fontId="55" fillId="0" borderId="45" xfId="6" applyBorder="1"/>
    <xf numFmtId="167" fontId="55" fillId="0" borderId="89" xfId="6" applyBorder="1"/>
    <xf numFmtId="167" fontId="55" fillId="0" borderId="91" xfId="6" applyBorder="1"/>
    <xf numFmtId="167" fontId="55" fillId="0" borderId="93" xfId="6" applyBorder="1" applyAlignment="1">
      <alignment horizontal="right"/>
    </xf>
    <xf numFmtId="167" fontId="55" fillId="0" borderId="0" xfId="6"/>
    <xf numFmtId="167" fontId="55" fillId="0" borderId="0" xfId="6" applyFill="1"/>
    <xf numFmtId="198" fontId="64" fillId="0" borderId="137" xfId="2" applyNumberFormat="1" applyFont="1" applyBorder="1"/>
    <xf numFmtId="198" fontId="64" fillId="0" borderId="111" xfId="2" applyNumberFormat="1" applyFont="1" applyBorder="1"/>
    <xf numFmtId="187" fontId="102" fillId="0" borderId="0" xfId="5" applyNumberFormat="1" applyFont="1"/>
    <xf numFmtId="187" fontId="102" fillId="26" borderId="111" xfId="5" applyNumberFormat="1" applyFont="1" applyFill="1" applyBorder="1"/>
    <xf numFmtId="166" fontId="0" fillId="0" borderId="45" xfId="0" applyNumberFormat="1" applyBorder="1"/>
    <xf numFmtId="17" fontId="66" fillId="0" borderId="0" xfId="8" applyNumberFormat="1" applyFont="1"/>
    <xf numFmtId="4" fontId="7" fillId="0" borderId="6" xfId="0" applyNumberFormat="1" applyFont="1" applyBorder="1"/>
    <xf numFmtId="4" fontId="7" fillId="0" borderId="138" xfId="0" applyNumberFormat="1" applyFont="1" applyBorder="1"/>
    <xf numFmtId="3" fontId="7" fillId="0" borderId="139" xfId="0" applyNumberFormat="1" applyFont="1" applyBorder="1"/>
    <xf numFmtId="3" fontId="0" fillId="0" borderId="113" xfId="0" applyNumberFormat="1" applyBorder="1"/>
    <xf numFmtId="3" fontId="7" fillId="0" borderId="140" xfId="0" applyNumberFormat="1" applyFont="1" applyBorder="1"/>
    <xf numFmtId="3" fontId="7" fillId="4" borderId="140" xfId="0" applyNumberFormat="1" applyFont="1" applyFill="1" applyBorder="1"/>
    <xf numFmtId="3" fontId="7" fillId="0" borderId="141" xfId="0" applyNumberFormat="1" applyFont="1" applyBorder="1"/>
    <xf numFmtId="164" fontId="7" fillId="0" borderId="1" xfId="0" applyNumberFormat="1" applyFont="1" applyBorder="1" applyAlignment="1">
      <alignment horizontal="left"/>
    </xf>
    <xf numFmtId="0" fontId="2" fillId="57" borderId="1" xfId="0" applyFont="1" applyFill="1" applyBorder="1"/>
    <xf numFmtId="2" fontId="0" fillId="57" borderId="1" xfId="0" applyNumberFormat="1" applyFill="1" applyBorder="1"/>
    <xf numFmtId="10" fontId="103" fillId="0" borderId="1" xfId="0" applyNumberFormat="1" applyFont="1" applyBorder="1"/>
    <xf numFmtId="164" fontId="7" fillId="0" borderId="1" xfId="0" applyNumberFormat="1" applyFont="1" applyBorder="1" applyAlignment="1">
      <alignment horizontal="left" vertical="top"/>
    </xf>
    <xf numFmtId="0" fontId="104" fillId="0" borderId="0" xfId="8" applyFont="1"/>
    <xf numFmtId="0" fontId="106" fillId="0" borderId="0" xfId="8" applyFont="1" applyAlignment="1">
      <alignment horizontal="centerContinuous"/>
    </xf>
    <xf numFmtId="0" fontId="104" fillId="0" borderId="0" xfId="8" applyFont="1" applyAlignment="1">
      <alignment horizontal="centerContinuous"/>
    </xf>
    <xf numFmtId="0" fontId="107" fillId="0" borderId="0" xfId="8" applyFont="1"/>
    <xf numFmtId="0" fontId="107" fillId="0" borderId="142" xfId="8" applyFont="1" applyBorder="1"/>
    <xf numFmtId="0" fontId="107" fillId="0" borderId="143" xfId="8" applyFont="1" applyBorder="1"/>
    <xf numFmtId="0" fontId="107" fillId="0" borderId="144" xfId="8" applyFont="1" applyBorder="1" applyAlignment="1">
      <alignment wrapText="1"/>
    </xf>
    <xf numFmtId="202" fontId="104" fillId="46" borderId="145" xfId="8" applyNumberFormat="1" applyFont="1" applyFill="1" applyBorder="1" applyAlignment="1">
      <alignment horizontal="center" vertical="center" wrapText="1"/>
    </xf>
    <xf numFmtId="202" fontId="104" fillId="46" borderId="146" xfId="8" applyNumberFormat="1" applyFont="1" applyFill="1" applyBorder="1" applyAlignment="1">
      <alignment horizontal="center" vertical="center" wrapText="1"/>
    </xf>
    <xf numFmtId="0" fontId="104" fillId="46" borderId="146" xfId="8" applyFont="1" applyFill="1" applyBorder="1" applyAlignment="1">
      <alignment horizontal="center" vertical="center" wrapText="1"/>
    </xf>
    <xf numFmtId="0" fontId="107" fillId="46" borderId="146" xfId="8" applyFont="1" applyFill="1" applyBorder="1" applyAlignment="1">
      <alignment horizontal="center" vertical="center" wrapText="1"/>
    </xf>
    <xf numFmtId="0" fontId="104" fillId="0" borderId="147" xfId="8" applyFont="1" applyBorder="1" applyAlignment="1">
      <alignment horizontal="center" vertical="center" wrapText="1"/>
    </xf>
    <xf numFmtId="0" fontId="108" fillId="0" borderId="130" xfId="8" applyFont="1" applyBorder="1"/>
    <xf numFmtId="0" fontId="108" fillId="0" borderId="63" xfId="8" applyFont="1" applyBorder="1"/>
    <xf numFmtId="0" fontId="109" fillId="0" borderId="148" xfId="8" applyFont="1" applyBorder="1"/>
    <xf numFmtId="165" fontId="110" fillId="0" borderId="149" xfId="1" applyFont="1" applyFill="1" applyBorder="1" applyAlignment="1" applyProtection="1"/>
    <xf numFmtId="165" fontId="110" fillId="0" borderId="150" xfId="1" applyFont="1" applyFill="1" applyBorder="1" applyAlignment="1" applyProtection="1"/>
    <xf numFmtId="165" fontId="110" fillId="0" borderId="56" xfId="1" applyFont="1" applyFill="1" applyBorder="1" applyAlignment="1" applyProtection="1"/>
    <xf numFmtId="165" fontId="111" fillId="58" borderId="56" xfId="1" applyFont="1" applyFill="1" applyBorder="1" applyAlignment="1" applyProtection="1"/>
    <xf numFmtId="165" fontId="110" fillId="0" borderId="85" xfId="1" applyFont="1" applyFill="1" applyBorder="1"/>
    <xf numFmtId="203" fontId="107" fillId="0" borderId="0" xfId="8" applyNumberFormat="1" applyFont="1"/>
    <xf numFmtId="0" fontId="112" fillId="0" borderId="0" xfId="8" applyFont="1"/>
    <xf numFmtId="0" fontId="108" fillId="0" borderId="98" xfId="8" applyFont="1" applyBorder="1"/>
    <xf numFmtId="0" fontId="108" fillId="0" borderId="53" xfId="8" applyFont="1" applyBorder="1"/>
    <xf numFmtId="0" fontId="109" fillId="0" borderId="129" xfId="8" applyFont="1" applyBorder="1"/>
    <xf numFmtId="165" fontId="110" fillId="0" borderId="151" xfId="1" applyFont="1" applyFill="1" applyBorder="1" applyAlignment="1" applyProtection="1"/>
    <xf numFmtId="165" fontId="110" fillId="0" borderId="61" xfId="1" applyFont="1" applyFill="1" applyBorder="1" applyAlignment="1" applyProtection="1"/>
    <xf numFmtId="165" fontId="110" fillId="0" borderId="52" xfId="1" applyFont="1" applyFill="1" applyBorder="1" applyAlignment="1" applyProtection="1"/>
    <xf numFmtId="165" fontId="111" fillId="52" borderId="52" xfId="1" applyFont="1" applyFill="1" applyBorder="1" applyAlignment="1" applyProtection="1"/>
    <xf numFmtId="165" fontId="110" fillId="27" borderId="52" xfId="1" applyFont="1" applyFill="1" applyBorder="1" applyAlignment="1" applyProtection="1"/>
    <xf numFmtId="165" fontId="110" fillId="0" borderId="85" xfId="1" applyFont="1" applyBorder="1"/>
    <xf numFmtId="165" fontId="111" fillId="58" borderId="52" xfId="1" applyFont="1" applyFill="1" applyBorder="1" applyAlignment="1" applyProtection="1"/>
    <xf numFmtId="165" fontId="110" fillId="0" borderId="62" xfId="1" applyFont="1" applyFill="1" applyBorder="1" applyAlignment="1" applyProtection="1"/>
    <xf numFmtId="165" fontId="110" fillId="0" borderId="152" xfId="1" applyFont="1" applyFill="1" applyBorder="1" applyAlignment="1" applyProtection="1"/>
    <xf numFmtId="165" fontId="104" fillId="0" borderId="52" xfId="1" applyFont="1" applyFill="1" applyBorder="1" applyAlignment="1" applyProtection="1"/>
    <xf numFmtId="165" fontId="104" fillId="0" borderId="85" xfId="1" applyFont="1" applyFill="1" applyBorder="1"/>
    <xf numFmtId="165" fontId="104" fillId="27" borderId="52" xfId="1" applyFont="1" applyFill="1" applyBorder="1" applyAlignment="1" applyProtection="1"/>
    <xf numFmtId="165" fontId="110" fillId="47" borderId="52" xfId="1" applyFont="1" applyFill="1" applyBorder="1" applyAlignment="1" applyProtection="1"/>
    <xf numFmtId="0" fontId="109" fillId="0" borderId="114" xfId="8" applyFont="1" applyBorder="1"/>
    <xf numFmtId="165" fontId="110" fillId="0" borderId="153" xfId="1" applyFont="1" applyFill="1" applyBorder="1" applyAlignment="1" applyProtection="1"/>
    <xf numFmtId="165" fontId="110" fillId="0" borderId="60" xfId="1" applyFont="1" applyFill="1" applyBorder="1" applyAlignment="1" applyProtection="1"/>
    <xf numFmtId="165" fontId="110" fillId="0" borderId="55" xfId="1" applyFont="1" applyFill="1" applyBorder="1" applyAlignment="1" applyProtection="1"/>
    <xf numFmtId="0" fontId="113" fillId="0" borderId="86" xfId="8" applyFont="1" applyBorder="1"/>
    <xf numFmtId="165" fontId="114" fillId="59" borderId="70" xfId="1" applyFont="1" applyFill="1" applyBorder="1" applyAlignment="1"/>
    <xf numFmtId="0" fontId="115" fillId="0" borderId="0" xfId="8" applyFont="1"/>
    <xf numFmtId="188" fontId="111" fillId="0" borderId="0" xfId="8" applyNumberFormat="1" applyFont="1"/>
    <xf numFmtId="0" fontId="111" fillId="0" borderId="0" xfId="8" applyFont="1"/>
    <xf numFmtId="165" fontId="104" fillId="0" borderId="0" xfId="1" applyFont="1" applyAlignment="1"/>
    <xf numFmtId="165" fontId="104" fillId="31" borderId="56" xfId="1" applyFont="1" applyFill="1" applyBorder="1" applyAlignment="1"/>
    <xf numFmtId="165" fontId="104" fillId="0" borderId="0" xfId="1" applyFont="1"/>
    <xf numFmtId="165" fontId="104" fillId="47" borderId="56" xfId="1" applyFont="1" applyFill="1" applyBorder="1" applyAlignment="1" applyProtection="1"/>
    <xf numFmtId="165" fontId="107" fillId="47" borderId="0" xfId="1" applyFont="1" applyFill="1" applyBorder="1" applyAlignment="1" applyProtection="1"/>
    <xf numFmtId="188" fontId="107" fillId="0" borderId="0" xfId="8" applyNumberFormat="1" applyFont="1" applyAlignment="1">
      <alignment horizontal="right"/>
    </xf>
    <xf numFmtId="188" fontId="107" fillId="0" borderId="0" xfId="8" applyNumberFormat="1" applyFont="1"/>
    <xf numFmtId="189" fontId="107" fillId="0" borderId="0" xfId="8" applyNumberFormat="1" applyFont="1"/>
    <xf numFmtId="4" fontId="107" fillId="0" borderId="0" xfId="8" applyNumberFormat="1" applyFont="1"/>
    <xf numFmtId="0" fontId="104" fillId="0" borderId="0" xfId="8" applyFont="1" applyAlignment="1">
      <alignment vertical="top"/>
    </xf>
    <xf numFmtId="188" fontId="104" fillId="0" borderId="0" xfId="8" applyNumberFormat="1" applyFont="1"/>
    <xf numFmtId="189" fontId="104" fillId="0" borderId="0" xfId="8" applyNumberFormat="1" applyFont="1"/>
    <xf numFmtId="4" fontId="23" fillId="0" borderId="0" xfId="0" applyNumberFormat="1" applyFont="1"/>
    <xf numFmtId="0" fontId="67" fillId="0" borderId="110" xfId="8" applyFont="1" applyBorder="1" applyAlignment="1">
      <alignment horizontal="center" wrapText="1"/>
    </xf>
    <xf numFmtId="197" fontId="81" fillId="0" borderId="46" xfId="8" applyNumberFormat="1" applyFont="1" applyBorder="1" applyAlignment="1">
      <alignment horizontal="center"/>
    </xf>
    <xf numFmtId="197" fontId="81" fillId="0" borderId="97" xfId="8" applyNumberFormat="1" applyFont="1" applyBorder="1" applyAlignment="1">
      <alignment horizontal="center"/>
    </xf>
    <xf numFmtId="197" fontId="81" fillId="0" borderId="47" xfId="8" applyNumberFormat="1" applyFont="1" applyBorder="1" applyAlignment="1">
      <alignment horizontal="center"/>
    </xf>
    <xf numFmtId="197" fontId="74" fillId="50" borderId="72" xfId="8" applyNumberFormat="1" applyFont="1" applyFill="1" applyBorder="1" applyAlignment="1">
      <alignment horizontal="center"/>
    </xf>
    <xf numFmtId="197" fontId="74" fillId="50" borderId="47" xfId="8" applyNumberFormat="1" applyFont="1" applyFill="1" applyBorder="1" applyAlignment="1">
      <alignment horizontal="center"/>
    </xf>
    <xf numFmtId="190" fontId="73" fillId="27" borderId="73" xfId="5" applyFont="1" applyFill="1" applyBorder="1" applyAlignment="1">
      <alignment horizontal="right"/>
    </xf>
    <xf numFmtId="190" fontId="73" fillId="27" borderId="74" xfId="5" applyFont="1" applyFill="1" applyBorder="1" applyAlignment="1">
      <alignment horizontal="right"/>
    </xf>
    <xf numFmtId="197" fontId="70" fillId="0" borderId="81" xfId="8" applyNumberFormat="1" applyFont="1" applyBorder="1" applyAlignment="1">
      <alignment horizontal="center"/>
    </xf>
    <xf numFmtId="197" fontId="70" fillId="0" borderId="82" xfId="8" applyNumberFormat="1" applyFont="1" applyBorder="1" applyAlignment="1">
      <alignment horizontal="center"/>
    </xf>
    <xf numFmtId="167" fontId="88" fillId="0" borderId="0" xfId="6" applyFont="1" applyAlignment="1">
      <alignment horizontal="center"/>
    </xf>
    <xf numFmtId="0" fontId="84" fillId="0" borderId="127" xfId="8" applyFont="1" applyBorder="1" applyAlignment="1">
      <alignment horizontal="center"/>
    </xf>
    <xf numFmtId="0" fontId="84" fillId="0" borderId="128" xfId="8" applyFont="1" applyBorder="1" applyAlignment="1">
      <alignment horizontal="center"/>
    </xf>
    <xf numFmtId="165" fontId="87" fillId="0" borderId="127" xfId="1" applyFont="1" applyFill="1" applyBorder="1" applyAlignment="1">
      <alignment horizontal="center" vertical="center"/>
    </xf>
    <xf numFmtId="165" fontId="87" fillId="0" borderId="128" xfId="1" applyFont="1" applyFill="1" applyBorder="1" applyAlignment="1">
      <alignment horizontal="center" vertical="center"/>
    </xf>
    <xf numFmtId="0" fontId="87" fillId="0" borderId="58" xfId="8" applyFont="1" applyBorder="1" applyAlignment="1">
      <alignment horizontal="center" vertical="center"/>
    </xf>
    <xf numFmtId="0" fontId="87" fillId="0" borderId="0" xfId="8" applyFont="1" applyAlignment="1">
      <alignment horizontal="center" vertical="center"/>
    </xf>
    <xf numFmtId="197" fontId="105" fillId="0" borderId="46" xfId="8" applyNumberFormat="1" applyFont="1" applyBorder="1" applyAlignment="1">
      <alignment horizontal="center"/>
    </xf>
    <xf numFmtId="197" fontId="105" fillId="0" borderId="97" xfId="8" applyNumberFormat="1" applyFont="1" applyBorder="1" applyAlignment="1">
      <alignment horizontal="center"/>
    </xf>
    <xf numFmtId="197" fontId="105" fillId="0" borderId="47" xfId="8" applyNumberFormat="1" applyFont="1" applyBorder="1" applyAlignment="1">
      <alignment horizontal="center"/>
    </xf>
    <xf numFmtId="0" fontId="114" fillId="0" borderId="110" xfId="8" applyFont="1" applyBorder="1" applyAlignment="1">
      <alignment horizontal="center" wrapText="1"/>
    </xf>
    <xf numFmtId="0" fontId="114" fillId="0" borderId="87" xfId="8" applyFont="1" applyBorder="1" applyAlignment="1">
      <alignment horizontal="center" wrapText="1"/>
    </xf>
    <xf numFmtId="0" fontId="26" fillId="0" borderId="48" xfId="4" applyFont="1" applyBorder="1" applyAlignment="1">
      <alignment horizontal="center" vertical="center" wrapText="1"/>
    </xf>
    <xf numFmtId="0" fontId="26" fillId="5" borderId="49" xfId="4" applyFont="1" applyFill="1" applyBorder="1" applyAlignment="1">
      <alignment horizontal="right"/>
    </xf>
    <xf numFmtId="176" fontId="28" fillId="0" borderId="50" xfId="0" applyNumberFormat="1" applyFont="1" applyBorder="1" applyAlignment="1">
      <alignment horizontal="center"/>
    </xf>
    <xf numFmtId="0" fontId="26" fillId="0" borderId="1" xfId="4" applyFont="1" applyBorder="1" applyAlignment="1">
      <alignment horizontal="center" vertical="center" wrapText="1"/>
    </xf>
    <xf numFmtId="0" fontId="26" fillId="0" borderId="51" xfId="4" applyFont="1" applyBorder="1" applyAlignment="1">
      <alignment horizontal="center" vertical="center" wrapText="1"/>
    </xf>
    <xf numFmtId="0" fontId="0" fillId="0" borderId="1" xfId="0" applyBorder="1"/>
    <xf numFmtId="178" fontId="28" fillId="0" borderId="13" xfId="0" applyNumberFormat="1" applyFont="1" applyBorder="1" applyAlignment="1">
      <alignment horizontal="center"/>
    </xf>
    <xf numFmtId="178" fontId="28" fillId="0" borderId="50" xfId="0" applyNumberFormat="1" applyFont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0">
    <cellStyle name="Comma" xfId="6" builtinId="3"/>
    <cellStyle name="Comma 2" xfId="1" xr:uid="{00000000-0005-0000-0000-000000000000}"/>
    <cellStyle name="Excel Built-in Comma" xfId="2" xr:uid="{00000000-0005-0000-0000-000001000000}"/>
    <cellStyle name="Excel Built-in Currency" xfId="3" xr:uid="{00000000-0005-0000-0000-000002000000}"/>
    <cellStyle name="Excel Built-in Normal" xfId="4" xr:uid="{00000000-0005-0000-0000-000003000000}"/>
    <cellStyle name="Excel Built-in Normal 2" xfId="5" xr:uid="{00000000-0005-0000-0000-000004000000}"/>
    <cellStyle name="Milliers 2" xfId="7" xr:uid="{00000000-0005-0000-0000-000006000000}"/>
    <cellStyle name="Normal" xfId="0" builtinId="0"/>
    <cellStyle name="Normal 2" xfId="8" xr:uid="{00000000-0005-0000-0000-000008000000}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theme" Target="theme/theme1.xml"/><Relationship Id="rId15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4"/>
  </sheetPr>
  <dimension ref="A1:BJ79"/>
  <sheetViews>
    <sheetView workbookViewId="0">
      <pane xSplit="3" ySplit="7" topLeftCell="D65" activePane="bottomRight" state="frozen"/>
      <selection pane="topRight" activeCell="D1" sqref="D1"/>
      <selection pane="bottomLeft" activeCell="A65" sqref="A65"/>
      <selection pane="bottomRight" activeCell="B70" sqref="B70"/>
    </sheetView>
  </sheetViews>
  <sheetFormatPr defaultColWidth="11" defaultRowHeight="14.25"/>
  <cols>
    <col min="1" max="1" width="54.42578125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511">
        <v>116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9854928</v>
      </c>
      <c r="C8" s="14"/>
    </row>
    <row r="9" spans="1:7" ht="24" customHeight="1">
      <c r="A9" s="14" t="s">
        <v>9</v>
      </c>
      <c r="B9" s="15">
        <f>B8</f>
        <v>9854928</v>
      </c>
      <c r="C9" s="14"/>
    </row>
    <row r="10" spans="1:7" ht="24" customHeight="1">
      <c r="A10" s="14" t="s">
        <v>10</v>
      </c>
      <c r="B10" s="15">
        <v>0</v>
      </c>
      <c r="C10" s="14"/>
      <c r="D10" t="s">
        <v>874</v>
      </c>
    </row>
    <row r="11" spans="1:7" ht="24" customHeight="1">
      <c r="A11" s="14" t="s">
        <v>11</v>
      </c>
      <c r="B11" s="15">
        <v>0</v>
      </c>
      <c r="C11" s="14"/>
    </row>
    <row r="12" spans="1:7" ht="24" customHeight="1">
      <c r="A12" s="14"/>
      <c r="B12" s="15"/>
      <c r="C12" s="14"/>
    </row>
    <row r="13" spans="1:7" ht="24" customHeight="1">
      <c r="A13" s="14" t="s">
        <v>12</v>
      </c>
      <c r="B13" s="15">
        <v>9520465.4299999997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9382180.8300000001</v>
      </c>
      <c r="C14" s="9"/>
      <c r="D14" s="16"/>
      <c r="E14" s="16"/>
      <c r="F14" s="16"/>
      <c r="G14" s="16"/>
    </row>
    <row r="15" spans="1:7" ht="24" customHeight="1">
      <c r="A15" s="14" t="s">
        <v>14</v>
      </c>
      <c r="B15" s="15">
        <f>B14</f>
        <v>9382180.8300000001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7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138284.6</v>
      </c>
      <c r="C18" s="9"/>
      <c r="D18" s="16"/>
      <c r="E18" s="16"/>
      <c r="F18" s="16"/>
      <c r="G18" s="16"/>
    </row>
    <row r="19" spans="1:62" ht="24" customHeight="1">
      <c r="A19" s="14" t="s">
        <v>18</v>
      </c>
      <c r="B19" s="15">
        <f>+B18</f>
        <v>138284.6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</row>
    <row r="23" spans="1:62" ht="5.25" customHeight="1">
      <c r="A23" s="18"/>
      <c r="B23" s="19">
        <v>0</v>
      </c>
      <c r="C23" s="20"/>
    </row>
    <row r="24" spans="1:62" ht="24" customHeight="1">
      <c r="A24" s="14" t="s">
        <v>21</v>
      </c>
      <c r="B24" s="21">
        <v>3.4000000000000002E-2</v>
      </c>
      <c r="C24" s="9"/>
    </row>
    <row r="25" spans="1:62" ht="24" customHeight="1">
      <c r="A25" s="14" t="s">
        <v>22</v>
      </c>
      <c r="B25" s="21">
        <v>0.96599999999999997</v>
      </c>
      <c r="C25" s="9"/>
    </row>
    <row r="26" spans="1:62" ht="24" customHeight="1">
      <c r="A26" s="22" t="s">
        <v>23</v>
      </c>
      <c r="B26" s="23">
        <v>0.95730000000000004</v>
      </c>
      <c r="C26" s="24"/>
    </row>
    <row r="27" spans="1:62" ht="5.25" customHeight="1">
      <c r="A27" s="18"/>
      <c r="B27" s="19"/>
      <c r="C27" s="20"/>
    </row>
    <row r="28" spans="1:62" ht="24" customHeight="1">
      <c r="A28" s="14" t="s">
        <v>24</v>
      </c>
      <c r="B28" s="15">
        <v>2490709.87</v>
      </c>
      <c r="C28" s="9"/>
    </row>
    <row r="29" spans="1:62" ht="24" customHeight="1">
      <c r="A29" s="14" t="s">
        <v>25</v>
      </c>
      <c r="B29" s="15">
        <v>0</v>
      </c>
      <c r="C29" s="9"/>
    </row>
    <row r="30" spans="1:62" ht="24" customHeight="1">
      <c r="A30" s="22" t="s">
        <v>26</v>
      </c>
      <c r="B30" s="25">
        <v>1482958</v>
      </c>
      <c r="C30" s="24"/>
    </row>
    <row r="31" spans="1:62" ht="24" customHeight="1">
      <c r="A31" s="14" t="s">
        <v>27</v>
      </c>
      <c r="B31" s="26">
        <v>1007751.87</v>
      </c>
      <c r="C31" s="9"/>
    </row>
    <row r="32" spans="1:62" ht="24" customHeight="1">
      <c r="A32" s="1" t="s">
        <v>28</v>
      </c>
      <c r="B32" s="26">
        <f>+B31</f>
        <v>1007751.87</v>
      </c>
      <c r="C32" s="27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29</v>
      </c>
      <c r="B33" s="29" t="s">
        <v>851</v>
      </c>
      <c r="C33" s="27"/>
    </row>
    <row r="34" spans="1:62" ht="24" customHeight="1">
      <c r="A34" s="14" t="s">
        <v>30</v>
      </c>
      <c r="B34" s="29">
        <v>0</v>
      </c>
      <c r="C34" s="9"/>
    </row>
    <row r="35" spans="1:62" ht="24" customHeight="1">
      <c r="A35" s="14" t="s">
        <v>31</v>
      </c>
      <c r="B35" s="29">
        <v>0</v>
      </c>
      <c r="C35" s="9"/>
    </row>
    <row r="36" spans="1:62" ht="24" customHeight="1">
      <c r="A36" s="14" t="s">
        <v>32</v>
      </c>
      <c r="B36" s="29">
        <v>0</v>
      </c>
      <c r="C36" s="9"/>
    </row>
    <row r="37" spans="1:62" ht="24" customHeight="1">
      <c r="A37" s="14" t="s">
        <v>33</v>
      </c>
      <c r="B37" s="29">
        <v>0</v>
      </c>
      <c r="C37" s="9"/>
    </row>
    <row r="38" spans="1:62" ht="24" customHeight="1">
      <c r="A38" s="14" t="s">
        <v>34</v>
      </c>
      <c r="B38" s="29">
        <v>0</v>
      </c>
      <c r="C38" s="9"/>
    </row>
    <row r="39" spans="1:62" ht="24" customHeight="1">
      <c r="A39" s="14" t="s">
        <v>35</v>
      </c>
      <c r="B39" s="29">
        <v>0</v>
      </c>
      <c r="C39" s="9"/>
    </row>
    <row r="40" spans="1:62" ht="24" customHeight="1">
      <c r="A40" s="14" t="s">
        <v>36</v>
      </c>
      <c r="B40" s="30"/>
      <c r="C40" s="9"/>
    </row>
    <row r="41" spans="1:62" ht="24" customHeight="1">
      <c r="A41" s="14" t="s">
        <v>37</v>
      </c>
      <c r="B41" s="15">
        <v>2156247.2999999998</v>
      </c>
      <c r="C41" s="9"/>
    </row>
    <row r="42" spans="1:62" ht="24" customHeight="1">
      <c r="A42" s="14" t="s">
        <v>38</v>
      </c>
      <c r="B42" s="25">
        <v>0</v>
      </c>
      <c r="C42" s="24"/>
    </row>
    <row r="43" spans="1:62" ht="24" customHeight="1">
      <c r="A43" s="1" t="s">
        <v>39</v>
      </c>
      <c r="B43" s="26">
        <v>138284.6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40</v>
      </c>
      <c r="B44" s="26">
        <v>303.44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31" t="s">
        <v>41</v>
      </c>
      <c r="B45" s="32">
        <v>0</v>
      </c>
      <c r="C45" s="33"/>
    </row>
    <row r="46" spans="1:62" ht="24" customHeight="1">
      <c r="A46" s="14" t="s">
        <v>42</v>
      </c>
      <c r="B46" s="15">
        <v>0</v>
      </c>
      <c r="C46" s="9"/>
    </row>
    <row r="47" spans="1:62" ht="24" customHeight="1">
      <c r="A47" s="14" t="s">
        <v>43</v>
      </c>
      <c r="B47" s="15">
        <v>0</v>
      </c>
      <c r="C47" s="9"/>
    </row>
    <row r="48" spans="1:62" ht="24" customHeight="1">
      <c r="A48" s="14" t="s">
        <v>44</v>
      </c>
      <c r="B48" s="15">
        <v>2017659.26</v>
      </c>
      <c r="C48" s="9"/>
    </row>
    <row r="49" spans="1:3" ht="24" customHeight="1">
      <c r="A49" s="14" t="s">
        <v>45</v>
      </c>
      <c r="B49" s="34">
        <f>+B48</f>
        <v>2017659.26</v>
      </c>
      <c r="C49" s="9"/>
    </row>
    <row r="50" spans="1:3" ht="24" customHeight="1">
      <c r="A50" s="14" t="s">
        <v>46</v>
      </c>
      <c r="B50" s="17">
        <v>0</v>
      </c>
      <c r="C50" s="9"/>
    </row>
    <row r="51" spans="1:3" ht="24" customHeight="1">
      <c r="A51" s="14" t="s">
        <v>47</v>
      </c>
      <c r="B51" s="17">
        <v>0</v>
      </c>
      <c r="C51" s="9"/>
    </row>
    <row r="52" spans="1:3" ht="8.25" customHeight="1">
      <c r="A52" s="18"/>
      <c r="B52" s="19"/>
      <c r="C52" s="20"/>
    </row>
    <row r="53" spans="1:3" ht="24" customHeight="1">
      <c r="A53" s="14" t="s">
        <v>48</v>
      </c>
      <c r="B53" s="15">
        <v>2017962.7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49</v>
      </c>
      <c r="B55" s="17">
        <v>0</v>
      </c>
      <c r="C55" s="9"/>
    </row>
    <row r="56" spans="1:3" ht="24" customHeight="1">
      <c r="A56" s="14" t="s">
        <v>50</v>
      </c>
      <c r="B56" s="17">
        <v>0</v>
      </c>
      <c r="C56" s="9"/>
    </row>
    <row r="57" spans="1:3" ht="24" customHeight="1">
      <c r="A57" s="14" t="s">
        <v>51</v>
      </c>
      <c r="B57" s="17">
        <v>0</v>
      </c>
      <c r="C57" s="9"/>
    </row>
    <row r="58" spans="1:3" ht="24" customHeight="1">
      <c r="A58" s="14"/>
      <c r="B58" s="17">
        <v>0</v>
      </c>
      <c r="C58" s="9"/>
    </row>
    <row r="59" spans="1:3" ht="24" customHeight="1">
      <c r="A59" s="14" t="s">
        <v>52</v>
      </c>
      <c r="B59" s="17">
        <v>0</v>
      </c>
      <c r="C59" s="9"/>
    </row>
    <row r="60" spans="1:3" ht="24" customHeight="1">
      <c r="A60" s="14" t="s">
        <v>53</v>
      </c>
      <c r="B60" s="17">
        <v>0</v>
      </c>
      <c r="C60" s="9"/>
    </row>
    <row r="61" spans="1:3" ht="24" customHeight="1">
      <c r="A61" s="14" t="s">
        <v>54</v>
      </c>
      <c r="B61" s="17">
        <v>0</v>
      </c>
      <c r="C61" s="9"/>
    </row>
    <row r="62" spans="1:3" ht="24" customHeight="1">
      <c r="A62" s="14" t="s">
        <v>55</v>
      </c>
      <c r="B62" s="17">
        <v>0</v>
      </c>
      <c r="C62" s="9"/>
    </row>
    <row r="63" spans="1:3" ht="24" customHeight="1">
      <c r="A63" s="14" t="s">
        <v>56</v>
      </c>
      <c r="B63" s="17">
        <v>0</v>
      </c>
      <c r="C63" s="9"/>
    </row>
    <row r="64" spans="1:3" ht="24" customHeight="1">
      <c r="A64" s="14" t="s">
        <v>57</v>
      </c>
      <c r="B64" s="17">
        <v>0</v>
      </c>
      <c r="C64" s="9"/>
    </row>
    <row r="65" spans="1:3" ht="24" customHeight="1">
      <c r="A65" s="14"/>
      <c r="B65" s="17"/>
      <c r="C65" s="9"/>
    </row>
    <row r="66" spans="1:3" ht="24" customHeight="1">
      <c r="A66" s="14" t="s">
        <v>58</v>
      </c>
      <c r="B66" s="35">
        <v>5074395</v>
      </c>
      <c r="C66" s="9"/>
    </row>
    <row r="67" spans="1:3" ht="24" customHeight="1">
      <c r="A67" s="14" t="s">
        <v>59</v>
      </c>
      <c r="B67" s="35">
        <v>830475</v>
      </c>
      <c r="C67" s="9"/>
    </row>
    <row r="68" spans="1:3" ht="24" customHeight="1">
      <c r="A68" s="14" t="s">
        <v>60</v>
      </c>
      <c r="B68" s="35">
        <v>4243920</v>
      </c>
      <c r="C68" s="9"/>
    </row>
    <row r="69" spans="1:3" ht="24" customHeight="1">
      <c r="A69" s="14" t="s">
        <v>61</v>
      </c>
      <c r="B69" s="35">
        <v>4243687</v>
      </c>
      <c r="C69" s="9"/>
    </row>
    <row r="70" spans="1:3" ht="24" customHeight="1">
      <c r="A70" s="14" t="s">
        <v>62</v>
      </c>
      <c r="B70" s="35">
        <f>B68-B69</f>
        <v>233</v>
      </c>
      <c r="C70" s="9"/>
    </row>
    <row r="71" spans="1:3" ht="24" customHeight="1">
      <c r="A71" s="14"/>
      <c r="B71" s="35"/>
      <c r="C71" s="9"/>
    </row>
    <row r="72" spans="1:3" ht="24" customHeight="1">
      <c r="A72" s="14" t="s">
        <v>63</v>
      </c>
      <c r="B72" s="17"/>
      <c r="C72" s="9"/>
    </row>
    <row r="73" spans="1:3" ht="24" customHeight="1">
      <c r="A73" s="14" t="s">
        <v>64</v>
      </c>
      <c r="B73" s="17">
        <v>0</v>
      </c>
      <c r="C73" s="9"/>
    </row>
    <row r="74" spans="1:3" ht="24" customHeight="1">
      <c r="A74" s="14" t="s">
        <v>65</v>
      </c>
      <c r="B74" s="17">
        <v>0</v>
      </c>
      <c r="C74" s="9"/>
    </row>
    <row r="75" spans="1:3" ht="24" customHeight="1">
      <c r="A75" s="14" t="s">
        <v>66</v>
      </c>
      <c r="B75" s="17">
        <v>0</v>
      </c>
      <c r="C75" s="9"/>
    </row>
    <row r="76" spans="1:3" ht="24" customHeight="1">
      <c r="A76" s="14" t="s">
        <v>67</v>
      </c>
      <c r="B76" s="17">
        <v>0</v>
      </c>
      <c r="C76" s="9"/>
    </row>
    <row r="77" spans="1:3" ht="24" customHeight="1">
      <c r="A77" s="14"/>
      <c r="B77" s="17"/>
      <c r="C77" s="9"/>
    </row>
    <row r="78" spans="1:3" ht="24" customHeight="1">
      <c r="A78" s="14" t="s">
        <v>68</v>
      </c>
      <c r="B78" s="36">
        <f>+SUM(B73:B76)</f>
        <v>0</v>
      </c>
      <c r="C78" s="9"/>
    </row>
    <row r="79" spans="1:3" ht="15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workbookViewId="0">
      <pane xSplit="2" ySplit="7" topLeftCell="C52" activePane="bottomRight" state="frozen"/>
      <selection pane="topRight" activeCell="C1" sqref="C1"/>
      <selection pane="bottomLeft" activeCell="A17" sqref="A17"/>
      <selection pane="bottomRight" activeCell="B30" sqref="B30"/>
    </sheetView>
  </sheetViews>
  <sheetFormatPr defaultColWidth="11" defaultRowHeight="14.25"/>
  <cols>
    <col min="1" max="1" width="76.7109375" style="1" customWidth="1"/>
    <col min="2" max="2" width="25.85546875" style="2" bestFit="1" customWidth="1"/>
    <col min="3" max="4" width="19.85546875" customWidth="1"/>
    <col min="5" max="191" width="11.42578125" customWidth="1"/>
    <col min="192" max="192" width="31.5703125" customWidth="1"/>
    <col min="193" max="193" width="30" customWidth="1"/>
    <col min="194" max="194" width="4.85546875" customWidth="1"/>
    <col min="195" max="195" width="2.28515625" customWidth="1"/>
    <col min="196" max="200" width="0" hidden="1" customWidth="1"/>
    <col min="201" max="201" width="0.42578125" customWidth="1"/>
    <col min="202" max="209" width="3.85546875" customWidth="1"/>
    <col min="210" max="210" width="0.42578125" customWidth="1"/>
    <col min="211" max="211" width="3" customWidth="1"/>
    <col min="212" max="218" width="3.140625" customWidth="1"/>
    <col min="219" max="219" width="0.42578125" customWidth="1"/>
    <col min="220" max="227" width="3.140625" customWidth="1"/>
    <col min="228" max="228" width="0.42578125" customWidth="1"/>
    <col min="229" max="234" width="3.140625" customWidth="1"/>
    <col min="235" max="235" width="3.28515625" customWidth="1"/>
    <col min="236" max="236" width="3.7109375" customWidth="1"/>
    <col min="237" max="237" width="0.85546875" customWidth="1"/>
    <col min="238" max="244" width="3.140625" customWidth="1"/>
    <col min="245" max="245" width="0.42578125" customWidth="1"/>
    <col min="246" max="253" width="3.140625" customWidth="1"/>
    <col min="254" max="254" width="0.28515625" customWidth="1"/>
  </cols>
  <sheetData>
    <row r="1" spans="1:9">
      <c r="A1" s="3"/>
      <c r="B1" s="4"/>
      <c r="I1" t="s">
        <v>69</v>
      </c>
    </row>
    <row r="2" spans="1:9" ht="15">
      <c r="A2" s="6" t="s">
        <v>0</v>
      </c>
      <c r="B2" s="7" t="s">
        <v>70</v>
      </c>
    </row>
    <row r="3" spans="1:9" ht="15">
      <c r="A3" s="6"/>
      <c r="B3" s="7"/>
    </row>
    <row r="4" spans="1:9" ht="24" customHeight="1">
      <c r="A4" s="6" t="s">
        <v>4</v>
      </c>
      <c r="B4" s="10">
        <v>1</v>
      </c>
    </row>
    <row r="5" spans="1:9" ht="24" customHeight="1">
      <c r="B5" s="37"/>
    </row>
    <row r="6" spans="1:9" ht="24" customHeight="1">
      <c r="A6" s="11" t="s">
        <v>5</v>
      </c>
      <c r="B6" s="38">
        <v>96</v>
      </c>
    </row>
    <row r="7" spans="1:9" ht="54">
      <c r="A7" s="12" t="s">
        <v>6</v>
      </c>
      <c r="B7" s="506" t="s">
        <v>840</v>
      </c>
    </row>
    <row r="8" spans="1:9" ht="24" customHeight="1">
      <c r="A8" s="40" t="s">
        <v>71</v>
      </c>
      <c r="B8" s="41">
        <v>225080.75</v>
      </c>
    </row>
    <row r="9" spans="1:9" ht="24" customHeight="1">
      <c r="A9" s="40" t="s">
        <v>72</v>
      </c>
      <c r="B9" s="41">
        <v>0</v>
      </c>
    </row>
    <row r="10" spans="1:9" ht="24" customHeight="1">
      <c r="A10" s="40" t="s">
        <v>73</v>
      </c>
      <c r="B10" s="41">
        <v>87795</v>
      </c>
    </row>
    <row r="11" spans="1:9" ht="24" customHeight="1">
      <c r="A11" s="40" t="s">
        <v>74</v>
      </c>
      <c r="B11" s="41">
        <v>0</v>
      </c>
    </row>
    <row r="12" spans="1:9" ht="24" customHeight="1">
      <c r="A12" s="40" t="s">
        <v>75</v>
      </c>
      <c r="B12" s="41">
        <v>137285.75</v>
      </c>
    </row>
    <row r="13" spans="1:9" ht="24" customHeight="1">
      <c r="A13" s="40" t="s">
        <v>76</v>
      </c>
      <c r="B13" s="41">
        <v>634558.74</v>
      </c>
      <c r="C13" s="16"/>
      <c r="D13" s="16"/>
      <c r="E13" s="16"/>
      <c r="F13" s="16"/>
    </row>
    <row r="14" spans="1:9" ht="24" customHeight="1">
      <c r="A14" s="40" t="s">
        <v>77</v>
      </c>
      <c r="B14" s="41">
        <v>5765873.5300000003</v>
      </c>
      <c r="C14" s="16"/>
      <c r="D14" s="16"/>
      <c r="E14" s="16"/>
      <c r="F14" s="16"/>
    </row>
    <row r="15" spans="1:9" ht="24" customHeight="1">
      <c r="A15" s="40" t="s">
        <v>78</v>
      </c>
      <c r="B15" s="41">
        <v>589879.47</v>
      </c>
      <c r="C15" s="16">
        <v>94926.51</v>
      </c>
      <c r="D15" s="16"/>
      <c r="E15" s="16"/>
      <c r="F15" s="16"/>
    </row>
    <row r="16" spans="1:9" ht="24" customHeight="1">
      <c r="A16" s="40" t="s">
        <v>79</v>
      </c>
      <c r="B16" s="41">
        <f>B15</f>
        <v>589879.47</v>
      </c>
      <c r="C16" s="16">
        <v>394248.87</v>
      </c>
      <c r="D16" s="16"/>
      <c r="E16" s="16"/>
      <c r="F16" s="16"/>
    </row>
    <row r="17" spans="1:6" ht="24" customHeight="1">
      <c r="A17" s="40" t="s">
        <v>80</v>
      </c>
      <c r="B17" s="41">
        <v>0</v>
      </c>
      <c r="C17" s="16">
        <v>35488</v>
      </c>
      <c r="D17" s="16"/>
      <c r="E17" s="16"/>
      <c r="F17" s="16"/>
    </row>
    <row r="18" spans="1:6" ht="24" customHeight="1">
      <c r="A18" s="40" t="s">
        <v>81</v>
      </c>
      <c r="B18" s="41">
        <v>180401.48</v>
      </c>
      <c r="C18" s="16"/>
      <c r="D18" s="16"/>
      <c r="E18" s="16"/>
      <c r="F18" s="16"/>
    </row>
    <row r="19" spans="1:6" ht="24" customHeight="1">
      <c r="A19" s="40" t="s">
        <v>38</v>
      </c>
      <c r="B19" s="41">
        <v>0</v>
      </c>
    </row>
    <row r="20" spans="1:6" ht="24" customHeight="1">
      <c r="A20" s="40" t="s">
        <v>82</v>
      </c>
      <c r="B20" s="41">
        <v>0</v>
      </c>
    </row>
    <row r="21" spans="1:6" ht="24" customHeight="1">
      <c r="A21" s="40" t="s">
        <v>83</v>
      </c>
      <c r="B21" s="41">
        <f>B18</f>
        <v>180401.48</v>
      </c>
    </row>
    <row r="22" spans="1:6" ht="24" customHeight="1">
      <c r="A22" s="40" t="s">
        <v>84</v>
      </c>
      <c r="B22" s="42">
        <v>0</v>
      </c>
    </row>
    <row r="23" spans="1:6" ht="24" customHeight="1">
      <c r="A23" s="40" t="s">
        <v>85</v>
      </c>
      <c r="B23" s="224">
        <v>0</v>
      </c>
      <c r="E23" s="43"/>
    </row>
    <row r="24" spans="1:6" ht="24" customHeight="1">
      <c r="A24" s="40" t="s">
        <v>86</v>
      </c>
      <c r="B24" s="229">
        <v>0</v>
      </c>
    </row>
    <row r="25" spans="1:6" ht="24" customHeight="1">
      <c r="A25" s="40" t="s">
        <v>87</v>
      </c>
      <c r="B25" s="41">
        <v>0</v>
      </c>
    </row>
    <row r="26" spans="1:6" ht="24" customHeight="1">
      <c r="A26" s="40" t="s">
        <v>88</v>
      </c>
      <c r="B26" s="41">
        <v>44679.27</v>
      </c>
    </row>
    <row r="27" spans="1:6" ht="24" customHeight="1">
      <c r="A27" s="40" t="s">
        <v>89</v>
      </c>
      <c r="B27" s="41">
        <f>B26</f>
        <v>44679.27</v>
      </c>
    </row>
    <row r="28" spans="1:6" ht="24" customHeight="1">
      <c r="A28" s="40" t="s">
        <v>90</v>
      </c>
      <c r="B28" s="41">
        <v>87795</v>
      </c>
    </row>
    <row r="29" spans="1:6" ht="24" customHeight="1">
      <c r="A29" s="40" t="s">
        <v>91</v>
      </c>
      <c r="B29" s="44">
        <v>0.92949999999999999</v>
      </c>
    </row>
    <row r="30" spans="1:6" ht="24" customHeight="1">
      <c r="A30" s="40" t="s">
        <v>92</v>
      </c>
      <c r="B30" s="44">
        <f>+B29</f>
        <v>0.92949999999999999</v>
      </c>
    </row>
    <row r="31" spans="1:6" ht="24" customHeight="1">
      <c r="A31" s="40"/>
      <c r="B31" s="4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499984740745262"/>
    <pageSetUpPr fitToPage="1"/>
  </sheetPr>
  <dimension ref="A1:BJ74"/>
  <sheetViews>
    <sheetView zoomScale="98" zoomScaleNormal="98" workbookViewId="0">
      <pane xSplit="3" ySplit="7" topLeftCell="D65" activePane="bottomRight" state="frozen"/>
      <selection pane="topRight" activeCell="D1" sqref="D1"/>
      <selection pane="bottomLeft" activeCell="A44" sqref="A44"/>
      <selection pane="bottomRight" activeCell="B66" sqref="B66"/>
    </sheetView>
  </sheetViews>
  <sheetFormatPr defaultColWidth="11" defaultRowHeight="14.25"/>
  <cols>
    <col min="1" max="1" width="41" style="1" customWidth="1"/>
    <col min="2" max="2" width="30" style="2" customWidth="1"/>
    <col min="3" max="3" width="4.85546875" customWidth="1"/>
    <col min="4" max="6" width="11.42578125" customWidth="1"/>
    <col min="7" max="7" width="10" customWidth="1"/>
    <col min="8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38">
        <v>43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513">
        <v>17267146.359999999</v>
      </c>
      <c r="C8" s="14"/>
    </row>
    <row r="9" spans="1:7" ht="24" customHeight="1">
      <c r="A9" s="14" t="s">
        <v>9</v>
      </c>
      <c r="B9" s="513">
        <f>B8</f>
        <v>17267146.359999999</v>
      </c>
      <c r="C9" s="14"/>
    </row>
    <row r="10" spans="1:7" ht="24" customHeight="1">
      <c r="A10" s="14" t="s">
        <v>93</v>
      </c>
      <c r="B10" s="513">
        <v>0</v>
      </c>
      <c r="C10" s="14"/>
      <c r="F10" t="s">
        <v>94</v>
      </c>
    </row>
    <row r="11" spans="1:7" ht="23.25">
      <c r="A11" s="14" t="s">
        <v>95</v>
      </c>
      <c r="B11" s="513">
        <v>0</v>
      </c>
      <c r="C11" s="14"/>
    </row>
    <row r="12" spans="1:7" ht="24" customHeight="1">
      <c r="A12" s="14"/>
      <c r="B12" s="513"/>
      <c r="C12" s="14"/>
    </row>
    <row r="13" spans="1:7" ht="24" customHeight="1">
      <c r="A13" s="14" t="s">
        <v>12</v>
      </c>
      <c r="B13" s="513">
        <v>16402433.550000001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513">
        <v>16273583.550000001</v>
      </c>
      <c r="C14" s="9"/>
      <c r="D14" s="16"/>
      <c r="E14" s="16"/>
      <c r="F14" s="16"/>
      <c r="G14" s="16"/>
    </row>
    <row r="15" spans="1:7" ht="24" customHeight="1">
      <c r="A15" s="14" t="s">
        <v>96</v>
      </c>
      <c r="B15" s="513">
        <f>B14</f>
        <v>16273583.550000001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513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513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513">
        <v>128850</v>
      </c>
      <c r="C18" s="9"/>
      <c r="D18" s="16"/>
      <c r="E18" s="16"/>
      <c r="F18" s="16"/>
      <c r="G18" s="16"/>
    </row>
    <row r="19" spans="1:62" ht="24" customHeight="1">
      <c r="A19" s="14" t="s">
        <v>97</v>
      </c>
      <c r="B19" s="513">
        <f>+B18</f>
        <v>128850</v>
      </c>
      <c r="C19" s="9"/>
    </row>
    <row r="20" spans="1:62" ht="24" customHeight="1">
      <c r="A20" s="14" t="s">
        <v>19</v>
      </c>
      <c r="B20" s="513">
        <v>0</v>
      </c>
      <c r="C20" s="9"/>
    </row>
    <row r="21" spans="1:62" ht="24" customHeight="1">
      <c r="A21" s="14" t="s">
        <v>20</v>
      </c>
      <c r="B21" s="513">
        <v>0</v>
      </c>
      <c r="C21" s="9"/>
    </row>
    <row r="22" spans="1:62" ht="24" customHeight="1">
      <c r="A22" s="14"/>
      <c r="B22" s="513"/>
      <c r="C22" s="9"/>
    </row>
    <row r="23" spans="1:62" ht="8.25" customHeight="1">
      <c r="A23" s="18"/>
      <c r="B23" s="514"/>
      <c r="C23" s="20"/>
    </row>
    <row r="24" spans="1:62" ht="24" customHeight="1">
      <c r="A24" s="14" t="s">
        <v>24</v>
      </c>
      <c r="B24" s="513">
        <v>4721454.6500000004</v>
      </c>
      <c r="C24" s="9"/>
      <c r="E24" t="b">
        <f>B24=B26+B27</f>
        <v>1</v>
      </c>
    </row>
    <row r="25" spans="1:62" ht="24" customHeight="1">
      <c r="A25" s="14" t="s">
        <v>25</v>
      </c>
      <c r="B25" s="46">
        <v>0</v>
      </c>
      <c r="C25" s="9"/>
      <c r="H25">
        <v>2903100</v>
      </c>
    </row>
    <row r="26" spans="1:62" ht="24" customHeight="1">
      <c r="A26" s="22" t="s">
        <v>26</v>
      </c>
      <c r="B26" s="515">
        <v>3055780</v>
      </c>
      <c r="C26" s="24"/>
      <c r="H26" s="48">
        <f>+H25-B26</f>
        <v>-152680</v>
      </c>
    </row>
    <row r="27" spans="1:62" ht="24" customHeight="1">
      <c r="A27" s="14" t="s">
        <v>27</v>
      </c>
      <c r="B27" s="47">
        <v>1665674.65</v>
      </c>
      <c r="C27" s="9"/>
    </row>
    <row r="28" spans="1:62" ht="24" customHeight="1">
      <c r="A28" s="1" t="s">
        <v>28</v>
      </c>
      <c r="B28" s="47">
        <f>B27</f>
        <v>1665674.65</v>
      </c>
      <c r="C28" s="9"/>
      <c r="BB28" s="28"/>
      <c r="BC28" s="16"/>
      <c r="BD28" s="16"/>
      <c r="BE28" s="16"/>
      <c r="BF28" s="16"/>
      <c r="BG28" s="16"/>
      <c r="BH28" s="16"/>
      <c r="BI28" s="16"/>
      <c r="BJ28" s="16"/>
    </row>
    <row r="29" spans="1:62" ht="24" customHeight="1">
      <c r="A29" s="14" t="s">
        <v>29</v>
      </c>
      <c r="B29" s="47">
        <v>0</v>
      </c>
      <c r="C29" s="27"/>
    </row>
    <row r="30" spans="1:62" ht="24" customHeight="1">
      <c r="A30" s="14" t="s">
        <v>30</v>
      </c>
      <c r="B30" s="47">
        <v>0</v>
      </c>
      <c r="C30" s="9"/>
    </row>
    <row r="31" spans="1:62" ht="24" customHeight="1">
      <c r="A31" s="14" t="s">
        <v>98</v>
      </c>
      <c r="B31" s="47">
        <v>0</v>
      </c>
      <c r="C31" s="9"/>
    </row>
    <row r="32" spans="1:62" ht="24" customHeight="1">
      <c r="A32" s="14" t="s">
        <v>99</v>
      </c>
      <c r="B32" s="513">
        <v>0</v>
      </c>
      <c r="C32" s="9"/>
    </row>
    <row r="33" spans="1:62" ht="24" customHeight="1">
      <c r="A33" s="14" t="s">
        <v>100</v>
      </c>
      <c r="B33" s="513">
        <v>0</v>
      </c>
      <c r="C33" s="9"/>
    </row>
    <row r="34" spans="1:62" ht="24" customHeight="1">
      <c r="A34" s="14" t="s">
        <v>101</v>
      </c>
      <c r="B34" s="513">
        <v>0</v>
      </c>
      <c r="C34" s="9"/>
    </row>
    <row r="35" spans="1:62" ht="24" customHeight="1">
      <c r="A35" s="14" t="s">
        <v>102</v>
      </c>
      <c r="B35" s="513">
        <v>0</v>
      </c>
      <c r="C35" s="9"/>
    </row>
    <row r="36" spans="1:62" ht="24" customHeight="1">
      <c r="B36" s="48"/>
      <c r="C36" s="9"/>
    </row>
    <row r="37" spans="1:62" ht="24" customHeight="1">
      <c r="A37" s="14" t="s">
        <v>37</v>
      </c>
      <c r="B37" s="513">
        <v>3856741.84</v>
      </c>
      <c r="C37" s="9"/>
    </row>
    <row r="38" spans="1:62" ht="24" customHeight="1">
      <c r="A38" s="14" t="s">
        <v>38</v>
      </c>
      <c r="B38" s="515">
        <v>0</v>
      </c>
      <c r="C38" s="24"/>
    </row>
    <row r="39" spans="1:62" ht="24" customHeight="1">
      <c r="A39" s="1" t="s">
        <v>39</v>
      </c>
      <c r="B39" s="47">
        <v>128850</v>
      </c>
      <c r="C39" s="9"/>
      <c r="BB39" s="28"/>
      <c r="BC39" s="16"/>
      <c r="BD39" s="16"/>
      <c r="BE39" s="16"/>
      <c r="BF39" s="16"/>
      <c r="BG39" s="16"/>
      <c r="BH39" s="16"/>
      <c r="BI39" s="16"/>
      <c r="BJ39" s="16"/>
    </row>
    <row r="40" spans="1:62" ht="24" customHeight="1">
      <c r="A40" s="14" t="s">
        <v>40</v>
      </c>
      <c r="B40" s="49">
        <v>2188.06</v>
      </c>
      <c r="C40" s="9"/>
      <c r="BB40" s="16"/>
      <c r="BC40" s="16"/>
      <c r="BD40" s="16"/>
      <c r="BE40" s="16"/>
      <c r="BF40" s="16"/>
      <c r="BG40" s="16"/>
      <c r="BH40" s="16"/>
      <c r="BI40" s="16"/>
      <c r="BJ40" s="16"/>
    </row>
    <row r="41" spans="1:62" ht="23.25">
      <c r="A41" s="31" t="s">
        <v>41</v>
      </c>
      <c r="B41" s="516">
        <v>0</v>
      </c>
      <c r="C41" s="33"/>
    </row>
    <row r="42" spans="1:62" ht="24" customHeight="1">
      <c r="A42" s="14" t="s">
        <v>42</v>
      </c>
      <c r="B42" s="513">
        <v>0</v>
      </c>
      <c r="C42" s="9"/>
    </row>
    <row r="43" spans="1:62" ht="24" customHeight="1">
      <c r="A43" s="14" t="s">
        <v>43</v>
      </c>
      <c r="B43" s="513">
        <v>0</v>
      </c>
      <c r="C43" s="9"/>
    </row>
    <row r="44" spans="1:62" ht="24" customHeight="1">
      <c r="A44" s="14" t="s">
        <v>44</v>
      </c>
      <c r="B44" s="513">
        <v>3725703.78</v>
      </c>
      <c r="C44" s="9"/>
      <c r="J44">
        <v>33</v>
      </c>
    </row>
    <row r="45" spans="1:62" ht="24" customHeight="1">
      <c r="A45" s="14" t="s">
        <v>45</v>
      </c>
      <c r="B45" s="513">
        <f>B44</f>
        <v>3725703.78</v>
      </c>
      <c r="C45" s="9"/>
    </row>
    <row r="46" spans="1:62" ht="24" customHeight="1">
      <c r="A46" s="14" t="s">
        <v>46</v>
      </c>
      <c r="B46" s="513">
        <v>0</v>
      </c>
      <c r="C46" s="9"/>
    </row>
    <row r="47" spans="1:62" ht="24" customHeight="1">
      <c r="A47" s="14" t="s">
        <v>47</v>
      </c>
      <c r="B47" s="513">
        <v>0</v>
      </c>
      <c r="C47" s="9"/>
    </row>
    <row r="48" spans="1:62" ht="8.25" customHeight="1">
      <c r="A48" s="18"/>
      <c r="B48" s="514"/>
      <c r="C48" s="20"/>
    </row>
    <row r="49" spans="1:7" ht="24" customHeight="1">
      <c r="A49" s="14" t="s">
        <v>48</v>
      </c>
      <c r="B49" s="513">
        <v>3727891.84</v>
      </c>
      <c r="C49" s="9"/>
    </row>
    <row r="50" spans="1:7" ht="24" customHeight="1">
      <c r="A50" s="14"/>
      <c r="B50" s="513">
        <v>0</v>
      </c>
      <c r="C50" s="9"/>
    </row>
    <row r="51" spans="1:7" ht="24" customHeight="1">
      <c r="A51" s="14" t="s">
        <v>49</v>
      </c>
      <c r="B51" s="513">
        <v>0</v>
      </c>
      <c r="C51" s="9"/>
    </row>
    <row r="52" spans="1:7" ht="24" customHeight="1">
      <c r="A52" s="14" t="s">
        <v>50</v>
      </c>
      <c r="B52" s="513">
        <v>0</v>
      </c>
      <c r="C52" s="9"/>
    </row>
    <row r="53" spans="1:7" ht="24" customHeight="1">
      <c r="A53" s="14" t="s">
        <v>51</v>
      </c>
      <c r="B53" s="513">
        <v>0</v>
      </c>
      <c r="C53" s="9"/>
    </row>
    <row r="54" spans="1:7" ht="24" customHeight="1">
      <c r="A54" s="14"/>
      <c r="B54" s="513"/>
      <c r="C54" s="9"/>
    </row>
    <row r="55" spans="1:7" ht="24" customHeight="1">
      <c r="A55" s="14" t="s">
        <v>52</v>
      </c>
      <c r="B55" s="513">
        <v>0</v>
      </c>
      <c r="C55" s="9"/>
    </row>
    <row r="56" spans="1:7" ht="24" customHeight="1">
      <c r="A56" s="14" t="s">
        <v>53</v>
      </c>
      <c r="B56" s="513">
        <v>0</v>
      </c>
      <c r="C56" s="9"/>
    </row>
    <row r="57" spans="1:7" ht="24" customHeight="1">
      <c r="A57" s="14" t="s">
        <v>54</v>
      </c>
      <c r="B57" s="513">
        <v>0</v>
      </c>
      <c r="C57" s="9"/>
      <c r="G57">
        <v>976455636</v>
      </c>
    </row>
    <row r="58" spans="1:7" ht="24" customHeight="1">
      <c r="A58" s="14" t="s">
        <v>55</v>
      </c>
      <c r="B58" s="513">
        <v>0</v>
      </c>
      <c r="C58" s="9"/>
    </row>
    <row r="59" spans="1:7" ht="24" customHeight="1">
      <c r="A59" s="14" t="s">
        <v>56</v>
      </c>
      <c r="B59" s="513">
        <v>0</v>
      </c>
      <c r="C59" s="9"/>
    </row>
    <row r="60" spans="1:7" ht="24" customHeight="1">
      <c r="A60" s="14" t="s">
        <v>57</v>
      </c>
      <c r="B60" s="513">
        <v>0</v>
      </c>
      <c r="C60" s="9"/>
    </row>
    <row r="61" spans="1:7" ht="24" customHeight="1">
      <c r="A61" s="14"/>
      <c r="C61" s="9"/>
    </row>
    <row r="62" spans="1:7" ht="24" customHeight="1">
      <c r="A62" s="14" t="s">
        <v>58</v>
      </c>
      <c r="B62" s="513">
        <v>17842617</v>
      </c>
      <c r="C62" s="9"/>
    </row>
    <row r="63" spans="1:7" ht="24" customHeight="1">
      <c r="A63" s="14" t="s">
        <v>59</v>
      </c>
      <c r="B63" s="513">
        <v>2844319</v>
      </c>
      <c r="C63" s="9"/>
    </row>
    <row r="64" spans="1:7" ht="24" customHeight="1">
      <c r="A64" s="14" t="s">
        <v>60</v>
      </c>
      <c r="B64" s="513">
        <v>14998298</v>
      </c>
      <c r="C64" s="9"/>
    </row>
    <row r="65" spans="1:3" ht="24" customHeight="1">
      <c r="A65" s="14" t="s">
        <v>61</v>
      </c>
      <c r="B65" s="513">
        <v>14972220</v>
      </c>
      <c r="C65" s="9"/>
    </row>
    <row r="66" spans="1:3" ht="24" customHeight="1">
      <c r="A66" s="14" t="s">
        <v>103</v>
      </c>
      <c r="B66" s="513">
        <f>+B64-B65</f>
        <v>26078</v>
      </c>
      <c r="C66" s="9"/>
    </row>
    <row r="67" spans="1:3" ht="24" customHeight="1">
      <c r="A67" s="14"/>
      <c r="B67" s="513" t="s">
        <v>104</v>
      </c>
      <c r="C67" s="9"/>
    </row>
    <row r="68" spans="1:3" ht="24" customHeight="1">
      <c r="A68" s="14"/>
      <c r="B68" s="17"/>
      <c r="C68" s="9"/>
    </row>
    <row r="69" spans="1:3" ht="24" customHeight="1">
      <c r="A69" s="14"/>
      <c r="B69" s="17" t="s">
        <v>36</v>
      </c>
      <c r="C69" s="9"/>
    </row>
    <row r="70" spans="1:3" ht="24" customHeight="1">
      <c r="A70" s="14"/>
      <c r="B70" s="17"/>
      <c r="C70" s="9"/>
    </row>
    <row r="71" spans="1:3" ht="24" customHeight="1">
      <c r="A71" s="14"/>
      <c r="B71" s="17"/>
      <c r="C71" s="9"/>
    </row>
    <row r="72" spans="1:3" ht="24" customHeight="1">
      <c r="A72" s="14"/>
      <c r="B72" s="17"/>
      <c r="C72" s="9"/>
    </row>
    <row r="73" spans="1:3" ht="24" customHeight="1">
      <c r="A73" s="14"/>
      <c r="B73" s="17"/>
      <c r="C73" s="9"/>
    </row>
    <row r="74" spans="1:3" ht="15.75" customHeight="1"/>
  </sheetData>
  <sheetProtection selectLockedCells="1" selectUnlockedCells="1"/>
  <pageMargins left="0.7" right="0.7" top="0.75" bottom="0.75" header="0.51180555555555551" footer="0.51180555555555551"/>
  <pageSetup paperSize="9" scale="14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0"/>
  </sheetPr>
  <dimension ref="A1:BJ79"/>
  <sheetViews>
    <sheetView workbookViewId="0">
      <pane xSplit="1" ySplit="7" topLeftCell="B73" activePane="bottomRight" state="frozen"/>
      <selection pane="topRight" activeCell="B1" sqref="B1"/>
      <selection pane="bottomLeft" activeCell="A8" sqref="A8"/>
      <selection pane="bottomRight" activeCell="B70" sqref="B70"/>
    </sheetView>
  </sheetViews>
  <sheetFormatPr defaultColWidth="11" defaultRowHeight="14.25"/>
  <cols>
    <col min="1" max="1" width="54.42578125" style="1" customWidth="1"/>
    <col min="2" max="2" width="30" style="2" customWidth="1"/>
    <col min="3" max="3" width="4.85546875" customWidth="1"/>
    <col min="4" max="7" width="11.42578125" customWidth="1"/>
    <col min="8" max="8" width="12.85546875" bestFit="1" customWidth="1"/>
    <col min="9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50">
        <v>111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7996478.6299999999</v>
      </c>
      <c r="C8" s="14"/>
    </row>
    <row r="9" spans="1:7" ht="24" customHeight="1">
      <c r="A9" s="14" t="s">
        <v>9</v>
      </c>
      <c r="B9" s="15">
        <f>B8</f>
        <v>7996478.6299999999</v>
      </c>
      <c r="C9" s="14"/>
    </row>
    <row r="10" spans="1:7" ht="24" customHeight="1">
      <c r="A10" s="14" t="s">
        <v>10</v>
      </c>
      <c r="B10" s="15">
        <v>0</v>
      </c>
      <c r="C10" s="14"/>
    </row>
    <row r="11" spans="1:7" ht="24" customHeight="1">
      <c r="A11" s="14" t="s">
        <v>11</v>
      </c>
      <c r="B11" s="15">
        <v>0</v>
      </c>
      <c r="C11" s="14"/>
    </row>
    <row r="12" spans="1:7" ht="24" customHeight="1">
      <c r="A12" s="14"/>
      <c r="B12" s="15"/>
      <c r="C12" s="14"/>
    </row>
    <row r="13" spans="1:7" ht="24" customHeight="1">
      <c r="A13" s="14" t="s">
        <v>12</v>
      </c>
      <c r="B13" s="15">
        <v>7586630.0300000003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7491305.5300000003</v>
      </c>
      <c r="C14" s="9"/>
      <c r="D14" s="16"/>
      <c r="E14" s="16"/>
      <c r="F14" s="16"/>
      <c r="G14" s="16"/>
    </row>
    <row r="15" spans="1:7" ht="24" customHeight="1">
      <c r="A15" s="14" t="s">
        <v>14</v>
      </c>
      <c r="B15" s="15">
        <f>B14</f>
        <v>7491305.5300000003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7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95324.5</v>
      </c>
      <c r="C18" s="9"/>
      <c r="D18" s="16"/>
      <c r="E18" s="16"/>
      <c r="F18" s="16"/>
      <c r="G18" s="16"/>
    </row>
    <row r="19" spans="1:62" ht="24" customHeight="1">
      <c r="A19" s="14" t="s">
        <v>18</v>
      </c>
      <c r="B19" s="15">
        <f>+B18</f>
        <v>95324.5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  <c r="H22" s="996"/>
    </row>
    <row r="23" spans="1:62" ht="5.25" customHeight="1">
      <c r="A23" s="18"/>
      <c r="B23" s="19">
        <v>0</v>
      </c>
      <c r="C23" s="20"/>
    </row>
    <row r="24" spans="1:62" ht="24" customHeight="1">
      <c r="A24" s="14" t="s">
        <v>21</v>
      </c>
      <c r="B24" s="21">
        <v>5.33E-2</v>
      </c>
      <c r="C24" s="9"/>
    </row>
    <row r="25" spans="1:62" ht="24" customHeight="1">
      <c r="A25" s="14" t="s">
        <v>22</v>
      </c>
      <c r="B25" s="21">
        <v>0.94669999999999999</v>
      </c>
      <c r="C25" s="9"/>
    </row>
    <row r="26" spans="1:62" ht="24" customHeight="1">
      <c r="A26" s="22" t="s">
        <v>23</v>
      </c>
      <c r="B26" s="23">
        <v>0.95679999999999998</v>
      </c>
      <c r="C26" s="24"/>
    </row>
    <row r="27" spans="1:62" ht="5.25" customHeight="1">
      <c r="A27" s="18"/>
      <c r="B27" s="19"/>
      <c r="C27" s="20"/>
    </row>
    <row r="28" spans="1:62" ht="24" customHeight="1">
      <c r="A28" s="14" t="s">
        <v>24</v>
      </c>
      <c r="B28" s="15">
        <v>1833030.66</v>
      </c>
      <c r="C28" s="9"/>
    </row>
    <row r="29" spans="1:62" ht="24" customHeight="1">
      <c r="A29" s="14" t="s">
        <v>25</v>
      </c>
      <c r="B29" s="15">
        <v>0</v>
      </c>
      <c r="C29" s="9"/>
    </row>
    <row r="30" spans="1:62" ht="24" customHeight="1">
      <c r="A30" s="22" t="s">
        <v>26</v>
      </c>
      <c r="B30" s="25">
        <v>1095813</v>
      </c>
      <c r="C30" s="24"/>
    </row>
    <row r="31" spans="1:62" ht="24" customHeight="1">
      <c r="A31" s="14" t="s">
        <v>27</v>
      </c>
      <c r="B31" s="26">
        <v>737217.66</v>
      </c>
      <c r="C31" s="9"/>
    </row>
    <row r="32" spans="1:62" ht="24" customHeight="1">
      <c r="A32" s="1" t="s">
        <v>28</v>
      </c>
      <c r="B32" s="26">
        <f>+B31</f>
        <v>737217.66</v>
      </c>
      <c r="C32" s="27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29</v>
      </c>
      <c r="B33" s="29">
        <v>0</v>
      </c>
      <c r="C33" s="27"/>
    </row>
    <row r="34" spans="1:62" ht="24" customHeight="1">
      <c r="A34" s="14" t="s">
        <v>30</v>
      </c>
      <c r="B34" s="29">
        <v>0</v>
      </c>
      <c r="C34" s="9"/>
    </row>
    <row r="35" spans="1:62" ht="24" customHeight="1">
      <c r="A35" s="14" t="s">
        <v>31</v>
      </c>
      <c r="B35" s="29">
        <v>0</v>
      </c>
      <c r="C35" s="9"/>
    </row>
    <row r="36" spans="1:62" ht="24" customHeight="1">
      <c r="A36" s="14" t="s">
        <v>32</v>
      </c>
      <c r="B36" s="29">
        <v>0</v>
      </c>
      <c r="C36" s="9"/>
    </row>
    <row r="37" spans="1:62" ht="24" customHeight="1">
      <c r="A37" s="14" t="s">
        <v>33</v>
      </c>
      <c r="B37" s="29">
        <v>0</v>
      </c>
      <c r="C37" s="9"/>
    </row>
    <row r="38" spans="1:62" ht="24" customHeight="1">
      <c r="A38" s="14" t="s">
        <v>34</v>
      </c>
      <c r="B38" s="29">
        <v>0</v>
      </c>
      <c r="C38" s="9"/>
    </row>
    <row r="39" spans="1:62" ht="24" customHeight="1">
      <c r="A39" s="14" t="s">
        <v>35</v>
      </c>
      <c r="B39" s="29">
        <v>0</v>
      </c>
      <c r="C39" s="9"/>
    </row>
    <row r="40" spans="1:62" ht="24" customHeight="1">
      <c r="A40" s="14" t="s">
        <v>36</v>
      </c>
      <c r="B40" s="30"/>
      <c r="C40" s="9"/>
    </row>
    <row r="41" spans="1:62" ht="24" customHeight="1">
      <c r="A41" s="14" t="s">
        <v>37</v>
      </c>
      <c r="B41" s="15">
        <v>1423182.06</v>
      </c>
      <c r="C41" s="9"/>
    </row>
    <row r="42" spans="1:62" ht="24" customHeight="1">
      <c r="A42" s="14" t="s">
        <v>38</v>
      </c>
      <c r="B42" s="25">
        <v>0</v>
      </c>
      <c r="C42" s="24"/>
    </row>
    <row r="43" spans="1:62" ht="24" customHeight="1">
      <c r="A43" s="1" t="s">
        <v>39</v>
      </c>
      <c r="B43" s="26">
        <v>95324.5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40</v>
      </c>
      <c r="B44" s="26">
        <v>326.72000000000003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31" t="s">
        <v>41</v>
      </c>
      <c r="B45" s="32">
        <v>0</v>
      </c>
      <c r="C45" s="33"/>
    </row>
    <row r="46" spans="1:62" ht="24" customHeight="1">
      <c r="A46" s="14" t="s">
        <v>42</v>
      </c>
      <c r="B46" s="15">
        <v>0</v>
      </c>
      <c r="C46" s="9"/>
    </row>
    <row r="47" spans="1:62" ht="24" customHeight="1">
      <c r="A47" s="14" t="s">
        <v>43</v>
      </c>
      <c r="B47" s="15">
        <v>0</v>
      </c>
      <c r="C47" s="9"/>
    </row>
    <row r="48" spans="1:62" ht="24" customHeight="1">
      <c r="A48" s="14" t="s">
        <v>44</v>
      </c>
      <c r="B48" s="15">
        <v>1327530.8400000001</v>
      </c>
      <c r="C48" s="9"/>
    </row>
    <row r="49" spans="1:3" ht="24" customHeight="1">
      <c r="A49" s="14" t="s">
        <v>45</v>
      </c>
      <c r="B49" s="15">
        <f>B48</f>
        <v>1327530.8400000001</v>
      </c>
      <c r="C49" s="9"/>
    </row>
    <row r="50" spans="1:3" ht="24" customHeight="1">
      <c r="A50" s="14" t="s">
        <v>46</v>
      </c>
      <c r="B50" s="17">
        <v>0</v>
      </c>
      <c r="C50" s="9"/>
    </row>
    <row r="51" spans="1:3" ht="24" customHeight="1">
      <c r="A51" s="14" t="s">
        <v>47</v>
      </c>
      <c r="B51" s="17">
        <v>0</v>
      </c>
      <c r="C51" s="9"/>
    </row>
    <row r="52" spans="1:3" ht="8.25" customHeight="1">
      <c r="A52" s="18"/>
      <c r="B52" s="19"/>
      <c r="C52" s="20"/>
    </row>
    <row r="53" spans="1:3" ht="24" customHeight="1">
      <c r="A53" s="14" t="s">
        <v>48</v>
      </c>
      <c r="B53" s="15">
        <v>1327857.56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49</v>
      </c>
      <c r="B55" s="17">
        <v>0</v>
      </c>
      <c r="C55" s="9"/>
    </row>
    <row r="56" spans="1:3" ht="24" customHeight="1">
      <c r="A56" s="14" t="s">
        <v>50</v>
      </c>
      <c r="B56" s="17">
        <v>0</v>
      </c>
      <c r="C56" s="9"/>
    </row>
    <row r="57" spans="1:3" ht="24" customHeight="1">
      <c r="A57" s="14" t="s">
        <v>51</v>
      </c>
      <c r="B57" s="17">
        <v>0</v>
      </c>
      <c r="C57" s="9"/>
    </row>
    <row r="58" spans="1:3" ht="24" customHeight="1">
      <c r="A58" s="14"/>
      <c r="B58" s="17">
        <v>0</v>
      </c>
      <c r="C58" s="9"/>
    </row>
    <row r="59" spans="1:3" ht="24" customHeight="1">
      <c r="A59" s="14" t="s">
        <v>52</v>
      </c>
      <c r="B59" s="17">
        <v>0</v>
      </c>
      <c r="C59" s="9"/>
    </row>
    <row r="60" spans="1:3" ht="24" customHeight="1">
      <c r="A60" s="14" t="s">
        <v>53</v>
      </c>
      <c r="B60" s="17">
        <v>0</v>
      </c>
      <c r="C60" s="9"/>
    </row>
    <row r="61" spans="1:3" ht="24" customHeight="1">
      <c r="A61" s="14" t="s">
        <v>54</v>
      </c>
      <c r="B61" s="17">
        <v>0</v>
      </c>
      <c r="C61" s="9"/>
    </row>
    <row r="62" spans="1:3" ht="24" customHeight="1">
      <c r="A62" s="14" t="s">
        <v>55</v>
      </c>
      <c r="B62" s="17">
        <v>0</v>
      </c>
      <c r="C62" s="9"/>
    </row>
    <row r="63" spans="1:3" ht="24" customHeight="1">
      <c r="A63" s="14" t="s">
        <v>56</v>
      </c>
      <c r="B63" s="17">
        <v>0</v>
      </c>
      <c r="C63" s="9"/>
    </row>
    <row r="64" spans="1:3" ht="24" customHeight="1">
      <c r="A64" s="14" t="s">
        <v>57</v>
      </c>
      <c r="B64" s="17">
        <v>0</v>
      </c>
      <c r="C64" s="9"/>
    </row>
    <row r="65" spans="1:3" ht="24" customHeight="1">
      <c r="A65" s="14"/>
      <c r="B65" s="17"/>
      <c r="C65" s="9"/>
    </row>
    <row r="66" spans="1:3" ht="24" customHeight="1">
      <c r="A66" s="14" t="s">
        <v>58</v>
      </c>
      <c r="B66" s="15">
        <v>4044606</v>
      </c>
      <c r="C66" s="9"/>
    </row>
    <row r="67" spans="1:3" ht="24" customHeight="1">
      <c r="A67" s="14" t="s">
        <v>59</v>
      </c>
      <c r="B67" s="25">
        <v>685005</v>
      </c>
      <c r="C67" s="9"/>
    </row>
    <row r="68" spans="1:3" ht="24" customHeight="1">
      <c r="A68" s="14" t="s">
        <v>60</v>
      </c>
      <c r="B68" s="26">
        <v>3359601</v>
      </c>
      <c r="C68" s="9"/>
    </row>
    <row r="69" spans="1:3" ht="24" customHeight="1">
      <c r="A69" s="14" t="s">
        <v>61</v>
      </c>
      <c r="B69" s="26">
        <v>3359435</v>
      </c>
      <c r="C69" s="9"/>
    </row>
    <row r="70" spans="1:3" ht="24" customHeight="1">
      <c r="A70" s="14" t="s">
        <v>62</v>
      </c>
      <c r="B70" s="35">
        <f>B68-B69</f>
        <v>166</v>
      </c>
      <c r="C70" s="9"/>
    </row>
    <row r="71" spans="1:3" ht="24" customHeight="1">
      <c r="A71" s="14"/>
      <c r="B71" s="35"/>
      <c r="C71" s="9"/>
    </row>
    <row r="72" spans="1:3" ht="24" customHeight="1">
      <c r="A72" s="14" t="s">
        <v>63</v>
      </c>
      <c r="B72" s="17"/>
      <c r="C72" s="9"/>
    </row>
    <row r="73" spans="1:3" ht="24" customHeight="1">
      <c r="A73" s="14" t="s">
        <v>64</v>
      </c>
      <c r="B73" s="17">
        <v>0</v>
      </c>
      <c r="C73" s="9"/>
    </row>
    <row r="74" spans="1:3" ht="24" customHeight="1">
      <c r="A74" s="14" t="s">
        <v>65</v>
      </c>
      <c r="B74" s="17">
        <v>0</v>
      </c>
      <c r="C74" s="9"/>
    </row>
    <row r="75" spans="1:3" ht="24" customHeight="1">
      <c r="A75" s="14" t="s">
        <v>66</v>
      </c>
      <c r="B75" s="17">
        <v>0</v>
      </c>
      <c r="C75" s="9"/>
    </row>
    <row r="76" spans="1:3" ht="24" customHeight="1">
      <c r="A76" s="14" t="s">
        <v>67</v>
      </c>
      <c r="B76" s="17">
        <v>0</v>
      </c>
      <c r="C76" s="9"/>
    </row>
    <row r="77" spans="1:3" ht="24" customHeight="1">
      <c r="A77" s="14"/>
      <c r="B77" s="17"/>
      <c r="C77" s="9"/>
    </row>
    <row r="78" spans="1:3" ht="24" customHeight="1">
      <c r="A78" s="14" t="s">
        <v>68</v>
      </c>
      <c r="B78" s="36">
        <f>+SUM(B73:B76)</f>
        <v>0</v>
      </c>
      <c r="C78" s="9"/>
    </row>
    <row r="79" spans="1:3" ht="15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42"/>
  <sheetViews>
    <sheetView workbookViewId="0">
      <pane xSplit="2" ySplit="7" topLeftCell="C42" activePane="bottomRight" state="frozen"/>
      <selection pane="topRight" activeCell="C1" sqref="C1"/>
      <selection pane="bottomLeft" activeCell="A14" sqref="A14"/>
      <selection pane="bottomRight" activeCell="B30" sqref="B30"/>
    </sheetView>
  </sheetViews>
  <sheetFormatPr defaultColWidth="11" defaultRowHeight="14.25"/>
  <cols>
    <col min="1" max="1" width="76.7109375" style="1" customWidth="1"/>
    <col min="2" max="2" width="27.42578125" style="2" bestFit="1" customWidth="1"/>
    <col min="3" max="4" width="19.85546875" customWidth="1"/>
    <col min="5" max="191" width="11.42578125" customWidth="1"/>
    <col min="192" max="192" width="31.5703125" customWidth="1"/>
    <col min="193" max="193" width="30" customWidth="1"/>
    <col min="194" max="194" width="4.85546875" customWidth="1"/>
    <col min="195" max="195" width="2.28515625" customWidth="1"/>
    <col min="196" max="200" width="0" hidden="1" customWidth="1"/>
    <col min="201" max="201" width="0.42578125" customWidth="1"/>
    <col min="202" max="209" width="3.85546875" customWidth="1"/>
    <col min="210" max="210" width="0.42578125" customWidth="1"/>
    <col min="211" max="211" width="3" customWidth="1"/>
    <col min="212" max="218" width="3.140625" customWidth="1"/>
    <col min="219" max="219" width="0.42578125" customWidth="1"/>
    <col min="220" max="227" width="3.140625" customWidth="1"/>
    <col min="228" max="228" width="0.42578125" customWidth="1"/>
    <col min="229" max="234" width="3.140625" customWidth="1"/>
    <col min="235" max="235" width="3.28515625" customWidth="1"/>
    <col min="236" max="236" width="3.7109375" customWidth="1"/>
    <col min="237" max="237" width="0.85546875" customWidth="1"/>
    <col min="238" max="244" width="3.140625" customWidth="1"/>
    <col min="245" max="245" width="0.42578125" customWidth="1"/>
    <col min="246" max="253" width="3.140625" customWidth="1"/>
    <col min="254" max="254" width="0.28515625" customWidth="1"/>
  </cols>
  <sheetData>
    <row r="1" spans="1:9">
      <c r="A1" s="3"/>
      <c r="B1" s="4"/>
      <c r="I1" t="s">
        <v>69</v>
      </c>
    </row>
    <row r="2" spans="1:9" ht="15">
      <c r="A2" s="6" t="s">
        <v>0</v>
      </c>
      <c r="B2" s="7" t="s">
        <v>70</v>
      </c>
    </row>
    <row r="3" spans="1:9" ht="15">
      <c r="A3" s="6"/>
      <c r="B3" s="7"/>
    </row>
    <row r="4" spans="1:9" ht="24" customHeight="1">
      <c r="A4" s="6" t="s">
        <v>4</v>
      </c>
      <c r="B4" s="10">
        <v>1</v>
      </c>
    </row>
    <row r="5" spans="1:9" ht="24" customHeight="1">
      <c r="B5" s="37"/>
    </row>
    <row r="6" spans="1:9" ht="24" customHeight="1">
      <c r="A6" s="11" t="s">
        <v>5</v>
      </c>
      <c r="B6" s="38">
        <v>92</v>
      </c>
    </row>
    <row r="7" spans="1:9" ht="54">
      <c r="A7" s="12" t="s">
        <v>6</v>
      </c>
      <c r="B7" s="506" t="s">
        <v>831</v>
      </c>
    </row>
    <row r="8" spans="1:9" ht="24" customHeight="1">
      <c r="A8" s="40" t="s">
        <v>71</v>
      </c>
      <c r="B8" s="41">
        <v>238365.69</v>
      </c>
    </row>
    <row r="9" spans="1:9" ht="24" customHeight="1">
      <c r="A9" s="40" t="s">
        <v>72</v>
      </c>
      <c r="B9" s="41">
        <v>0</v>
      </c>
    </row>
    <row r="10" spans="1:9" ht="24" customHeight="1">
      <c r="A10" s="40" t="s">
        <v>73</v>
      </c>
      <c r="B10" s="41">
        <v>127211</v>
      </c>
    </row>
    <row r="11" spans="1:9" ht="24" customHeight="1">
      <c r="A11" s="40" t="s">
        <v>74</v>
      </c>
      <c r="B11" s="41">
        <v>0</v>
      </c>
    </row>
    <row r="12" spans="1:9" ht="24" customHeight="1">
      <c r="A12" s="40" t="s">
        <v>75</v>
      </c>
      <c r="B12" s="41">
        <v>111154.69</v>
      </c>
    </row>
    <row r="13" spans="1:9" ht="24" customHeight="1">
      <c r="A13" s="40" t="s">
        <v>76</v>
      </c>
      <c r="B13" s="41">
        <v>975486.61</v>
      </c>
      <c r="C13" s="16"/>
      <c r="D13" s="16"/>
      <c r="E13" s="16"/>
      <c r="F13" s="16"/>
    </row>
    <row r="14" spans="1:9" ht="24" customHeight="1">
      <c r="A14" s="40" t="s">
        <v>77</v>
      </c>
      <c r="B14" s="41">
        <v>919053.12</v>
      </c>
      <c r="C14" s="16"/>
      <c r="D14" s="16"/>
      <c r="E14" s="16"/>
      <c r="F14" s="16"/>
    </row>
    <row r="15" spans="1:9" ht="24" customHeight="1">
      <c r="A15" s="40" t="s">
        <v>78</v>
      </c>
      <c r="B15" s="41">
        <v>923643.75</v>
      </c>
      <c r="C15" s="16"/>
      <c r="D15" s="16"/>
      <c r="E15" s="16"/>
      <c r="F15" s="16"/>
    </row>
    <row r="16" spans="1:9" ht="24" customHeight="1">
      <c r="A16" s="40" t="s">
        <v>79</v>
      </c>
      <c r="B16" s="41">
        <f>B15</f>
        <v>923643.75</v>
      </c>
      <c r="C16" s="16"/>
      <c r="D16" s="16"/>
      <c r="E16" s="16"/>
      <c r="F16" s="16"/>
    </row>
    <row r="17" spans="1:6" ht="24" customHeight="1">
      <c r="A17" s="40" t="s">
        <v>80</v>
      </c>
      <c r="B17" s="41">
        <v>0</v>
      </c>
      <c r="C17" s="16"/>
      <c r="D17" s="16"/>
      <c r="E17" s="16"/>
      <c r="F17" s="16"/>
    </row>
    <row r="18" spans="1:6" ht="24" customHeight="1">
      <c r="A18" s="40" t="s">
        <v>81</v>
      </c>
      <c r="B18" s="41">
        <v>186522.83</v>
      </c>
      <c r="C18" s="16"/>
      <c r="D18" s="16"/>
      <c r="E18" s="16"/>
      <c r="F18" s="16"/>
    </row>
    <row r="19" spans="1:6" ht="24" customHeight="1">
      <c r="A19" s="40" t="s">
        <v>38</v>
      </c>
      <c r="B19" s="41">
        <v>0</v>
      </c>
    </row>
    <row r="20" spans="1:6" ht="24" customHeight="1">
      <c r="A20" s="40" t="s">
        <v>82</v>
      </c>
      <c r="B20" s="41">
        <v>0</v>
      </c>
    </row>
    <row r="21" spans="1:6" ht="24" customHeight="1">
      <c r="A21" s="40" t="s">
        <v>83</v>
      </c>
      <c r="B21" s="41">
        <f>B18</f>
        <v>186522.83</v>
      </c>
    </row>
    <row r="22" spans="1:6" ht="24" customHeight="1">
      <c r="A22" s="40" t="s">
        <v>84</v>
      </c>
      <c r="B22" s="42">
        <v>0</v>
      </c>
    </row>
    <row r="23" spans="1:6" ht="24" customHeight="1">
      <c r="A23" s="40" t="s">
        <v>85</v>
      </c>
      <c r="B23" s="224">
        <v>0</v>
      </c>
      <c r="E23" s="43">
        <f>+B23-B41</f>
        <v>0</v>
      </c>
    </row>
    <row r="24" spans="1:6" ht="24" customHeight="1">
      <c r="A24" s="40" t="s">
        <v>86</v>
      </c>
      <c r="B24" s="229">
        <v>0</v>
      </c>
    </row>
    <row r="25" spans="1:6" ht="24" customHeight="1">
      <c r="A25" s="40" t="s">
        <v>87</v>
      </c>
      <c r="B25" s="41">
        <v>0</v>
      </c>
    </row>
    <row r="26" spans="1:6" ht="24" customHeight="1">
      <c r="A26" s="40" t="s">
        <v>88</v>
      </c>
      <c r="B26" s="41">
        <v>51842.86</v>
      </c>
    </row>
    <row r="27" spans="1:6" ht="24" customHeight="1">
      <c r="A27" s="40" t="s">
        <v>89</v>
      </c>
      <c r="B27" s="41">
        <f>+B26</f>
        <v>51842.86</v>
      </c>
    </row>
    <row r="28" spans="1:6" ht="24" customHeight="1">
      <c r="A28" s="40" t="s">
        <v>90</v>
      </c>
      <c r="B28" s="41">
        <v>127211</v>
      </c>
    </row>
    <row r="29" spans="1:6" ht="24" customHeight="1">
      <c r="A29" s="40" t="s">
        <v>91</v>
      </c>
      <c r="B29" s="44">
        <v>0.94679999999999997</v>
      </c>
    </row>
    <row r="30" spans="1:6" ht="24" customHeight="1">
      <c r="A30" s="40" t="s">
        <v>92</v>
      </c>
      <c r="B30" s="44">
        <f>B29</f>
        <v>0.94679999999999997</v>
      </c>
    </row>
    <row r="31" spans="1:6" ht="24" customHeight="1">
      <c r="A31" s="40"/>
      <c r="B31" s="45"/>
    </row>
    <row r="32" spans="1:6" ht="24" customHeight="1">
      <c r="A32" s="40"/>
      <c r="B32" s="45"/>
    </row>
    <row r="33" spans="1:61" ht="24" customHeight="1">
      <c r="A33" s="40"/>
      <c r="B33" s="45"/>
      <c r="BA33" s="28"/>
      <c r="BB33" s="16"/>
      <c r="BC33" s="16"/>
      <c r="BD33" s="16"/>
      <c r="BE33" s="16"/>
      <c r="BF33" s="16"/>
      <c r="BG33" s="16"/>
      <c r="BH33" s="16"/>
      <c r="BI33" s="16"/>
    </row>
    <row r="34" spans="1:61" ht="24" customHeight="1">
      <c r="A34" s="40"/>
      <c r="B34" s="45"/>
    </row>
    <row r="35" spans="1:61" ht="24" customHeight="1">
      <c r="A35" s="40"/>
      <c r="B35" s="45"/>
    </row>
    <row r="36" spans="1:61" ht="24" customHeight="1">
      <c r="A36" s="40"/>
      <c r="B36" s="45"/>
    </row>
    <row r="37" spans="1:61" ht="24" customHeight="1">
      <c r="A37" s="40"/>
      <c r="B37" s="44"/>
    </row>
    <row r="38" spans="1:61" ht="24" customHeight="1">
      <c r="A38" s="40"/>
      <c r="B38" s="41"/>
    </row>
    <row r="39" spans="1:61" ht="24" customHeight="1">
      <c r="A39" s="40"/>
      <c r="B39" s="41"/>
    </row>
    <row r="40" spans="1:61" ht="24" customHeight="1">
      <c r="A40" s="40"/>
      <c r="B40" s="44"/>
    </row>
    <row r="41" spans="1:61" ht="24" customHeight="1">
      <c r="A41" s="40"/>
      <c r="B41" s="51"/>
    </row>
    <row r="42" spans="1:61" ht="24" customHeight="1">
      <c r="A42" s="40"/>
      <c r="B42" s="45"/>
      <c r="BA42" s="28"/>
      <c r="BB42" s="16"/>
      <c r="BC42" s="16"/>
      <c r="BD42" s="16"/>
      <c r="BE42" s="16"/>
      <c r="BF42" s="16"/>
      <c r="BG42" s="16"/>
      <c r="BH42" s="16"/>
      <c r="BI42" s="1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I42"/>
  <sheetViews>
    <sheetView zoomScale="98" zoomScaleNormal="98" workbookViewId="0">
      <pane xSplit="2" ySplit="7" topLeftCell="C26" activePane="bottomRight" state="frozen"/>
      <selection pane="topRight" activeCell="C1" sqref="C1"/>
      <selection pane="bottomLeft" activeCell="A17" sqref="A17"/>
      <selection pane="bottomRight" activeCell="B30" sqref="B30"/>
    </sheetView>
  </sheetViews>
  <sheetFormatPr defaultColWidth="11" defaultRowHeight="14.25"/>
  <cols>
    <col min="1" max="1" width="75.85546875" style="1" bestFit="1" customWidth="1"/>
    <col min="2" max="2" width="30.42578125" style="2" bestFit="1" customWidth="1"/>
    <col min="3" max="4" width="19.85546875" customWidth="1"/>
    <col min="5" max="191" width="11.42578125" customWidth="1"/>
    <col min="192" max="192" width="31.5703125" customWidth="1"/>
    <col min="193" max="193" width="30" customWidth="1"/>
    <col min="194" max="194" width="4.85546875" customWidth="1"/>
    <col min="195" max="195" width="2.28515625" customWidth="1"/>
    <col min="196" max="200" width="0" hidden="1" customWidth="1"/>
    <col min="201" max="201" width="0.42578125" customWidth="1"/>
    <col min="202" max="209" width="3.85546875" customWidth="1"/>
    <col min="210" max="210" width="0.42578125" customWidth="1"/>
    <col min="211" max="211" width="3" customWidth="1"/>
    <col min="212" max="218" width="3.140625" customWidth="1"/>
    <col min="219" max="219" width="0.42578125" customWidth="1"/>
    <col min="220" max="227" width="3.140625" customWidth="1"/>
    <col min="228" max="228" width="0.42578125" customWidth="1"/>
    <col min="229" max="234" width="3.140625" customWidth="1"/>
    <col min="235" max="235" width="3.28515625" customWidth="1"/>
    <col min="236" max="236" width="3.7109375" customWidth="1"/>
    <col min="237" max="237" width="0.85546875" customWidth="1"/>
    <col min="238" max="244" width="3.140625" customWidth="1"/>
    <col min="245" max="245" width="0.42578125" customWidth="1"/>
    <col min="246" max="253" width="3.140625" customWidth="1"/>
    <col min="254" max="254" width="0.28515625" customWidth="1"/>
  </cols>
  <sheetData>
    <row r="1" spans="1:9">
      <c r="A1" s="3"/>
      <c r="B1" s="4"/>
      <c r="I1" t="s">
        <v>69</v>
      </c>
    </row>
    <row r="2" spans="1:9" ht="15">
      <c r="A2" s="6" t="s">
        <v>0</v>
      </c>
      <c r="B2" s="7" t="s">
        <v>70</v>
      </c>
    </row>
    <row r="3" spans="1:9" ht="15">
      <c r="A3" s="6"/>
      <c r="B3" s="7"/>
    </row>
    <row r="4" spans="1:9" ht="24" customHeight="1">
      <c r="A4" s="6" t="s">
        <v>4</v>
      </c>
      <c r="B4" s="10">
        <v>1</v>
      </c>
    </row>
    <row r="5" spans="1:9" ht="24" customHeight="1">
      <c r="B5" s="37"/>
    </row>
    <row r="6" spans="1:9" ht="24" customHeight="1">
      <c r="A6" s="11" t="s">
        <v>5</v>
      </c>
      <c r="B6" s="38">
        <v>91</v>
      </c>
    </row>
    <row r="7" spans="1:9" ht="36">
      <c r="A7" s="12" t="s">
        <v>6</v>
      </c>
      <c r="B7" s="517" t="s">
        <v>835</v>
      </c>
    </row>
    <row r="8" spans="1:9" ht="24" customHeight="1">
      <c r="A8" s="40" t="s">
        <v>71</v>
      </c>
      <c r="B8" s="41">
        <v>306561.96000000002</v>
      </c>
    </row>
    <row r="9" spans="1:9" ht="24" customHeight="1">
      <c r="A9" s="40" t="s">
        <v>72</v>
      </c>
      <c r="B9" s="41">
        <v>0</v>
      </c>
    </row>
    <row r="10" spans="1:9" ht="24" customHeight="1">
      <c r="A10" s="40" t="s">
        <v>73</v>
      </c>
      <c r="B10" s="41">
        <v>148748</v>
      </c>
    </row>
    <row r="11" spans="1:9" ht="24" customHeight="1">
      <c r="A11" s="40" t="s">
        <v>74</v>
      </c>
      <c r="B11" s="41">
        <v>0</v>
      </c>
    </row>
    <row r="12" spans="1:9" ht="24" customHeight="1">
      <c r="A12" s="40" t="s">
        <v>75</v>
      </c>
      <c r="B12" s="41">
        <v>157813.96</v>
      </c>
      <c r="C12">
        <v>47</v>
      </c>
    </row>
    <row r="13" spans="1:9" ht="24" customHeight="1">
      <c r="A13" s="40" t="s">
        <v>76</v>
      </c>
      <c r="B13" s="41">
        <v>1058066.49</v>
      </c>
      <c r="C13" s="16"/>
      <c r="D13" s="16"/>
      <c r="E13" s="16"/>
      <c r="F13" s="16"/>
    </row>
    <row r="14" spans="1:9" ht="24" customHeight="1">
      <c r="A14" s="40" t="s">
        <v>77</v>
      </c>
      <c r="B14" s="41">
        <v>1004415.66</v>
      </c>
      <c r="C14" s="16"/>
      <c r="D14" s="16"/>
      <c r="E14" s="16"/>
      <c r="F14" s="16"/>
    </row>
    <row r="15" spans="1:9" ht="24" customHeight="1">
      <c r="A15" s="40" t="s">
        <v>78</v>
      </c>
      <c r="B15" s="41">
        <v>1009019.3</v>
      </c>
      <c r="C15" s="16"/>
      <c r="D15" s="16"/>
      <c r="E15" s="16"/>
      <c r="F15" s="16"/>
    </row>
    <row r="16" spans="1:9" ht="24" customHeight="1">
      <c r="A16" s="40" t="s">
        <v>79</v>
      </c>
      <c r="B16" s="41">
        <f>B15</f>
        <v>1009019.3</v>
      </c>
      <c r="C16" s="16"/>
      <c r="D16" s="16"/>
      <c r="E16" s="16"/>
      <c r="F16" s="16"/>
    </row>
    <row r="17" spans="1:6" ht="24" customHeight="1">
      <c r="A17" s="40" t="s">
        <v>80</v>
      </c>
      <c r="B17" s="41">
        <v>0</v>
      </c>
      <c r="C17" s="16"/>
      <c r="D17" s="16"/>
      <c r="E17" s="16"/>
      <c r="F17" s="16"/>
    </row>
    <row r="18" spans="1:6" ht="24" customHeight="1">
      <c r="A18" s="40" t="s">
        <v>81</v>
      </c>
      <c r="B18" s="41">
        <v>257514.77</v>
      </c>
      <c r="C18" s="16"/>
      <c r="D18" s="16"/>
      <c r="E18" s="16"/>
      <c r="F18" s="16"/>
    </row>
    <row r="19" spans="1:6" ht="24" customHeight="1">
      <c r="A19" s="40" t="s">
        <v>38</v>
      </c>
      <c r="B19" s="45">
        <v>0</v>
      </c>
    </row>
    <row r="20" spans="1:6" ht="24" customHeight="1">
      <c r="A20" s="40" t="s">
        <v>82</v>
      </c>
      <c r="B20" s="45">
        <v>0</v>
      </c>
    </row>
    <row r="21" spans="1:6" ht="24" customHeight="1">
      <c r="A21" s="40" t="s">
        <v>83</v>
      </c>
      <c r="B21" s="41">
        <f>B18</f>
        <v>257514.77</v>
      </c>
    </row>
    <row r="22" spans="1:6" ht="24" customHeight="1">
      <c r="A22" s="40" t="s">
        <v>84</v>
      </c>
      <c r="B22" s="42">
        <v>0</v>
      </c>
    </row>
    <row r="23" spans="1:6" ht="24" customHeight="1">
      <c r="A23" s="40" t="s">
        <v>85</v>
      </c>
      <c r="B23" s="224">
        <v>0</v>
      </c>
      <c r="E23" s="43">
        <f>+B23-B41</f>
        <v>0</v>
      </c>
    </row>
    <row r="24" spans="1:6" ht="24" customHeight="1">
      <c r="A24" s="40" t="s">
        <v>86</v>
      </c>
      <c r="B24" s="229">
        <v>0</v>
      </c>
    </row>
    <row r="25" spans="1:6" ht="24" customHeight="1">
      <c r="A25" s="40" t="s">
        <v>87</v>
      </c>
      <c r="B25" s="41">
        <v>0</v>
      </c>
    </row>
    <row r="26" spans="1:6" ht="24" customHeight="1">
      <c r="A26" s="40" t="s">
        <v>88</v>
      </c>
      <c r="B26" s="41">
        <v>49047.19</v>
      </c>
    </row>
    <row r="27" spans="1:6" ht="24" customHeight="1">
      <c r="A27" s="40" t="s">
        <v>89</v>
      </c>
      <c r="B27" s="41">
        <f>B26</f>
        <v>49047.19</v>
      </c>
    </row>
    <row r="28" spans="1:6" ht="24" customHeight="1">
      <c r="A28" s="40" t="s">
        <v>90</v>
      </c>
      <c r="B28" s="41">
        <v>148748</v>
      </c>
    </row>
    <row r="29" spans="1:6" ht="24" customHeight="1">
      <c r="A29" s="40" t="s">
        <v>91</v>
      </c>
      <c r="B29" s="44">
        <v>0.9536</v>
      </c>
    </row>
    <row r="30" spans="1:6" ht="24" customHeight="1">
      <c r="A30" s="40" t="s">
        <v>92</v>
      </c>
      <c r="B30" s="44">
        <f>B29</f>
        <v>0.9536</v>
      </c>
    </row>
    <row r="31" spans="1:6" ht="24" customHeight="1">
      <c r="A31" s="40"/>
      <c r="B31" s="45"/>
    </row>
    <row r="32" spans="1:6" ht="24" customHeight="1">
      <c r="A32" s="40"/>
      <c r="B32" s="45"/>
    </row>
    <row r="33" spans="1:61" ht="24" customHeight="1">
      <c r="A33" s="40"/>
      <c r="B33" s="45"/>
      <c r="BA33" s="28"/>
      <c r="BB33" s="16"/>
      <c r="BC33" s="16"/>
      <c r="BD33" s="16"/>
      <c r="BE33" s="16"/>
      <c r="BF33" s="16"/>
      <c r="BG33" s="16"/>
      <c r="BH33" s="16"/>
      <c r="BI33" s="16"/>
    </row>
    <row r="34" spans="1:61" ht="24" customHeight="1">
      <c r="A34" s="40"/>
      <c r="B34" s="45"/>
    </row>
    <row r="35" spans="1:61" ht="24" customHeight="1">
      <c r="A35" s="40"/>
      <c r="B35" s="45"/>
    </row>
    <row r="36" spans="1:61" ht="24" customHeight="1">
      <c r="A36" s="40"/>
      <c r="B36" s="45"/>
    </row>
    <row r="37" spans="1:61" ht="24" customHeight="1">
      <c r="A37" s="40"/>
      <c r="B37" s="44"/>
    </row>
    <row r="38" spans="1:61" ht="24" customHeight="1">
      <c r="A38" s="40"/>
      <c r="B38" s="41"/>
    </row>
    <row r="39" spans="1:61" ht="24" customHeight="1">
      <c r="A39" s="40"/>
      <c r="B39" s="41"/>
    </row>
    <row r="40" spans="1:61" ht="24" customHeight="1">
      <c r="A40" s="40"/>
      <c r="B40" s="44"/>
    </row>
    <row r="41" spans="1:61" ht="24" customHeight="1">
      <c r="A41" s="40"/>
      <c r="B41" s="51"/>
    </row>
    <row r="42" spans="1:61" ht="24" customHeight="1">
      <c r="A42" s="40"/>
      <c r="B42" s="45"/>
      <c r="BA42" s="28"/>
      <c r="BB42" s="16"/>
      <c r="BC42" s="16"/>
      <c r="BD42" s="16"/>
      <c r="BE42" s="16"/>
      <c r="BF42" s="16"/>
      <c r="BG42" s="16"/>
      <c r="BH42" s="16"/>
      <c r="BI42" s="1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55"/>
  </sheetPr>
  <dimension ref="A1:BJ75"/>
  <sheetViews>
    <sheetView workbookViewId="0">
      <pane xSplit="3" ySplit="7" topLeftCell="D62" activePane="bottomRight" state="frozen"/>
      <selection pane="topRight" activeCell="D1" sqref="D1"/>
      <selection pane="bottomLeft" activeCell="A42" sqref="A42"/>
      <selection pane="bottomRight" activeCell="B67" sqref="B67"/>
    </sheetView>
  </sheetViews>
  <sheetFormatPr defaultColWidth="11" defaultRowHeight="14.25"/>
  <cols>
    <col min="1" max="1" width="41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9">
      <c r="A1" s="3"/>
      <c r="B1" s="4"/>
      <c r="C1" s="5"/>
    </row>
    <row r="2" spans="1:9" ht="15">
      <c r="A2" s="6" t="s">
        <v>0</v>
      </c>
      <c r="B2" s="7" t="s">
        <v>1</v>
      </c>
      <c r="C2" s="8" t="s">
        <v>2</v>
      </c>
    </row>
    <row r="3" spans="1:9" ht="15">
      <c r="A3" s="6"/>
      <c r="B3" s="7" t="s">
        <v>3</v>
      </c>
      <c r="C3" s="9"/>
    </row>
    <row r="4" spans="1:9" ht="15">
      <c r="A4" s="6" t="s">
        <v>4</v>
      </c>
      <c r="B4" s="10">
        <v>1</v>
      </c>
      <c r="C4" s="9"/>
      <c r="I4">
        <v>2</v>
      </c>
    </row>
    <row r="5" spans="1:9" ht="12.75" customHeight="1">
      <c r="C5" s="9"/>
    </row>
    <row r="6" spans="1:9" ht="23.25">
      <c r="A6" s="11" t="s">
        <v>5</v>
      </c>
      <c r="B6" s="52">
        <v>40</v>
      </c>
      <c r="C6" s="9"/>
    </row>
    <row r="7" spans="1:9" ht="24" customHeight="1">
      <c r="A7" s="12" t="s">
        <v>6</v>
      </c>
      <c r="B7" s="13" t="s">
        <v>7</v>
      </c>
      <c r="C7" s="9"/>
    </row>
    <row r="8" spans="1:9" ht="24" customHeight="1">
      <c r="A8" s="14" t="s">
        <v>8</v>
      </c>
      <c r="B8" s="15">
        <v>17484784.030000001</v>
      </c>
      <c r="C8" s="14"/>
    </row>
    <row r="9" spans="1:9" ht="24" customHeight="1">
      <c r="A9" s="14" t="s">
        <v>9</v>
      </c>
      <c r="B9" s="15">
        <f>+B8</f>
        <v>17484784.030000001</v>
      </c>
      <c r="C9" s="14"/>
    </row>
    <row r="10" spans="1:9" ht="24" customHeight="1">
      <c r="A10" s="14" t="s">
        <v>93</v>
      </c>
      <c r="B10" s="15">
        <v>0</v>
      </c>
      <c r="C10" s="14"/>
    </row>
    <row r="11" spans="1:9" ht="24" customHeight="1">
      <c r="A11" s="14" t="s">
        <v>95</v>
      </c>
      <c r="B11" s="15">
        <v>0</v>
      </c>
      <c r="C11" s="14"/>
    </row>
    <row r="12" spans="1:9" ht="24" customHeight="1">
      <c r="A12" s="14"/>
      <c r="B12" s="15"/>
      <c r="C12" s="14"/>
    </row>
    <row r="13" spans="1:9" ht="24" customHeight="1">
      <c r="A13" s="14" t="s">
        <v>12</v>
      </c>
      <c r="B13" s="15">
        <v>16717389.4</v>
      </c>
      <c r="C13" s="9"/>
      <c r="D13" s="16"/>
      <c r="E13" s="16"/>
      <c r="F13" s="16"/>
      <c r="G13" s="16"/>
    </row>
    <row r="14" spans="1:9" ht="24" customHeight="1">
      <c r="A14" s="14" t="s">
        <v>13</v>
      </c>
      <c r="B14" s="15">
        <v>16656201.4</v>
      </c>
      <c r="C14" s="9"/>
      <c r="D14" s="16"/>
      <c r="E14" s="16"/>
      <c r="F14" s="16"/>
      <c r="G14" s="16"/>
    </row>
    <row r="15" spans="1:9" ht="24" customHeight="1">
      <c r="A15" s="14" t="s">
        <v>96</v>
      </c>
      <c r="B15" s="15">
        <f>B14</f>
        <v>16656201.4</v>
      </c>
      <c r="C15" s="9"/>
      <c r="D15" s="16"/>
      <c r="E15" s="16"/>
      <c r="F15" s="16"/>
      <c r="G15" s="16"/>
    </row>
    <row r="16" spans="1:9" ht="24" customHeight="1">
      <c r="A16" s="14" t="s">
        <v>15</v>
      </c>
      <c r="B16" s="15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5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61188</v>
      </c>
      <c r="C18" s="9"/>
      <c r="D18" s="16"/>
      <c r="E18" s="16"/>
      <c r="F18" s="16"/>
      <c r="G18" s="16">
        <v>2</v>
      </c>
    </row>
    <row r="19" spans="1:62" ht="24" customHeight="1">
      <c r="A19" s="14" t="s">
        <v>97</v>
      </c>
      <c r="B19" s="15">
        <f>B18</f>
        <v>61188</v>
      </c>
      <c r="C19" s="9"/>
    </row>
    <row r="20" spans="1:62" ht="24" customHeight="1">
      <c r="A20" s="14" t="s">
        <v>19</v>
      </c>
      <c r="B20" s="15">
        <v>0</v>
      </c>
      <c r="C20" s="9"/>
    </row>
    <row r="21" spans="1:62" ht="24" customHeight="1">
      <c r="A21" s="14" t="s">
        <v>20</v>
      </c>
      <c r="B21" s="15">
        <v>0</v>
      </c>
      <c r="C21" s="9"/>
    </row>
    <row r="22" spans="1:62" ht="24" customHeight="1">
      <c r="A22" s="14"/>
      <c r="B22" s="15"/>
      <c r="C22" s="9"/>
    </row>
    <row r="23" spans="1:62" ht="8.25" customHeight="1">
      <c r="A23" s="18"/>
      <c r="B23" s="53"/>
      <c r="C23" s="20"/>
    </row>
    <row r="24" spans="1:62" ht="24" customHeight="1">
      <c r="A24" s="14" t="s">
        <v>24</v>
      </c>
      <c r="B24" s="54">
        <v>4495301.8499999996</v>
      </c>
      <c r="C24" s="9"/>
    </row>
    <row r="25" spans="1:62" ht="24" customHeight="1">
      <c r="A25" s="14" t="s">
        <v>25</v>
      </c>
      <c r="B25" s="54">
        <v>0</v>
      </c>
      <c r="C25" s="9"/>
      <c r="E25" t="s">
        <v>105</v>
      </c>
    </row>
    <row r="26" spans="1:62" ht="24" customHeight="1">
      <c r="A26" s="22" t="s">
        <v>26</v>
      </c>
      <c r="B26" s="55">
        <v>3116190</v>
      </c>
      <c r="C26" s="24"/>
      <c r="E26" t="b">
        <f>B24=B26+B27</f>
        <v>1</v>
      </c>
    </row>
    <row r="27" spans="1:62" ht="24" customHeight="1">
      <c r="A27" s="14" t="s">
        <v>27</v>
      </c>
      <c r="B27" s="56">
        <v>1379111.85</v>
      </c>
      <c r="C27" s="9"/>
    </row>
    <row r="28" spans="1:62" ht="24" customHeight="1">
      <c r="A28" s="1" t="s">
        <v>28</v>
      </c>
      <c r="B28" s="56">
        <f>B27</f>
        <v>1379111.85</v>
      </c>
      <c r="C28" s="27"/>
      <c r="E28" s="57"/>
      <c r="BB28" s="28"/>
      <c r="BC28" s="16"/>
      <c r="BD28" s="16"/>
      <c r="BE28" s="16"/>
      <c r="BF28" s="16"/>
      <c r="BG28" s="16"/>
      <c r="BH28" s="16"/>
      <c r="BI28" s="16"/>
      <c r="BJ28" s="16"/>
    </row>
    <row r="29" spans="1:62" ht="24" customHeight="1">
      <c r="A29" s="14" t="s">
        <v>29</v>
      </c>
      <c r="B29" s="56">
        <v>0</v>
      </c>
      <c r="C29" s="27"/>
    </row>
    <row r="30" spans="1:62" ht="24" customHeight="1">
      <c r="A30" s="14" t="s">
        <v>30</v>
      </c>
      <c r="B30" s="56">
        <v>0</v>
      </c>
      <c r="C30" s="9"/>
    </row>
    <row r="31" spans="1:62" ht="24" customHeight="1">
      <c r="A31" s="14" t="s">
        <v>106</v>
      </c>
      <c r="B31" s="56">
        <v>0</v>
      </c>
      <c r="C31" s="9"/>
    </row>
    <row r="32" spans="1:62" s="60" customFormat="1" ht="24" customHeight="1">
      <c r="A32" s="58"/>
      <c r="B32" s="54">
        <v>0</v>
      </c>
      <c r="C32" s="59"/>
    </row>
    <row r="33" spans="1:62" s="60" customFormat="1" ht="24" customHeight="1">
      <c r="A33" s="14" t="s">
        <v>99</v>
      </c>
      <c r="B33" s="15"/>
      <c r="C33" s="59"/>
    </row>
    <row r="34" spans="1:62" s="60" customFormat="1" ht="24" customHeight="1">
      <c r="A34" s="14" t="s">
        <v>100</v>
      </c>
      <c r="B34" s="15">
        <v>0</v>
      </c>
      <c r="C34" s="59"/>
    </row>
    <row r="35" spans="1:62" s="60" customFormat="1" ht="24" customHeight="1">
      <c r="A35" s="14" t="s">
        <v>101</v>
      </c>
      <c r="B35" s="15">
        <v>0</v>
      </c>
      <c r="C35" s="59"/>
    </row>
    <row r="36" spans="1:62" s="60" customFormat="1" ht="24" customHeight="1">
      <c r="A36" s="14" t="s">
        <v>102</v>
      </c>
      <c r="B36" s="15">
        <v>0</v>
      </c>
      <c r="C36" s="59"/>
    </row>
    <row r="37" spans="1:62" s="60" customFormat="1" ht="24" customHeight="1">
      <c r="A37" s="14" t="s">
        <v>36</v>
      </c>
      <c r="B37" s="15"/>
      <c r="C37" s="59"/>
    </row>
    <row r="38" spans="1:62" ht="24" customHeight="1">
      <c r="A38" s="14" t="s">
        <v>37</v>
      </c>
      <c r="B38" s="25">
        <v>3727907.22</v>
      </c>
      <c r="C38" s="9"/>
    </row>
    <row r="39" spans="1:62" ht="24" customHeight="1">
      <c r="A39" s="61" t="s">
        <v>38</v>
      </c>
      <c r="B39" s="26">
        <v>0</v>
      </c>
      <c r="C39" s="62"/>
    </row>
    <row r="40" spans="1:62" ht="24" customHeight="1">
      <c r="A40" s="1" t="s">
        <v>39</v>
      </c>
      <c r="B40" s="26">
        <v>61188</v>
      </c>
      <c r="C40" s="9"/>
      <c r="BB40" s="28"/>
      <c r="BC40" s="16"/>
      <c r="BD40" s="16"/>
      <c r="BE40" s="16"/>
      <c r="BF40" s="16"/>
      <c r="BG40" s="16"/>
      <c r="BH40" s="16"/>
      <c r="BI40" s="16"/>
      <c r="BJ40" s="16"/>
    </row>
    <row r="41" spans="1:62" ht="24" customHeight="1">
      <c r="A41" s="63" t="s">
        <v>107</v>
      </c>
      <c r="B41" s="15">
        <v>2880.64</v>
      </c>
      <c r="C41" s="9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2" ht="23.25">
      <c r="A42" s="31" t="s">
        <v>41</v>
      </c>
      <c r="B42" s="32">
        <v>0</v>
      </c>
      <c r="C42" s="9"/>
    </row>
    <row r="43" spans="1:62" ht="24" customHeight="1">
      <c r="A43" s="14" t="s">
        <v>42</v>
      </c>
      <c r="B43" s="15">
        <v>0</v>
      </c>
      <c r="C43" s="27"/>
    </row>
    <row r="44" spans="1:62" ht="24" customHeight="1">
      <c r="A44" s="14" t="s">
        <v>43</v>
      </c>
      <c r="B44" s="15">
        <v>0</v>
      </c>
      <c r="C44" s="9"/>
    </row>
    <row r="45" spans="1:62" ht="24" customHeight="1">
      <c r="A45" s="14" t="s">
        <v>44</v>
      </c>
      <c r="B45" s="15">
        <v>3663838.58</v>
      </c>
      <c r="C45" s="9"/>
    </row>
    <row r="46" spans="1:62" ht="24" customHeight="1">
      <c r="A46" s="14" t="s">
        <v>45</v>
      </c>
      <c r="B46" s="15">
        <f>+B45</f>
        <v>3663838.58</v>
      </c>
      <c r="C46" s="9"/>
    </row>
    <row r="47" spans="1:62" ht="24" customHeight="1">
      <c r="A47" s="14" t="s">
        <v>46</v>
      </c>
      <c r="B47" s="15">
        <v>0</v>
      </c>
      <c r="C47" s="9"/>
    </row>
    <row r="48" spans="1:62" ht="24" customHeight="1">
      <c r="A48" s="14" t="s">
        <v>47</v>
      </c>
      <c r="B48" s="15">
        <v>0</v>
      </c>
      <c r="C48" s="9"/>
    </row>
    <row r="49" spans="1:3" ht="8.25" customHeight="1">
      <c r="A49" s="18"/>
      <c r="B49" s="53"/>
      <c r="C49" s="20"/>
    </row>
    <row r="50" spans="1:3" ht="24" customHeight="1">
      <c r="A50" s="14" t="s">
        <v>48</v>
      </c>
      <c r="B50" s="15">
        <v>3666719.22</v>
      </c>
      <c r="C50" s="9"/>
    </row>
    <row r="51" spans="1:3" ht="24" customHeight="1">
      <c r="A51" s="14"/>
      <c r="B51" s="15"/>
      <c r="C51" s="9"/>
    </row>
    <row r="52" spans="1:3" ht="24" customHeight="1">
      <c r="A52" s="14" t="s">
        <v>49</v>
      </c>
      <c r="B52" s="15">
        <v>0</v>
      </c>
      <c r="C52" s="9"/>
    </row>
    <row r="53" spans="1:3" ht="24" customHeight="1">
      <c r="A53" s="14" t="s">
        <v>50</v>
      </c>
      <c r="B53" s="15">
        <v>0</v>
      </c>
      <c r="C53" s="9"/>
    </row>
    <row r="54" spans="1:3" ht="24" customHeight="1">
      <c r="A54" s="14" t="s">
        <v>51</v>
      </c>
      <c r="B54" s="15">
        <v>0</v>
      </c>
      <c r="C54" s="9"/>
    </row>
    <row r="55" spans="1:3" ht="24" customHeight="1">
      <c r="A55" s="14"/>
      <c r="B55" s="15"/>
      <c r="C55" s="9"/>
    </row>
    <row r="56" spans="1:3" ht="24" customHeight="1">
      <c r="A56" s="14" t="s">
        <v>52</v>
      </c>
      <c r="B56" s="15">
        <v>0</v>
      </c>
      <c r="C56" s="9"/>
    </row>
    <row r="57" spans="1:3" ht="24" customHeight="1">
      <c r="A57" s="14" t="s">
        <v>53</v>
      </c>
      <c r="B57" s="15">
        <v>0</v>
      </c>
      <c r="C57" s="9"/>
    </row>
    <row r="58" spans="1:3" ht="24" customHeight="1">
      <c r="A58" s="14" t="s">
        <v>54</v>
      </c>
      <c r="B58" s="15">
        <v>0</v>
      </c>
      <c r="C58" s="9"/>
    </row>
    <row r="59" spans="1:3" ht="24" customHeight="1">
      <c r="A59" s="14" t="s">
        <v>55</v>
      </c>
      <c r="B59" s="15">
        <v>0</v>
      </c>
      <c r="C59" s="9"/>
    </row>
    <row r="60" spans="1:3" ht="24" customHeight="1">
      <c r="A60" s="14" t="s">
        <v>56</v>
      </c>
      <c r="B60" s="15">
        <v>0</v>
      </c>
      <c r="C60" s="9"/>
    </row>
    <row r="61" spans="1:3" ht="24" customHeight="1">
      <c r="A61" s="14" t="s">
        <v>57</v>
      </c>
      <c r="B61" s="15">
        <v>0</v>
      </c>
      <c r="C61" s="9"/>
    </row>
    <row r="62" spans="1:3" ht="24" customHeight="1">
      <c r="A62" s="14"/>
      <c r="B62" s="15"/>
      <c r="C62" s="9"/>
    </row>
    <row r="63" spans="1:3" ht="24" customHeight="1">
      <c r="A63" s="14" t="s">
        <v>58</v>
      </c>
      <c r="B63" s="64">
        <v>13999112</v>
      </c>
      <c r="C63" s="9"/>
    </row>
    <row r="64" spans="1:3" ht="24" customHeight="1">
      <c r="A64" s="14" t="s">
        <v>59</v>
      </c>
      <c r="B64" s="64">
        <v>2841285</v>
      </c>
      <c r="C64" s="9"/>
    </row>
    <row r="65" spans="1:3" ht="24" customHeight="1">
      <c r="A65" s="14" t="s">
        <v>60</v>
      </c>
      <c r="B65" s="64">
        <v>11157827</v>
      </c>
      <c r="C65" s="9"/>
    </row>
    <row r="66" spans="1:3" ht="24" customHeight="1">
      <c r="A66" s="14" t="s">
        <v>61</v>
      </c>
      <c r="B66" s="64">
        <v>11114420</v>
      </c>
      <c r="C66" s="9"/>
    </row>
    <row r="67" spans="1:3" ht="24" customHeight="1">
      <c r="A67" s="14" t="s">
        <v>103</v>
      </c>
      <c r="B67" s="64">
        <f>+B65-B66</f>
        <v>43407</v>
      </c>
      <c r="C67" s="9"/>
    </row>
    <row r="68" spans="1:3" ht="24" customHeight="1">
      <c r="A68" s="14"/>
      <c r="B68" s="64"/>
      <c r="C68" s="9"/>
    </row>
    <row r="69" spans="1:3" ht="24" customHeight="1">
      <c r="A69" s="14"/>
      <c r="B69" s="15"/>
      <c r="C69" s="9"/>
    </row>
    <row r="70" spans="1:3" ht="24" customHeight="1">
      <c r="A70" s="14"/>
      <c r="B70" s="15"/>
      <c r="C70" s="9"/>
    </row>
    <row r="71" spans="1:3" ht="24" customHeight="1">
      <c r="A71" s="14"/>
      <c r="B71" s="17"/>
      <c r="C71" s="9"/>
    </row>
    <row r="72" spans="1:3" ht="24" customHeight="1">
      <c r="A72" s="14"/>
      <c r="B72" s="17"/>
      <c r="C72" s="9"/>
    </row>
    <row r="73" spans="1:3" ht="24" customHeight="1">
      <c r="A73" s="14"/>
      <c r="B73" s="17"/>
      <c r="C73" s="9"/>
    </row>
    <row r="74" spans="1:3" ht="24" customHeight="1">
      <c r="A74" s="14"/>
      <c r="B74" s="17"/>
      <c r="C74" s="9"/>
    </row>
    <row r="75" spans="1:3" ht="15.75" customHeight="1"/>
  </sheetData>
  <sheetProtection selectLockedCells="1" selectUnlockedCells="1"/>
  <pageMargins left="0.7" right="0.7" top="0.75" bottom="0.75" header="0.51180555555555551" footer="0.51180555555555551"/>
  <pageSetup paperSize="9" scale="81" firstPageNumber="0" orientation="portrait" horizontalDpi="300" verticalDpi="300" r:id="rId1"/>
  <headerFooter alignWithMargins="0"/>
  <colBreaks count="2" manualBreakCount="2">
    <brk id="7" max="1048575" man="1"/>
    <brk id="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54"/>
  </sheetPr>
  <dimension ref="A1:BJ79"/>
  <sheetViews>
    <sheetView workbookViewId="0">
      <pane xSplit="3" ySplit="7" topLeftCell="D65" activePane="bottomRight" state="frozen"/>
      <selection pane="topRight" activeCell="D1" sqref="D1"/>
      <selection pane="bottomLeft" activeCell="A49" sqref="A49"/>
      <selection pane="bottomRight" activeCell="B70" sqref="B70"/>
    </sheetView>
  </sheetViews>
  <sheetFormatPr defaultColWidth="11" defaultRowHeight="14.25"/>
  <cols>
    <col min="1" max="1" width="54.42578125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38">
        <v>117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8023840.3899999997</v>
      </c>
      <c r="C8" s="14"/>
    </row>
    <row r="9" spans="1:7" ht="24" customHeight="1">
      <c r="A9" s="14" t="s">
        <v>9</v>
      </c>
      <c r="B9" s="15">
        <f>B8</f>
        <v>8023840.3899999997</v>
      </c>
      <c r="C9" s="14"/>
    </row>
    <row r="10" spans="1:7" ht="24" customHeight="1">
      <c r="A10" s="14" t="s">
        <v>10</v>
      </c>
      <c r="B10" s="15">
        <v>0</v>
      </c>
      <c r="C10" s="14"/>
    </row>
    <row r="11" spans="1:7" ht="24" customHeight="1">
      <c r="A11" s="14" t="s">
        <v>11</v>
      </c>
      <c r="B11" s="15">
        <v>0</v>
      </c>
      <c r="C11" s="14"/>
    </row>
    <row r="12" spans="1:7" ht="24" customHeight="1">
      <c r="A12" s="14"/>
      <c r="B12" s="15"/>
      <c r="C12" s="14"/>
    </row>
    <row r="13" spans="1:7" ht="24" customHeight="1">
      <c r="A13" s="14" t="s">
        <v>12</v>
      </c>
      <c r="B13" s="15">
        <v>7709411.79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7607383.79</v>
      </c>
      <c r="C14" s="9"/>
      <c r="D14" s="16"/>
      <c r="E14" s="16"/>
      <c r="F14" s="16"/>
      <c r="G14" s="16"/>
    </row>
    <row r="15" spans="1:7" ht="24" customHeight="1">
      <c r="A15" s="14" t="s">
        <v>14</v>
      </c>
      <c r="B15" s="15">
        <f>B14</f>
        <v>7607383.79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7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102028</v>
      </c>
      <c r="C18" s="9"/>
      <c r="D18" s="16"/>
      <c r="E18" s="16"/>
      <c r="F18" s="16"/>
      <c r="G18" s="16"/>
    </row>
    <row r="19" spans="1:62" ht="24" customHeight="1">
      <c r="A19" s="14" t="s">
        <v>18</v>
      </c>
      <c r="B19" s="15">
        <f>+B18</f>
        <v>102028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</row>
    <row r="23" spans="1:62" ht="5.25" customHeight="1">
      <c r="A23" s="18"/>
      <c r="B23" s="19">
        <v>0</v>
      </c>
      <c r="C23" s="20"/>
    </row>
    <row r="24" spans="1:62" ht="24" customHeight="1">
      <c r="A24" s="14" t="s">
        <v>21</v>
      </c>
      <c r="B24" s="21">
        <v>3.9199999999999999E-2</v>
      </c>
      <c r="C24" s="9"/>
    </row>
    <row r="25" spans="1:62" ht="24" customHeight="1">
      <c r="A25" s="14" t="s">
        <v>22</v>
      </c>
      <c r="B25" s="21">
        <v>0.96079999999999999</v>
      </c>
      <c r="C25" s="9"/>
    </row>
    <row r="26" spans="1:62" ht="24" customHeight="1">
      <c r="A26" s="22" t="s">
        <v>23</v>
      </c>
      <c r="B26" s="23">
        <v>0.95689999999999997</v>
      </c>
      <c r="C26" s="24"/>
    </row>
    <row r="27" spans="1:62" ht="5.25" customHeight="1">
      <c r="A27" s="18"/>
      <c r="B27" s="19">
        <v>95.56</v>
      </c>
      <c r="C27" s="20"/>
    </row>
    <row r="28" spans="1:62" ht="24" customHeight="1">
      <c r="A28" s="14" t="s">
        <v>24</v>
      </c>
      <c r="B28" s="15">
        <v>1939246.05</v>
      </c>
      <c r="C28" s="9"/>
    </row>
    <row r="29" spans="1:62" ht="24" customHeight="1">
      <c r="A29" s="14" t="s">
        <v>25</v>
      </c>
      <c r="B29" s="15">
        <v>0</v>
      </c>
      <c r="C29" s="9"/>
    </row>
    <row r="30" spans="1:62" ht="24" customHeight="1">
      <c r="A30" s="22" t="s">
        <v>26</v>
      </c>
      <c r="B30" s="25">
        <v>1118490</v>
      </c>
      <c r="C30" s="24"/>
    </row>
    <row r="31" spans="1:62" ht="24" customHeight="1">
      <c r="A31" s="14" t="s">
        <v>27</v>
      </c>
      <c r="B31" s="26">
        <v>820756.05</v>
      </c>
      <c r="C31" s="9"/>
    </row>
    <row r="32" spans="1:62" ht="24" customHeight="1">
      <c r="A32" s="1" t="s">
        <v>28</v>
      </c>
      <c r="B32" s="26">
        <f>B31</f>
        <v>820756.05</v>
      </c>
      <c r="C32" s="27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29</v>
      </c>
      <c r="B33" s="29">
        <v>0</v>
      </c>
      <c r="C33" s="27"/>
    </row>
    <row r="34" spans="1:62" ht="24" customHeight="1">
      <c r="A34" s="14" t="s">
        <v>30</v>
      </c>
      <c r="B34" s="29">
        <v>0</v>
      </c>
      <c r="C34" s="9"/>
    </row>
    <row r="35" spans="1:62" ht="24" customHeight="1">
      <c r="A35" s="14" t="s">
        <v>31</v>
      </c>
      <c r="B35" s="29">
        <v>0</v>
      </c>
      <c r="C35" s="9"/>
    </row>
    <row r="36" spans="1:62" ht="24" customHeight="1">
      <c r="A36" s="14" t="s">
        <v>32</v>
      </c>
      <c r="B36" s="29">
        <v>0</v>
      </c>
      <c r="C36" s="9"/>
    </row>
    <row r="37" spans="1:62" ht="24" customHeight="1">
      <c r="A37" s="14" t="s">
        <v>33</v>
      </c>
      <c r="B37" s="29">
        <v>0</v>
      </c>
      <c r="C37" s="9"/>
    </row>
    <row r="38" spans="1:62" ht="24" customHeight="1">
      <c r="A38" s="14" t="s">
        <v>34</v>
      </c>
      <c r="B38" s="29">
        <v>0</v>
      </c>
      <c r="C38" s="9"/>
    </row>
    <row r="39" spans="1:62" ht="24" customHeight="1">
      <c r="A39" s="14" t="s">
        <v>35</v>
      </c>
      <c r="B39" s="29">
        <v>0</v>
      </c>
      <c r="C39" s="9"/>
    </row>
    <row r="40" spans="1:62" ht="6.75" customHeight="1">
      <c r="A40" s="1006" t="s">
        <v>36</v>
      </c>
      <c r="B40" s="1007"/>
      <c r="C40" s="9"/>
    </row>
    <row r="41" spans="1:62" ht="24" customHeight="1">
      <c r="A41" s="14" t="s">
        <v>37</v>
      </c>
      <c r="B41" s="15">
        <v>1624817.45</v>
      </c>
      <c r="C41" s="9"/>
    </row>
    <row r="42" spans="1:62" ht="24" customHeight="1">
      <c r="A42" s="14" t="s">
        <v>38</v>
      </c>
      <c r="B42" s="25">
        <v>0</v>
      </c>
      <c r="C42" s="24"/>
    </row>
    <row r="43" spans="1:62" ht="24" customHeight="1">
      <c r="A43" s="1" t="s">
        <v>39</v>
      </c>
      <c r="B43" s="26">
        <v>102028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40</v>
      </c>
      <c r="B44" s="26">
        <v>1090.3699999999999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31" t="s">
        <v>41</v>
      </c>
      <c r="B45" s="32">
        <v>0</v>
      </c>
      <c r="C45" s="33"/>
    </row>
    <row r="46" spans="1:62" ht="24" customHeight="1">
      <c r="A46" s="14" t="s">
        <v>42</v>
      </c>
      <c r="B46" s="15">
        <v>0</v>
      </c>
      <c r="C46" s="9"/>
    </row>
    <row r="47" spans="1:62" ht="24" customHeight="1">
      <c r="A47" s="14" t="s">
        <v>43</v>
      </c>
      <c r="B47" s="15">
        <v>0</v>
      </c>
      <c r="C47" s="9"/>
    </row>
    <row r="48" spans="1:62" ht="24" customHeight="1">
      <c r="A48" s="14" t="s">
        <v>44</v>
      </c>
      <c r="B48" s="15">
        <v>1521699.08</v>
      </c>
      <c r="C48" s="9"/>
    </row>
    <row r="49" spans="1:3" ht="24" customHeight="1">
      <c r="A49" s="14" t="s">
        <v>45</v>
      </c>
      <c r="B49" s="15">
        <f>B48</f>
        <v>1521699.08</v>
      </c>
      <c r="C49" s="9"/>
    </row>
    <row r="50" spans="1:3" ht="24" customHeight="1">
      <c r="A50" s="14" t="s">
        <v>46</v>
      </c>
      <c r="B50" s="17">
        <v>0</v>
      </c>
      <c r="C50" s="9"/>
    </row>
    <row r="51" spans="1:3" ht="24" customHeight="1">
      <c r="A51" s="14" t="s">
        <v>47</v>
      </c>
      <c r="B51" s="17">
        <v>0</v>
      </c>
      <c r="C51" s="9"/>
    </row>
    <row r="52" spans="1:3" ht="8.25" customHeight="1">
      <c r="A52" s="18"/>
      <c r="B52" s="19"/>
      <c r="C52" s="20"/>
    </row>
    <row r="53" spans="1:3" ht="24" customHeight="1">
      <c r="A53" s="14" t="s">
        <v>48</v>
      </c>
      <c r="B53" s="15">
        <v>1522789.45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49</v>
      </c>
      <c r="B55" s="17">
        <v>0</v>
      </c>
      <c r="C55" s="9"/>
    </row>
    <row r="56" spans="1:3" ht="24" customHeight="1">
      <c r="A56" s="14" t="s">
        <v>50</v>
      </c>
      <c r="B56" s="17">
        <v>0</v>
      </c>
      <c r="C56" s="9"/>
    </row>
    <row r="57" spans="1:3" ht="24" customHeight="1">
      <c r="A57" s="14" t="s">
        <v>51</v>
      </c>
      <c r="B57" s="17">
        <v>0</v>
      </c>
      <c r="C57" s="9"/>
    </row>
    <row r="58" spans="1:3" ht="24" customHeight="1">
      <c r="A58" s="14"/>
      <c r="B58" s="17">
        <v>0</v>
      </c>
      <c r="C58" s="9"/>
    </row>
    <row r="59" spans="1:3" ht="24" customHeight="1">
      <c r="A59" s="14" t="s">
        <v>52</v>
      </c>
      <c r="B59" s="17">
        <v>0</v>
      </c>
      <c r="C59" s="9"/>
    </row>
    <row r="60" spans="1:3" ht="24" customHeight="1">
      <c r="A60" s="14" t="s">
        <v>53</v>
      </c>
      <c r="B60" s="17">
        <v>0</v>
      </c>
      <c r="C60" s="9"/>
    </row>
    <row r="61" spans="1:3" ht="24" customHeight="1">
      <c r="A61" s="14" t="s">
        <v>54</v>
      </c>
      <c r="B61" s="17">
        <v>0</v>
      </c>
      <c r="C61" s="9"/>
    </row>
    <row r="62" spans="1:3" ht="24" customHeight="1">
      <c r="A62" s="14" t="s">
        <v>55</v>
      </c>
      <c r="B62" s="17">
        <v>0</v>
      </c>
      <c r="C62" s="9"/>
    </row>
    <row r="63" spans="1:3" ht="24" customHeight="1">
      <c r="A63" s="14" t="s">
        <v>56</v>
      </c>
      <c r="B63" s="17">
        <v>0</v>
      </c>
      <c r="C63" s="9"/>
    </row>
    <row r="64" spans="1:3" ht="24" customHeight="1">
      <c r="A64" s="14" t="s">
        <v>57</v>
      </c>
      <c r="B64" s="17">
        <v>0</v>
      </c>
      <c r="C64" s="9"/>
    </row>
    <row r="65" spans="1:3" ht="24" customHeight="1">
      <c r="A65" s="14"/>
      <c r="B65" s="17"/>
      <c r="C65" s="9"/>
    </row>
    <row r="66" spans="1:3" ht="24" customHeight="1">
      <c r="A66" s="14" t="s">
        <v>58</v>
      </c>
      <c r="B66" s="35">
        <v>4396871</v>
      </c>
      <c r="C66" s="9"/>
    </row>
    <row r="67" spans="1:3" ht="24" customHeight="1">
      <c r="A67" s="14" t="s">
        <v>59</v>
      </c>
      <c r="B67" s="35">
        <v>738177</v>
      </c>
      <c r="C67" s="9"/>
    </row>
    <row r="68" spans="1:3" ht="24" customHeight="1">
      <c r="A68" s="14" t="s">
        <v>60</v>
      </c>
      <c r="B68" s="35">
        <v>3658694</v>
      </c>
      <c r="C68" s="9"/>
    </row>
    <row r="69" spans="1:3" ht="24" customHeight="1">
      <c r="A69" s="14" t="s">
        <v>61</v>
      </c>
      <c r="B69" s="35">
        <v>3658464</v>
      </c>
      <c r="C69" s="9"/>
    </row>
    <row r="70" spans="1:3" ht="24" customHeight="1">
      <c r="A70" s="14" t="s">
        <v>62</v>
      </c>
      <c r="B70" s="35">
        <f>B68-B69</f>
        <v>230</v>
      </c>
      <c r="C70" s="9"/>
    </row>
    <row r="71" spans="1:3" ht="24" customHeight="1">
      <c r="A71" s="14"/>
      <c r="B71" s="35"/>
      <c r="C71" s="9"/>
    </row>
    <row r="72" spans="1:3" ht="24" customHeight="1">
      <c r="A72" s="14" t="s">
        <v>63</v>
      </c>
      <c r="B72" s="17"/>
      <c r="C72" s="9"/>
    </row>
    <row r="73" spans="1:3" ht="24" customHeight="1">
      <c r="A73" s="14" t="s">
        <v>64</v>
      </c>
      <c r="B73" s="17">
        <v>0</v>
      </c>
      <c r="C73" s="9"/>
    </row>
    <row r="74" spans="1:3" ht="24" customHeight="1">
      <c r="A74" s="14" t="s">
        <v>65</v>
      </c>
      <c r="B74" s="17">
        <v>0</v>
      </c>
      <c r="C74" s="9"/>
    </row>
    <row r="75" spans="1:3" ht="24" customHeight="1">
      <c r="A75" s="14" t="s">
        <v>66</v>
      </c>
      <c r="B75" s="17">
        <v>0</v>
      </c>
      <c r="C75" s="9"/>
    </row>
    <row r="76" spans="1:3" ht="24" customHeight="1">
      <c r="A76" s="14" t="s">
        <v>67</v>
      </c>
      <c r="B76" s="17">
        <v>0</v>
      </c>
      <c r="C76" s="9"/>
    </row>
    <row r="77" spans="1:3" ht="24" customHeight="1">
      <c r="A77" s="14"/>
      <c r="B77" s="17"/>
      <c r="C77" s="9"/>
    </row>
    <row r="78" spans="1:3" ht="24" customHeight="1">
      <c r="A78" s="14" t="s">
        <v>68</v>
      </c>
      <c r="B78" s="36">
        <f>+SUM(B73:B76)</f>
        <v>0</v>
      </c>
      <c r="C78" s="9"/>
    </row>
    <row r="79" spans="1:3" ht="15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55"/>
  </sheetPr>
  <dimension ref="A1:BJ74"/>
  <sheetViews>
    <sheetView workbookViewId="0">
      <pane xSplit="3" ySplit="7" topLeftCell="D65" activePane="bottomRight" state="frozen"/>
      <selection pane="topRight" activeCell="D1" sqref="D1"/>
      <selection pane="bottomLeft" activeCell="A41" sqref="A41"/>
      <selection pane="bottomRight" activeCell="B66" sqref="B66"/>
    </sheetView>
  </sheetViews>
  <sheetFormatPr defaultColWidth="11" defaultRowHeight="14.25"/>
  <cols>
    <col min="1" max="1" width="41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>
      <c r="C5" s="9"/>
    </row>
    <row r="6" spans="1:7" ht="23.25">
      <c r="A6" s="11" t="s">
        <v>5</v>
      </c>
      <c r="B6" s="52">
        <v>41</v>
      </c>
      <c r="C6" s="9"/>
    </row>
    <row r="7" spans="1:7" ht="18">
      <c r="A7" s="12" t="s">
        <v>6</v>
      </c>
      <c r="B7" s="13" t="s">
        <v>7</v>
      </c>
      <c r="C7" s="9"/>
    </row>
    <row r="8" spans="1:7" ht="23.25">
      <c r="A8" s="14" t="s">
        <v>8</v>
      </c>
      <c r="B8" s="15">
        <v>17527422.949999999</v>
      </c>
      <c r="C8" s="14"/>
    </row>
    <row r="9" spans="1:7" ht="23.25">
      <c r="A9" s="14" t="s">
        <v>9</v>
      </c>
      <c r="B9" s="15">
        <f>B8</f>
        <v>17527422.949999999</v>
      </c>
      <c r="C9" s="14"/>
    </row>
    <row r="10" spans="1:7" ht="23.25">
      <c r="A10" s="14" t="s">
        <v>93</v>
      </c>
      <c r="B10" s="15">
        <v>0</v>
      </c>
      <c r="C10" s="14"/>
    </row>
    <row r="11" spans="1:7" ht="23.25">
      <c r="A11" s="14" t="s">
        <v>95</v>
      </c>
      <c r="B11" s="15">
        <v>0</v>
      </c>
      <c r="C11" s="14"/>
    </row>
    <row r="12" spans="1:7" ht="23.25">
      <c r="A12" s="14"/>
      <c r="B12" s="15"/>
      <c r="C12" s="14"/>
    </row>
    <row r="13" spans="1:7" ht="23.25">
      <c r="A13" s="14" t="s">
        <v>12</v>
      </c>
      <c r="B13" s="15">
        <v>16663022.76</v>
      </c>
      <c r="C13" s="9"/>
      <c r="D13" s="16"/>
      <c r="E13" s="16"/>
      <c r="F13" s="16"/>
      <c r="G13" s="16"/>
    </row>
    <row r="14" spans="1:7" ht="23.25">
      <c r="A14" s="14" t="s">
        <v>13</v>
      </c>
      <c r="B14" s="15">
        <v>16630060.76</v>
      </c>
      <c r="C14" s="9"/>
      <c r="D14" s="16"/>
      <c r="E14" s="16"/>
      <c r="F14" s="16"/>
      <c r="G14" s="16"/>
    </row>
    <row r="15" spans="1:7" ht="23.25">
      <c r="A15" s="14" t="s">
        <v>96</v>
      </c>
      <c r="B15" s="15">
        <f>+B14</f>
        <v>16630060.76</v>
      </c>
      <c r="C15" s="9"/>
      <c r="D15" s="16"/>
      <c r="E15" s="16"/>
      <c r="F15" s="16"/>
      <c r="G15" s="16"/>
    </row>
    <row r="16" spans="1:7" ht="23.25">
      <c r="A16" s="14" t="s">
        <v>15</v>
      </c>
      <c r="B16" s="15">
        <v>0</v>
      </c>
      <c r="C16" s="9"/>
      <c r="D16" s="16"/>
      <c r="E16" s="16"/>
      <c r="F16" s="16"/>
      <c r="G16" s="16"/>
    </row>
    <row r="17" spans="1:62" ht="23.25">
      <c r="A17" s="14" t="s">
        <v>16</v>
      </c>
      <c r="B17" s="15">
        <v>0</v>
      </c>
      <c r="C17" s="9"/>
      <c r="D17" s="16"/>
      <c r="E17" s="16"/>
      <c r="F17" s="16"/>
      <c r="G17" s="16"/>
    </row>
    <row r="18" spans="1:62" ht="23.25">
      <c r="A18" s="14" t="s">
        <v>17</v>
      </c>
      <c r="B18" s="15">
        <v>32962</v>
      </c>
      <c r="C18" s="9"/>
      <c r="D18" s="16"/>
      <c r="E18" s="16"/>
      <c r="F18" s="16"/>
      <c r="G18" s="16"/>
    </row>
    <row r="19" spans="1:62" ht="23.25">
      <c r="A19" s="14" t="s">
        <v>97</v>
      </c>
      <c r="B19" s="15">
        <f>B18</f>
        <v>32962</v>
      </c>
      <c r="C19" s="9"/>
    </row>
    <row r="20" spans="1:62" ht="23.25">
      <c r="A20" s="14" t="s">
        <v>19</v>
      </c>
      <c r="B20" s="15">
        <v>0</v>
      </c>
      <c r="C20" s="9"/>
    </row>
    <row r="21" spans="1:62" ht="23.25">
      <c r="A21" s="14" t="s">
        <v>20</v>
      </c>
      <c r="B21" s="15">
        <v>0</v>
      </c>
      <c r="C21" s="9"/>
    </row>
    <row r="22" spans="1:62" ht="23.25">
      <c r="A22" s="18"/>
      <c r="B22" s="53">
        <v>0</v>
      </c>
      <c r="C22" s="20"/>
    </row>
    <row r="23" spans="1:62" ht="23.25">
      <c r="A23" s="14" t="s">
        <v>24</v>
      </c>
      <c r="B23" s="15">
        <v>4485292.1399999997</v>
      </c>
      <c r="C23" s="9"/>
    </row>
    <row r="24" spans="1:62" ht="23.25">
      <c r="A24" s="14" t="s">
        <v>25</v>
      </c>
      <c r="B24" s="15">
        <v>0</v>
      </c>
      <c r="C24" s="9"/>
      <c r="E24" t="b">
        <f>B23=B25+B26</f>
        <v>1</v>
      </c>
    </row>
    <row r="25" spans="1:62" ht="23.25">
      <c r="A25" s="22" t="s">
        <v>26</v>
      </c>
      <c r="B25" s="25">
        <v>3199850</v>
      </c>
      <c r="C25" s="24"/>
    </row>
    <row r="26" spans="1:62" ht="23.25">
      <c r="A26" s="14" t="s">
        <v>27</v>
      </c>
      <c r="B26" s="26">
        <v>1285442.1399999999</v>
      </c>
      <c r="C26" s="9"/>
    </row>
    <row r="27" spans="1:62" ht="23.25">
      <c r="A27" s="1" t="s">
        <v>28</v>
      </c>
      <c r="B27" s="26">
        <f>B26</f>
        <v>1285442.1399999999</v>
      </c>
      <c r="C27" s="27"/>
      <c r="BB27" s="28"/>
      <c r="BC27" s="16"/>
      <c r="BD27" s="16"/>
      <c r="BE27" s="16"/>
      <c r="BF27" s="16"/>
      <c r="BG27" s="16"/>
      <c r="BH27" s="16"/>
      <c r="BI27" s="16"/>
      <c r="BJ27" s="16"/>
    </row>
    <row r="28" spans="1:62" ht="23.25">
      <c r="A28" s="63" t="s">
        <v>29</v>
      </c>
      <c r="B28" s="26">
        <v>0</v>
      </c>
      <c r="C28" s="27"/>
    </row>
    <row r="29" spans="1:62" ht="23.25">
      <c r="A29" s="14" t="s">
        <v>30</v>
      </c>
      <c r="B29" s="15">
        <v>0</v>
      </c>
      <c r="C29" s="27"/>
    </row>
    <row r="30" spans="1:62" ht="23.25">
      <c r="A30" s="14" t="s">
        <v>108</v>
      </c>
      <c r="B30" s="15">
        <v>0</v>
      </c>
      <c r="C30" s="27"/>
    </row>
    <row r="31" spans="1:62" ht="23.25">
      <c r="A31" s="14" t="s">
        <v>99</v>
      </c>
      <c r="B31" s="15">
        <v>0</v>
      </c>
      <c r="C31" s="27"/>
    </row>
    <row r="32" spans="1:62" ht="23.25">
      <c r="A32" s="14" t="s">
        <v>100</v>
      </c>
      <c r="B32" s="15">
        <v>0</v>
      </c>
      <c r="C32" s="27"/>
    </row>
    <row r="33" spans="1:62" ht="23.25">
      <c r="A33" s="14" t="s">
        <v>101</v>
      </c>
      <c r="B33" s="15">
        <v>0</v>
      </c>
      <c r="C33" s="65"/>
    </row>
    <row r="34" spans="1:62" ht="23.25">
      <c r="A34" s="14" t="s">
        <v>102</v>
      </c>
      <c r="B34" s="15">
        <v>0</v>
      </c>
      <c r="C34" s="65"/>
    </row>
    <row r="35" spans="1:62">
      <c r="A35" s="66" t="s">
        <v>36</v>
      </c>
      <c r="B35" s="518"/>
      <c r="C35" s="9"/>
    </row>
    <row r="36" spans="1:62" ht="23.25">
      <c r="A36" s="14" t="s">
        <v>37</v>
      </c>
      <c r="B36" s="25">
        <v>3620891.95</v>
      </c>
      <c r="C36" s="24"/>
    </row>
    <row r="37" spans="1:62" ht="23.25">
      <c r="A37" s="67" t="s">
        <v>38</v>
      </c>
      <c r="B37" s="26">
        <v>0</v>
      </c>
      <c r="C37" s="9"/>
    </row>
    <row r="38" spans="1:62" ht="23.25">
      <c r="A38" s="1" t="s">
        <v>39</v>
      </c>
      <c r="B38" s="26">
        <v>32962</v>
      </c>
      <c r="C38" s="9"/>
      <c r="E38" s="2"/>
    </row>
    <row r="39" spans="1:62" ht="23.25">
      <c r="A39" s="68" t="s">
        <v>109</v>
      </c>
      <c r="B39" s="26">
        <v>2515.5300000000002</v>
      </c>
      <c r="C39" s="9"/>
    </row>
    <row r="40" spans="1:62">
      <c r="B40" s="57"/>
      <c r="C40" s="9"/>
      <c r="BB40" s="28"/>
      <c r="BC40" s="16"/>
      <c r="BD40" s="16"/>
      <c r="BE40" s="16"/>
      <c r="BF40" s="16"/>
      <c r="BG40" s="16"/>
      <c r="BH40" s="16"/>
      <c r="BI40" s="16"/>
      <c r="BJ40" s="16"/>
    </row>
    <row r="41" spans="1:62" ht="23.25">
      <c r="A41" s="69" t="s">
        <v>41</v>
      </c>
      <c r="B41" s="26">
        <v>0</v>
      </c>
      <c r="C41" s="70"/>
    </row>
    <row r="42" spans="1:62" ht="23.25">
      <c r="A42" s="66" t="s">
        <v>42</v>
      </c>
      <c r="B42" s="519">
        <v>0</v>
      </c>
      <c r="C42" s="9"/>
    </row>
    <row r="43" spans="1:62" ht="23.25">
      <c r="A43" s="14" t="s">
        <v>43</v>
      </c>
      <c r="B43" s="15">
        <v>0</v>
      </c>
      <c r="C43" s="9"/>
    </row>
    <row r="44" spans="1:62" ht="23.25">
      <c r="A44" s="14" t="s">
        <v>44</v>
      </c>
      <c r="B44" s="15">
        <v>3585414.42</v>
      </c>
      <c r="C44" s="9"/>
    </row>
    <row r="45" spans="1:62" ht="23.25">
      <c r="A45" s="14" t="s">
        <v>45</v>
      </c>
      <c r="B45" s="15">
        <f>B44</f>
        <v>3585414.42</v>
      </c>
      <c r="C45" s="9"/>
    </row>
    <row r="46" spans="1:62" ht="23.25">
      <c r="A46" s="14" t="s">
        <v>46</v>
      </c>
      <c r="B46" s="15">
        <v>0</v>
      </c>
      <c r="C46" s="9"/>
    </row>
    <row r="47" spans="1:62" ht="23.25">
      <c r="A47" s="14" t="s">
        <v>47</v>
      </c>
      <c r="B47" s="15">
        <v>0</v>
      </c>
      <c r="C47" s="9"/>
    </row>
    <row r="48" spans="1:62" ht="23.25">
      <c r="A48" s="18"/>
      <c r="B48" s="53"/>
      <c r="C48" s="20"/>
    </row>
    <row r="49" spans="1:3" ht="23.25">
      <c r="A49" s="14" t="s">
        <v>48</v>
      </c>
      <c r="B49" s="15">
        <v>3587929.95</v>
      </c>
      <c r="C49" s="9"/>
    </row>
    <row r="50" spans="1:3" ht="23.25">
      <c r="A50" s="14"/>
      <c r="B50" s="15">
        <v>0</v>
      </c>
      <c r="C50" s="9"/>
    </row>
    <row r="51" spans="1:3" ht="23.25">
      <c r="A51" s="14" t="s">
        <v>49</v>
      </c>
      <c r="B51" s="15">
        <v>0</v>
      </c>
      <c r="C51" s="9"/>
    </row>
    <row r="52" spans="1:3" ht="23.25">
      <c r="A52" s="14" t="s">
        <v>50</v>
      </c>
      <c r="B52" s="15">
        <v>0</v>
      </c>
      <c r="C52" s="9"/>
    </row>
    <row r="53" spans="1:3" ht="23.25">
      <c r="A53" s="14" t="s">
        <v>51</v>
      </c>
      <c r="B53" s="15">
        <v>0</v>
      </c>
      <c r="C53" s="9"/>
    </row>
    <row r="54" spans="1:3" ht="23.25">
      <c r="A54" s="14"/>
      <c r="B54" s="15"/>
      <c r="C54" s="9"/>
    </row>
    <row r="55" spans="1:3" ht="23.25">
      <c r="A55" s="14" t="s">
        <v>52</v>
      </c>
      <c r="B55" s="15">
        <v>0</v>
      </c>
      <c r="C55" s="9"/>
    </row>
    <row r="56" spans="1:3" ht="23.25">
      <c r="A56" s="14" t="s">
        <v>53</v>
      </c>
      <c r="B56" s="15">
        <v>0</v>
      </c>
      <c r="C56" s="9"/>
    </row>
    <row r="57" spans="1:3" ht="23.25">
      <c r="A57" s="14" t="s">
        <v>54</v>
      </c>
      <c r="B57" s="15">
        <v>0</v>
      </c>
      <c r="C57" s="9"/>
    </row>
    <row r="58" spans="1:3" ht="23.25">
      <c r="A58" s="14" t="s">
        <v>55</v>
      </c>
      <c r="B58" s="15">
        <v>0</v>
      </c>
      <c r="C58" s="9"/>
    </row>
    <row r="59" spans="1:3" ht="23.25">
      <c r="A59" s="14" t="s">
        <v>56</v>
      </c>
      <c r="B59" s="15">
        <v>0</v>
      </c>
      <c r="C59" s="9"/>
    </row>
    <row r="60" spans="1:3" ht="23.25">
      <c r="A60" s="14" t="s">
        <v>57</v>
      </c>
      <c r="B60" s="15">
        <v>0</v>
      </c>
      <c r="C60" s="9"/>
    </row>
    <row r="61" spans="1:3" ht="23.25">
      <c r="A61" s="14"/>
      <c r="B61" s="15"/>
      <c r="C61" s="9"/>
    </row>
    <row r="62" spans="1:3" ht="23.25">
      <c r="A62" s="14" t="s">
        <v>58</v>
      </c>
      <c r="B62" s="64">
        <v>23105116</v>
      </c>
      <c r="C62" s="9"/>
    </row>
    <row r="63" spans="1:3" ht="23.25">
      <c r="A63" s="14" t="s">
        <v>59</v>
      </c>
      <c r="B63" s="64">
        <v>3677192</v>
      </c>
      <c r="C63" s="9"/>
    </row>
    <row r="64" spans="1:3" ht="23.25">
      <c r="A64" s="14" t="s">
        <v>60</v>
      </c>
      <c r="B64" s="64">
        <v>19427924</v>
      </c>
      <c r="C64" s="9"/>
    </row>
    <row r="65" spans="1:3" ht="23.25">
      <c r="A65" s="14" t="s">
        <v>61</v>
      </c>
      <c r="B65" s="64">
        <v>19382504</v>
      </c>
      <c r="C65" s="9"/>
    </row>
    <row r="66" spans="1:3" ht="23.25">
      <c r="A66" s="14" t="s">
        <v>103</v>
      </c>
      <c r="B66" s="64">
        <f>+B64-B65</f>
        <v>45420</v>
      </c>
      <c r="C66" s="9"/>
    </row>
    <row r="67" spans="1:3">
      <c r="A67" s="14"/>
      <c r="C67" s="9"/>
    </row>
    <row r="68" spans="1:3" ht="23.25">
      <c r="A68" s="14"/>
      <c r="B68" s="15"/>
      <c r="C68" s="9"/>
    </row>
    <row r="69" spans="1:3" ht="23.25">
      <c r="A69" s="14"/>
      <c r="B69" s="15"/>
      <c r="C69" s="9"/>
    </row>
    <row r="70" spans="1:3" ht="23.25">
      <c r="A70" s="14"/>
      <c r="B70" s="15"/>
      <c r="C70" s="9"/>
    </row>
    <row r="71" spans="1:3" ht="23.25">
      <c r="A71" s="14"/>
      <c r="B71" s="15"/>
      <c r="C71" s="9"/>
    </row>
    <row r="72" spans="1:3" ht="23.25">
      <c r="A72" s="14"/>
      <c r="B72" s="15"/>
      <c r="C72" s="9"/>
    </row>
    <row r="73" spans="1:3" ht="23.25">
      <c r="A73" s="14"/>
      <c r="B73" s="15"/>
      <c r="C73" s="9"/>
    </row>
    <row r="74" spans="1:3">
      <c r="B74" s="57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10"/>
  </sheetPr>
  <dimension ref="A1:BJ79"/>
  <sheetViews>
    <sheetView workbookViewId="0">
      <pane xSplit="3" ySplit="7" topLeftCell="D65" activePane="bottomRight" state="frozen"/>
      <selection pane="topRight" activeCell="D1" sqref="D1"/>
      <selection pane="bottomLeft" activeCell="A47" sqref="A47"/>
      <selection pane="bottomRight" activeCell="B70" sqref="B70"/>
    </sheetView>
  </sheetViews>
  <sheetFormatPr defaultColWidth="11" defaultRowHeight="14.25"/>
  <cols>
    <col min="1" max="1" width="42.7109375" style="1" bestFit="1" customWidth="1"/>
    <col min="2" max="2" width="25.28515625" style="2" bestFit="1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38">
        <v>112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6219054.2800000003</v>
      </c>
      <c r="C8" s="14"/>
    </row>
    <row r="9" spans="1:7" ht="24" customHeight="1">
      <c r="A9" s="14" t="s">
        <v>9</v>
      </c>
      <c r="B9" s="15">
        <f>+B8</f>
        <v>6219054.2800000003</v>
      </c>
      <c r="C9" s="14"/>
    </row>
    <row r="10" spans="1:7" ht="24" customHeight="1">
      <c r="A10" s="14" t="s">
        <v>10</v>
      </c>
      <c r="B10" s="15">
        <v>0</v>
      </c>
      <c r="C10" s="14"/>
    </row>
    <row r="11" spans="1:7" ht="24" customHeight="1">
      <c r="A11" s="14" t="s">
        <v>11</v>
      </c>
      <c r="B11" s="15">
        <v>0</v>
      </c>
      <c r="C11" s="14"/>
    </row>
    <row r="12" spans="1:7" ht="24" customHeight="1">
      <c r="A12" s="14"/>
      <c r="B12" s="15"/>
      <c r="C12" s="14"/>
    </row>
    <row r="13" spans="1:7" ht="24" customHeight="1">
      <c r="A13" s="14" t="s">
        <v>12</v>
      </c>
      <c r="B13" s="15">
        <v>5985294.7999999998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5908552.2999999998</v>
      </c>
      <c r="C14" s="9"/>
      <c r="D14" s="16"/>
      <c r="E14" s="16"/>
      <c r="F14" s="16"/>
      <c r="G14" s="16"/>
    </row>
    <row r="15" spans="1:7" ht="24" customHeight="1">
      <c r="A15" s="14" t="s">
        <v>14</v>
      </c>
      <c r="B15" s="15">
        <f>B14</f>
        <v>5908552.2999999998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7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76742.5</v>
      </c>
      <c r="C18" s="9"/>
      <c r="D18" s="16"/>
      <c r="E18" s="16"/>
      <c r="F18" s="16"/>
      <c r="G18" s="16"/>
    </row>
    <row r="19" spans="1:62" ht="24" customHeight="1">
      <c r="A19" s="14" t="s">
        <v>18</v>
      </c>
      <c r="B19" s="15">
        <f>+B18</f>
        <v>76742.5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</row>
    <row r="23" spans="1:62" ht="5.25" customHeight="1">
      <c r="A23" s="18"/>
      <c r="B23" s="19">
        <v>0</v>
      </c>
      <c r="C23" s="20"/>
    </row>
    <row r="24" spans="1:62" ht="24" customHeight="1">
      <c r="A24" s="14" t="s">
        <v>21</v>
      </c>
      <c r="B24" s="21">
        <v>3.7600000000000001E-2</v>
      </c>
      <c r="C24" s="9"/>
    </row>
    <row r="25" spans="1:62" ht="24" customHeight="1">
      <c r="A25" s="14" t="s">
        <v>22</v>
      </c>
      <c r="B25" s="21">
        <v>0.96240000000000003</v>
      </c>
      <c r="C25" s="9"/>
    </row>
    <row r="26" spans="1:62" ht="24" customHeight="1">
      <c r="A26" s="22" t="s">
        <v>23</v>
      </c>
      <c r="B26" s="23">
        <v>0.95669999999999999</v>
      </c>
      <c r="C26" s="24"/>
    </row>
    <row r="27" spans="1:62" ht="5.25" customHeight="1">
      <c r="A27" s="18"/>
      <c r="B27" s="19"/>
      <c r="C27" s="20"/>
    </row>
    <row r="28" spans="1:62" ht="24" customHeight="1">
      <c r="A28" s="14" t="s">
        <v>24</v>
      </c>
      <c r="B28" s="15">
        <v>1531588.32</v>
      </c>
      <c r="C28" s="9"/>
    </row>
    <row r="29" spans="1:62" ht="24" customHeight="1">
      <c r="A29" s="14" t="s">
        <v>25</v>
      </c>
      <c r="B29" s="15">
        <v>0</v>
      </c>
      <c r="C29" s="9"/>
    </row>
    <row r="30" spans="1:62" ht="24" customHeight="1">
      <c r="A30" s="22" t="s">
        <v>26</v>
      </c>
      <c r="B30" s="25">
        <v>851714</v>
      </c>
      <c r="C30" s="24"/>
    </row>
    <row r="31" spans="1:62" ht="24" customHeight="1">
      <c r="A31" s="14" t="s">
        <v>27</v>
      </c>
      <c r="B31" s="26">
        <v>679874.32</v>
      </c>
      <c r="C31" s="9"/>
    </row>
    <row r="32" spans="1:62" ht="24" customHeight="1">
      <c r="A32" s="1" t="s">
        <v>28</v>
      </c>
      <c r="B32" s="26">
        <f>B31</f>
        <v>679874.32</v>
      </c>
      <c r="C32" s="27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29</v>
      </c>
      <c r="B33" s="29">
        <v>0</v>
      </c>
      <c r="C33" s="27"/>
    </row>
    <row r="34" spans="1:62" ht="24" customHeight="1">
      <c r="A34" s="14" t="s">
        <v>30</v>
      </c>
      <c r="B34" s="29">
        <v>0</v>
      </c>
      <c r="C34" s="9"/>
    </row>
    <row r="35" spans="1:62" ht="24" customHeight="1">
      <c r="A35" s="14" t="s">
        <v>31</v>
      </c>
      <c r="B35" s="29">
        <v>0</v>
      </c>
      <c r="C35" s="9"/>
    </row>
    <row r="36" spans="1:62" ht="24" customHeight="1">
      <c r="A36" s="14" t="s">
        <v>32</v>
      </c>
      <c r="B36" s="29">
        <v>0</v>
      </c>
      <c r="C36" s="9"/>
    </row>
    <row r="37" spans="1:62" ht="24" customHeight="1">
      <c r="A37" s="14" t="s">
        <v>33</v>
      </c>
      <c r="B37" s="29">
        <v>0</v>
      </c>
      <c r="C37" s="9"/>
    </row>
    <row r="38" spans="1:62" ht="24" customHeight="1">
      <c r="A38" s="14" t="s">
        <v>34</v>
      </c>
      <c r="B38" s="29">
        <v>0</v>
      </c>
      <c r="C38" s="9"/>
    </row>
    <row r="39" spans="1:62" ht="24" customHeight="1">
      <c r="A39" s="14" t="s">
        <v>35</v>
      </c>
      <c r="B39" s="29">
        <v>0</v>
      </c>
      <c r="C39" s="9"/>
    </row>
    <row r="40" spans="1:62" ht="24" customHeight="1">
      <c r="A40" s="14" t="s">
        <v>36</v>
      </c>
      <c r="B40" s="30"/>
      <c r="C40" s="9"/>
    </row>
    <row r="41" spans="1:62" ht="24" customHeight="1">
      <c r="A41" s="14" t="s">
        <v>37</v>
      </c>
      <c r="B41" s="15">
        <v>1297828.8400000001</v>
      </c>
      <c r="C41" s="9"/>
    </row>
    <row r="42" spans="1:62" ht="24" customHeight="1">
      <c r="A42" s="14" t="s">
        <v>38</v>
      </c>
      <c r="B42" s="25">
        <v>0</v>
      </c>
      <c r="C42" s="24"/>
    </row>
    <row r="43" spans="1:62" ht="24" customHeight="1">
      <c r="A43" s="1" t="s">
        <v>39</v>
      </c>
      <c r="B43" s="26">
        <v>76742.5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40</v>
      </c>
      <c r="B44" s="26">
        <v>547.89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31" t="s">
        <v>41</v>
      </c>
      <c r="B45" s="32">
        <v>0</v>
      </c>
      <c r="C45" s="33"/>
    </row>
    <row r="46" spans="1:62" ht="24" customHeight="1">
      <c r="A46" s="14" t="s">
        <v>42</v>
      </c>
      <c r="B46" s="15">
        <v>0</v>
      </c>
      <c r="C46" s="9"/>
    </row>
    <row r="47" spans="1:62" ht="24" customHeight="1">
      <c r="A47" s="14" t="s">
        <v>43</v>
      </c>
      <c r="B47" s="15">
        <v>0</v>
      </c>
      <c r="C47" s="9"/>
    </row>
    <row r="48" spans="1:62" ht="24" customHeight="1">
      <c r="A48" s="14" t="s">
        <v>44</v>
      </c>
      <c r="B48" s="15">
        <v>1220538.45</v>
      </c>
      <c r="C48" s="9"/>
    </row>
    <row r="49" spans="1:3" ht="24" customHeight="1">
      <c r="A49" s="14" t="s">
        <v>45</v>
      </c>
      <c r="B49" s="15">
        <f>+B48</f>
        <v>1220538.45</v>
      </c>
      <c r="C49" s="9"/>
    </row>
    <row r="50" spans="1:3" ht="24" customHeight="1">
      <c r="A50" s="14" t="s">
        <v>46</v>
      </c>
      <c r="B50" s="17">
        <v>0</v>
      </c>
      <c r="C50" s="9"/>
    </row>
    <row r="51" spans="1:3" ht="24" customHeight="1">
      <c r="A51" s="14" t="s">
        <v>47</v>
      </c>
      <c r="B51" s="17">
        <v>0</v>
      </c>
      <c r="C51" s="9"/>
    </row>
    <row r="52" spans="1:3" ht="8.25" customHeight="1">
      <c r="A52" s="18"/>
      <c r="B52" s="19"/>
      <c r="C52" s="20"/>
    </row>
    <row r="53" spans="1:3" ht="24" customHeight="1">
      <c r="A53" s="14" t="s">
        <v>48</v>
      </c>
      <c r="B53" s="15">
        <v>1221086.3400000001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49</v>
      </c>
      <c r="B55" s="17">
        <v>0</v>
      </c>
      <c r="C55" s="9"/>
    </row>
    <row r="56" spans="1:3" ht="24" customHeight="1">
      <c r="A56" s="14" t="s">
        <v>50</v>
      </c>
      <c r="B56" s="17">
        <v>0</v>
      </c>
      <c r="C56" s="9"/>
    </row>
    <row r="57" spans="1:3" ht="24" customHeight="1">
      <c r="A57" s="14" t="s">
        <v>51</v>
      </c>
      <c r="B57" s="17">
        <v>0</v>
      </c>
      <c r="C57" s="9"/>
    </row>
    <row r="58" spans="1:3" ht="24" customHeight="1">
      <c r="A58" s="14"/>
      <c r="B58" s="17">
        <v>0</v>
      </c>
      <c r="C58" s="9"/>
    </row>
    <row r="59" spans="1:3" ht="24" customHeight="1">
      <c r="A59" s="14" t="s">
        <v>52</v>
      </c>
      <c r="B59" s="17">
        <v>0</v>
      </c>
      <c r="C59" s="9"/>
    </row>
    <row r="60" spans="1:3" ht="24" customHeight="1">
      <c r="A60" s="14" t="s">
        <v>53</v>
      </c>
      <c r="B60" s="17">
        <v>0</v>
      </c>
      <c r="C60" s="9"/>
    </row>
    <row r="61" spans="1:3" ht="24" customHeight="1">
      <c r="A61" s="14" t="s">
        <v>54</v>
      </c>
      <c r="B61" s="17">
        <v>0</v>
      </c>
      <c r="C61" s="9"/>
    </row>
    <row r="62" spans="1:3" ht="24" customHeight="1">
      <c r="A62" s="14" t="s">
        <v>55</v>
      </c>
      <c r="B62" s="17">
        <v>0</v>
      </c>
      <c r="C62" s="9"/>
    </row>
    <row r="63" spans="1:3" ht="24" customHeight="1">
      <c r="A63" s="14" t="s">
        <v>56</v>
      </c>
      <c r="B63" s="17">
        <v>0</v>
      </c>
      <c r="C63" s="9"/>
    </row>
    <row r="64" spans="1:3" ht="24" customHeight="1">
      <c r="A64" s="14" t="s">
        <v>57</v>
      </c>
      <c r="B64" s="17">
        <v>0</v>
      </c>
      <c r="C64" s="9"/>
    </row>
    <row r="65" spans="1:7" ht="24" customHeight="1">
      <c r="A65" s="14"/>
      <c r="B65" s="17"/>
      <c r="C65" s="9"/>
    </row>
    <row r="66" spans="1:7" ht="24" customHeight="1">
      <c r="A66" s="14" t="s">
        <v>58</v>
      </c>
      <c r="B66" s="35">
        <v>3988624</v>
      </c>
      <c r="C66" s="9"/>
    </row>
    <row r="67" spans="1:7" ht="24" customHeight="1">
      <c r="A67" s="14" t="s">
        <v>59</v>
      </c>
      <c r="B67" s="35">
        <v>681189</v>
      </c>
      <c r="C67" s="9"/>
    </row>
    <row r="68" spans="1:7" ht="24" customHeight="1">
      <c r="A68" s="14" t="s">
        <v>60</v>
      </c>
      <c r="B68" s="35">
        <v>3307435</v>
      </c>
      <c r="C68" s="9"/>
    </row>
    <row r="69" spans="1:7" ht="24" customHeight="1">
      <c r="A69" s="14" t="s">
        <v>61</v>
      </c>
      <c r="B69" s="35">
        <v>3307056</v>
      </c>
      <c r="C69" s="9"/>
    </row>
    <row r="70" spans="1:7" ht="24" customHeight="1">
      <c r="A70" s="14" t="s">
        <v>62</v>
      </c>
      <c r="B70" s="35">
        <f>B68-B69</f>
        <v>379</v>
      </c>
      <c r="C70" s="9"/>
      <c r="G70">
        <v>14646</v>
      </c>
    </row>
    <row r="71" spans="1:7" ht="24" customHeight="1">
      <c r="A71" s="14"/>
      <c r="B71" s="35"/>
      <c r="C71" s="9"/>
    </row>
    <row r="72" spans="1:7" ht="24" customHeight="1">
      <c r="A72" s="14" t="s">
        <v>63</v>
      </c>
      <c r="B72" s="17"/>
      <c r="C72" s="9"/>
    </row>
    <row r="73" spans="1:7" ht="24" customHeight="1">
      <c r="A73" s="14" t="s">
        <v>64</v>
      </c>
      <c r="B73" s="17">
        <v>0</v>
      </c>
      <c r="C73" s="9"/>
    </row>
    <row r="74" spans="1:7" ht="24" customHeight="1">
      <c r="A74" s="14" t="s">
        <v>65</v>
      </c>
      <c r="B74" s="17">
        <v>0</v>
      </c>
      <c r="C74" s="9"/>
    </row>
    <row r="75" spans="1:7" ht="24" customHeight="1">
      <c r="A75" s="14" t="s">
        <v>66</v>
      </c>
      <c r="B75" s="17">
        <v>0</v>
      </c>
      <c r="C75" s="9"/>
    </row>
    <row r="76" spans="1:7" ht="24" customHeight="1">
      <c r="A76" s="14" t="s">
        <v>67</v>
      </c>
      <c r="B76" s="17">
        <v>0</v>
      </c>
      <c r="C76" s="9"/>
    </row>
    <row r="77" spans="1:7" ht="24" customHeight="1">
      <c r="A77" s="14"/>
      <c r="B77" s="17"/>
      <c r="C77" s="9"/>
    </row>
    <row r="78" spans="1:7" ht="24" customHeight="1">
      <c r="A78" s="14" t="s">
        <v>68</v>
      </c>
      <c r="B78" s="36">
        <f>+SUM(B73:B76)</f>
        <v>0</v>
      </c>
      <c r="C78" s="9"/>
    </row>
    <row r="79" spans="1:7" ht="15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54"/>
  </sheetPr>
  <dimension ref="A1:BJ79"/>
  <sheetViews>
    <sheetView workbookViewId="0">
      <pane xSplit="3" ySplit="7" topLeftCell="D65" activePane="bottomRight" state="frozen"/>
      <selection pane="topRight" activeCell="D1" sqref="D1"/>
      <selection pane="bottomLeft" activeCell="A62" sqref="A62"/>
      <selection pane="bottomRight" activeCell="B70" sqref="B70"/>
    </sheetView>
  </sheetViews>
  <sheetFormatPr defaultColWidth="11" defaultRowHeight="14.25"/>
  <cols>
    <col min="1" max="1" width="54.42578125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38">
        <v>118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5415067.96</v>
      </c>
      <c r="C8" s="14"/>
    </row>
    <row r="9" spans="1:7" ht="24" customHeight="1">
      <c r="A9" s="14" t="s">
        <v>9</v>
      </c>
      <c r="B9" s="15">
        <f>B8</f>
        <v>5415067.96</v>
      </c>
      <c r="C9" s="14"/>
    </row>
    <row r="10" spans="1:7" ht="24" customHeight="1">
      <c r="A10" s="14" t="s">
        <v>10</v>
      </c>
      <c r="B10" s="15">
        <v>0</v>
      </c>
      <c r="C10" s="14"/>
    </row>
    <row r="11" spans="1:7" ht="24" customHeight="1">
      <c r="A11" s="14" t="s">
        <v>11</v>
      </c>
      <c r="B11" s="15">
        <v>0</v>
      </c>
      <c r="C11" s="14"/>
    </row>
    <row r="12" spans="1:7" ht="24" customHeight="1">
      <c r="A12" s="14"/>
      <c r="C12" s="14"/>
    </row>
    <row r="13" spans="1:7" ht="24" customHeight="1">
      <c r="A13" s="14" t="s">
        <v>12</v>
      </c>
      <c r="B13" s="15">
        <v>5252998.47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5121816.47</v>
      </c>
      <c r="C14" s="9"/>
      <c r="D14" s="16"/>
      <c r="E14" s="16"/>
      <c r="F14" s="16"/>
      <c r="G14" s="16"/>
    </row>
    <row r="15" spans="1:7" ht="24" customHeight="1">
      <c r="A15" s="14" t="s">
        <v>14</v>
      </c>
      <c r="B15" s="15">
        <f>+B14</f>
        <v>5121816.47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5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131182</v>
      </c>
      <c r="C18" s="9"/>
      <c r="D18" s="16"/>
      <c r="E18" s="16"/>
      <c r="F18" s="16"/>
      <c r="G18" s="16"/>
    </row>
    <row r="19" spans="1:62" ht="24" customHeight="1">
      <c r="A19" s="14" t="s">
        <v>18</v>
      </c>
      <c r="B19" s="15">
        <f>+B18</f>
        <v>131182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</row>
    <row r="23" spans="1:62" ht="5.25" customHeight="1">
      <c r="A23" s="18"/>
      <c r="B23" s="19">
        <v>0</v>
      </c>
      <c r="C23" s="20"/>
    </row>
    <row r="24" spans="1:62" ht="24" customHeight="1">
      <c r="A24" s="14" t="s">
        <v>21</v>
      </c>
      <c r="B24" s="21">
        <v>0.03</v>
      </c>
      <c r="C24" s="9"/>
    </row>
    <row r="25" spans="1:62" ht="24" customHeight="1">
      <c r="A25" s="14" t="s">
        <v>22</v>
      </c>
      <c r="B25" s="21">
        <v>0.97</v>
      </c>
      <c r="C25" s="9"/>
    </row>
    <row r="26" spans="1:62" ht="24" customHeight="1">
      <c r="A26" s="22" t="s">
        <v>23</v>
      </c>
      <c r="B26" s="23">
        <v>0.95669999999999999</v>
      </c>
      <c r="C26" s="24"/>
    </row>
    <row r="27" spans="1:62" ht="5.25" customHeight="1">
      <c r="A27" s="18"/>
      <c r="B27" s="19"/>
      <c r="C27" s="20"/>
    </row>
    <row r="28" spans="1:62" ht="24" customHeight="1">
      <c r="A28" s="14" t="s">
        <v>24</v>
      </c>
      <c r="B28" s="15">
        <v>1314566.81</v>
      </c>
      <c r="C28" s="9"/>
    </row>
    <row r="29" spans="1:62" ht="24" customHeight="1">
      <c r="A29" s="14" t="s">
        <v>25</v>
      </c>
      <c r="B29" s="15">
        <v>0</v>
      </c>
      <c r="C29" s="9"/>
    </row>
    <row r="30" spans="1:62" ht="24" customHeight="1">
      <c r="A30" s="22" t="s">
        <v>26</v>
      </c>
      <c r="B30" s="25">
        <v>787854</v>
      </c>
      <c r="C30" s="24"/>
    </row>
    <row r="31" spans="1:62" ht="24" customHeight="1">
      <c r="A31" s="14" t="s">
        <v>27</v>
      </c>
      <c r="B31" s="26">
        <v>526712.81000000006</v>
      </c>
      <c r="C31" s="9"/>
    </row>
    <row r="32" spans="1:62" ht="24" customHeight="1">
      <c r="A32" s="1" t="s">
        <v>28</v>
      </c>
      <c r="B32" s="26">
        <f>+B31</f>
        <v>526712.81000000006</v>
      </c>
      <c r="C32" s="27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29</v>
      </c>
      <c r="B33" s="29">
        <v>0</v>
      </c>
      <c r="C33" s="27"/>
    </row>
    <row r="34" spans="1:62" ht="24" customHeight="1">
      <c r="A34" s="14" t="s">
        <v>30</v>
      </c>
      <c r="B34" s="29">
        <v>0</v>
      </c>
      <c r="C34" s="9"/>
    </row>
    <row r="35" spans="1:62" ht="24" customHeight="1">
      <c r="A35" s="14" t="s">
        <v>31</v>
      </c>
      <c r="B35" s="29">
        <v>0</v>
      </c>
      <c r="C35" s="9"/>
    </row>
    <row r="36" spans="1:62" ht="24" customHeight="1">
      <c r="A36" s="14" t="s">
        <v>32</v>
      </c>
      <c r="B36" s="29">
        <v>0</v>
      </c>
      <c r="C36" s="9"/>
    </row>
    <row r="37" spans="1:62" ht="24" customHeight="1">
      <c r="A37" s="14" t="s">
        <v>33</v>
      </c>
      <c r="B37" s="29">
        <v>0</v>
      </c>
      <c r="C37" s="9"/>
    </row>
    <row r="38" spans="1:62" ht="24" customHeight="1">
      <c r="A38" s="14" t="s">
        <v>34</v>
      </c>
      <c r="B38" s="29">
        <v>0</v>
      </c>
      <c r="C38" s="9"/>
    </row>
    <row r="39" spans="1:62" ht="24" customHeight="1">
      <c r="A39" s="14" t="s">
        <v>35</v>
      </c>
      <c r="B39" s="29">
        <v>0</v>
      </c>
      <c r="C39" s="9"/>
    </row>
    <row r="40" spans="1:62" ht="24" customHeight="1">
      <c r="A40" s="14" t="s">
        <v>36</v>
      </c>
      <c r="B40" s="30"/>
      <c r="C40" s="9"/>
    </row>
    <row r="41" spans="1:62" ht="24" customHeight="1">
      <c r="A41" s="14" t="s">
        <v>37</v>
      </c>
      <c r="B41" s="15">
        <v>1152497.32</v>
      </c>
      <c r="C41" s="9"/>
    </row>
    <row r="42" spans="1:62" ht="24" customHeight="1">
      <c r="A42" s="14" t="s">
        <v>38</v>
      </c>
      <c r="B42" s="25">
        <v>0</v>
      </c>
      <c r="C42" s="24"/>
    </row>
    <row r="43" spans="1:62" ht="24" customHeight="1">
      <c r="A43" s="1" t="s">
        <v>39</v>
      </c>
      <c r="B43" s="26">
        <v>131182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40</v>
      </c>
      <c r="B44" s="26">
        <v>1121.48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31" t="s">
        <v>41</v>
      </c>
      <c r="B45" s="32">
        <v>0</v>
      </c>
      <c r="C45" s="33"/>
    </row>
    <row r="46" spans="1:62" ht="24" customHeight="1">
      <c r="A46" s="14" t="s">
        <v>42</v>
      </c>
      <c r="B46" s="15">
        <v>0</v>
      </c>
      <c r="C46" s="9"/>
    </row>
    <row r="47" spans="1:62" ht="24" customHeight="1">
      <c r="A47" s="14" t="s">
        <v>43</v>
      </c>
      <c r="B47" s="15">
        <v>0</v>
      </c>
      <c r="C47" s="9"/>
    </row>
    <row r="48" spans="1:62" ht="24" customHeight="1">
      <c r="A48" s="14" t="s">
        <v>44</v>
      </c>
      <c r="B48" s="15">
        <v>1020193.84</v>
      </c>
      <c r="C48" s="9"/>
    </row>
    <row r="49" spans="1:3" ht="24" customHeight="1">
      <c r="A49" s="14" t="s">
        <v>45</v>
      </c>
      <c r="B49" s="15">
        <f>B48</f>
        <v>1020193.84</v>
      </c>
      <c r="C49" s="9"/>
    </row>
    <row r="50" spans="1:3" ht="24" customHeight="1">
      <c r="A50" s="14" t="s">
        <v>46</v>
      </c>
      <c r="B50" s="17">
        <v>0</v>
      </c>
      <c r="C50" s="9"/>
    </row>
    <row r="51" spans="1:3" ht="24" customHeight="1">
      <c r="A51" s="14" t="s">
        <v>47</v>
      </c>
      <c r="B51" s="17">
        <v>0</v>
      </c>
      <c r="C51" s="9"/>
    </row>
    <row r="52" spans="1:3" ht="8.25" customHeight="1">
      <c r="A52" s="18"/>
      <c r="B52" s="19"/>
      <c r="C52" s="20"/>
    </row>
    <row r="53" spans="1:3" ht="24" customHeight="1">
      <c r="A53" s="14" t="s">
        <v>48</v>
      </c>
      <c r="B53" s="15">
        <v>1021315.32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49</v>
      </c>
      <c r="B55" s="17">
        <v>0</v>
      </c>
      <c r="C55" s="9"/>
    </row>
    <row r="56" spans="1:3" ht="24" customHeight="1">
      <c r="A56" s="14" t="s">
        <v>50</v>
      </c>
      <c r="B56" s="17">
        <v>0</v>
      </c>
      <c r="C56" s="9"/>
    </row>
    <row r="57" spans="1:3" ht="24" customHeight="1">
      <c r="A57" s="14" t="s">
        <v>51</v>
      </c>
      <c r="B57" s="17">
        <v>0</v>
      </c>
      <c r="C57" s="9"/>
    </row>
    <row r="58" spans="1:3" ht="24" customHeight="1">
      <c r="A58" s="14"/>
      <c r="B58" s="17">
        <v>0</v>
      </c>
      <c r="C58" s="9"/>
    </row>
    <row r="59" spans="1:3" ht="24" customHeight="1">
      <c r="A59" s="14" t="s">
        <v>52</v>
      </c>
      <c r="B59" s="17">
        <v>0</v>
      </c>
      <c r="C59" s="9"/>
    </row>
    <row r="60" spans="1:3" ht="24" customHeight="1">
      <c r="A60" s="14" t="s">
        <v>53</v>
      </c>
      <c r="B60" s="17">
        <v>0</v>
      </c>
      <c r="C60" s="9"/>
    </row>
    <row r="61" spans="1:3" ht="24" customHeight="1">
      <c r="A61" s="14" t="s">
        <v>54</v>
      </c>
      <c r="B61" s="17">
        <v>0</v>
      </c>
      <c r="C61" s="9"/>
    </row>
    <row r="62" spans="1:3" ht="24" customHeight="1">
      <c r="A62" s="14" t="s">
        <v>55</v>
      </c>
      <c r="B62" s="17">
        <v>0</v>
      </c>
      <c r="C62" s="9"/>
    </row>
    <row r="63" spans="1:3" ht="24" customHeight="1">
      <c r="A63" s="14" t="s">
        <v>56</v>
      </c>
      <c r="B63" s="17">
        <v>0</v>
      </c>
      <c r="C63" s="9"/>
    </row>
    <row r="64" spans="1:3" ht="24" customHeight="1">
      <c r="A64" s="14" t="s">
        <v>57</v>
      </c>
      <c r="B64" s="17">
        <v>0</v>
      </c>
      <c r="C64" s="9"/>
    </row>
    <row r="65" spans="1:3" ht="24" customHeight="1">
      <c r="A65" s="14"/>
      <c r="B65" s="17"/>
      <c r="C65" s="9"/>
    </row>
    <row r="66" spans="1:3" ht="24" customHeight="1">
      <c r="A66" s="14" t="s">
        <v>58</v>
      </c>
      <c r="B66" s="35">
        <v>3968998</v>
      </c>
      <c r="C66" s="9"/>
    </row>
    <row r="67" spans="1:3" ht="24" customHeight="1">
      <c r="A67" s="14" t="s">
        <v>59</v>
      </c>
      <c r="B67" s="35">
        <v>669319</v>
      </c>
      <c r="C67" s="9"/>
    </row>
    <row r="68" spans="1:3" ht="24" customHeight="1">
      <c r="A68" s="14" t="s">
        <v>60</v>
      </c>
      <c r="B68" s="35">
        <v>3299679</v>
      </c>
      <c r="C68" s="9"/>
    </row>
    <row r="69" spans="1:3" ht="24" customHeight="1">
      <c r="A69" s="14" t="s">
        <v>61</v>
      </c>
      <c r="B69" s="520">
        <v>3299385</v>
      </c>
      <c r="C69" s="9"/>
    </row>
    <row r="70" spans="1:3" ht="24" customHeight="1">
      <c r="A70" s="14" t="s">
        <v>62</v>
      </c>
      <c r="B70" s="35">
        <f>B68-B69</f>
        <v>294</v>
      </c>
      <c r="C70" s="9"/>
    </row>
    <row r="71" spans="1:3" ht="24" customHeight="1">
      <c r="A71" s="14"/>
      <c r="B71" s="35"/>
      <c r="C71" s="9"/>
    </row>
    <row r="72" spans="1:3" ht="24" customHeight="1">
      <c r="A72" s="14" t="s">
        <v>63</v>
      </c>
      <c r="B72" s="17"/>
      <c r="C72" s="9"/>
    </row>
    <row r="73" spans="1:3" ht="24" customHeight="1">
      <c r="A73" s="14" t="s">
        <v>64</v>
      </c>
      <c r="B73" s="17">
        <v>0</v>
      </c>
      <c r="C73" s="9"/>
    </row>
    <row r="74" spans="1:3" ht="24" customHeight="1">
      <c r="A74" s="14" t="s">
        <v>65</v>
      </c>
      <c r="B74" s="17">
        <v>0</v>
      </c>
      <c r="C74" s="9"/>
    </row>
    <row r="75" spans="1:3" ht="24" customHeight="1">
      <c r="A75" s="14" t="s">
        <v>66</v>
      </c>
      <c r="B75" s="17">
        <v>0</v>
      </c>
      <c r="C75" s="9"/>
    </row>
    <row r="76" spans="1:3" ht="24" customHeight="1">
      <c r="A76" s="14" t="s">
        <v>67</v>
      </c>
      <c r="B76" s="17">
        <v>0</v>
      </c>
      <c r="C76" s="9"/>
    </row>
    <row r="77" spans="1:3" ht="24" customHeight="1">
      <c r="A77" s="14"/>
      <c r="B77" s="17"/>
      <c r="C77" s="9"/>
    </row>
    <row r="78" spans="1:3" ht="24" customHeight="1">
      <c r="A78" s="14" t="s">
        <v>68</v>
      </c>
      <c r="B78" s="36">
        <f>+SUM(B73:B76)</f>
        <v>0</v>
      </c>
      <c r="C78" s="9"/>
    </row>
    <row r="79" spans="1:3" ht="15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2"/>
  <sheetViews>
    <sheetView workbookViewId="0">
      <pane xSplit="2" ySplit="7" topLeftCell="C42" activePane="bottomRight" state="frozen"/>
      <selection pane="topRight" activeCell="C1" sqref="C1"/>
      <selection pane="bottomLeft" activeCell="A14" sqref="A14"/>
      <selection pane="bottomRight" activeCell="B30" sqref="B30"/>
    </sheetView>
  </sheetViews>
  <sheetFormatPr defaultColWidth="11" defaultRowHeight="14.25"/>
  <cols>
    <col min="1" max="1" width="76.7109375" style="1" customWidth="1"/>
    <col min="2" max="2" width="25.28515625" style="2" bestFit="1" customWidth="1"/>
    <col min="3" max="4" width="19.85546875" customWidth="1"/>
    <col min="5" max="191" width="11.42578125" customWidth="1"/>
    <col min="192" max="192" width="31.5703125" customWidth="1"/>
    <col min="193" max="193" width="30" customWidth="1"/>
    <col min="194" max="194" width="4.85546875" customWidth="1"/>
    <col min="195" max="195" width="2.28515625" customWidth="1"/>
    <col min="196" max="200" width="0" hidden="1" customWidth="1"/>
    <col min="201" max="201" width="0.42578125" customWidth="1"/>
    <col min="202" max="209" width="3.85546875" customWidth="1"/>
    <col min="210" max="210" width="0.42578125" customWidth="1"/>
    <col min="211" max="211" width="3" customWidth="1"/>
    <col min="212" max="218" width="3.140625" customWidth="1"/>
    <col min="219" max="219" width="0.42578125" customWidth="1"/>
    <col min="220" max="227" width="3.140625" customWidth="1"/>
    <col min="228" max="228" width="0.42578125" customWidth="1"/>
    <col min="229" max="234" width="3.140625" customWidth="1"/>
    <col min="235" max="235" width="3.28515625" customWidth="1"/>
    <col min="236" max="236" width="3.7109375" customWidth="1"/>
    <col min="237" max="237" width="0.85546875" customWidth="1"/>
    <col min="238" max="244" width="3.140625" customWidth="1"/>
    <col min="245" max="245" width="0.42578125" customWidth="1"/>
    <col min="246" max="253" width="3.140625" customWidth="1"/>
    <col min="254" max="254" width="0.28515625" customWidth="1"/>
  </cols>
  <sheetData>
    <row r="1" spans="1:9">
      <c r="A1" s="3"/>
      <c r="B1" s="4"/>
      <c r="I1" t="s">
        <v>69</v>
      </c>
    </row>
    <row r="2" spans="1:9" ht="15">
      <c r="A2" s="6" t="s">
        <v>0</v>
      </c>
      <c r="B2" s="7" t="s">
        <v>70</v>
      </c>
    </row>
    <row r="3" spans="1:9" ht="15">
      <c r="A3" s="6"/>
      <c r="B3" s="7"/>
    </row>
    <row r="4" spans="1:9" ht="24" customHeight="1">
      <c r="A4" s="6" t="s">
        <v>4</v>
      </c>
      <c r="B4" s="10">
        <v>1</v>
      </c>
    </row>
    <row r="5" spans="1:9" ht="24" customHeight="1">
      <c r="B5" s="37"/>
    </row>
    <row r="6" spans="1:9" ht="24" customHeight="1">
      <c r="A6" s="11" t="s">
        <v>5</v>
      </c>
      <c r="B6" s="38">
        <v>95</v>
      </c>
    </row>
    <row r="7" spans="1:9" ht="24" customHeight="1">
      <c r="A7" s="12" t="s">
        <v>6</v>
      </c>
      <c r="B7" s="39" t="s">
        <v>110</v>
      </c>
    </row>
    <row r="8" spans="1:9" ht="24" customHeight="1">
      <c r="A8" s="40" t="s">
        <v>71</v>
      </c>
      <c r="B8" s="41">
        <v>206191.71</v>
      </c>
    </row>
    <row r="9" spans="1:9" ht="24" customHeight="1">
      <c r="A9" s="40" t="s">
        <v>72</v>
      </c>
      <c r="B9" s="41">
        <v>0</v>
      </c>
    </row>
    <row r="10" spans="1:9" ht="24" customHeight="1">
      <c r="A10" s="40" t="s">
        <v>73</v>
      </c>
      <c r="B10" s="41">
        <v>146458</v>
      </c>
    </row>
    <row r="11" spans="1:9" ht="24" customHeight="1">
      <c r="A11" s="40" t="s">
        <v>74</v>
      </c>
      <c r="B11" s="41">
        <v>0</v>
      </c>
    </row>
    <row r="12" spans="1:9" ht="24" customHeight="1">
      <c r="A12" s="40" t="s">
        <v>75</v>
      </c>
      <c r="B12" s="41">
        <v>59733.71</v>
      </c>
    </row>
    <row r="13" spans="1:9" ht="24" customHeight="1">
      <c r="A13" s="40" t="s">
        <v>76</v>
      </c>
      <c r="B13" s="41">
        <v>600383.9</v>
      </c>
      <c r="C13" s="16"/>
      <c r="D13" s="16"/>
      <c r="E13" s="16"/>
      <c r="F13" s="16"/>
    </row>
    <row r="14" spans="1:9" ht="24" customHeight="1">
      <c r="A14" s="40" t="s">
        <v>77</v>
      </c>
      <c r="B14" s="41">
        <v>561183.48</v>
      </c>
      <c r="C14" s="16"/>
      <c r="D14" s="16"/>
      <c r="E14" s="16"/>
      <c r="F14" s="16"/>
    </row>
    <row r="15" spans="1:9" ht="24" customHeight="1">
      <c r="A15" s="40" t="s">
        <v>78</v>
      </c>
      <c r="B15" s="41">
        <v>563882.43999999994</v>
      </c>
      <c r="C15" s="16"/>
      <c r="D15" s="16"/>
      <c r="E15" s="16"/>
      <c r="F15" s="16"/>
    </row>
    <row r="16" spans="1:9" ht="24" customHeight="1">
      <c r="A16" s="40" t="s">
        <v>79</v>
      </c>
      <c r="B16" s="41">
        <f>+B15</f>
        <v>563882.43999999994</v>
      </c>
      <c r="C16" s="16"/>
      <c r="D16" s="16"/>
      <c r="E16" s="16"/>
      <c r="F16" s="16"/>
    </row>
    <row r="17" spans="1:6" ht="24" customHeight="1">
      <c r="A17" s="40" t="s">
        <v>80</v>
      </c>
      <c r="B17" s="41">
        <v>0</v>
      </c>
      <c r="C17" s="16"/>
      <c r="D17" s="16"/>
      <c r="E17" s="16"/>
      <c r="F17" s="16"/>
    </row>
    <row r="18" spans="1:6" ht="24" customHeight="1">
      <c r="A18" s="40" t="s">
        <v>81</v>
      </c>
      <c r="B18" s="41">
        <v>169690.25</v>
      </c>
      <c r="C18" s="16"/>
      <c r="D18" s="16"/>
      <c r="E18" s="16"/>
      <c r="F18" s="16"/>
    </row>
    <row r="19" spans="1:6" ht="24" customHeight="1">
      <c r="A19" s="40" t="s">
        <v>38</v>
      </c>
      <c r="B19" s="41">
        <v>0</v>
      </c>
    </row>
    <row r="20" spans="1:6" ht="24" customHeight="1">
      <c r="A20" s="40" t="s">
        <v>82</v>
      </c>
      <c r="B20" s="41">
        <v>0</v>
      </c>
    </row>
    <row r="21" spans="1:6" ht="24" customHeight="1">
      <c r="A21" s="40" t="s">
        <v>83</v>
      </c>
      <c r="B21" s="41">
        <v>169686.99</v>
      </c>
    </row>
    <row r="22" spans="1:6" ht="24" customHeight="1">
      <c r="A22" s="40" t="s">
        <v>84</v>
      </c>
      <c r="B22" s="41">
        <v>3.26</v>
      </c>
    </row>
    <row r="23" spans="1:6" ht="24" customHeight="1">
      <c r="A23" s="40" t="s">
        <v>85</v>
      </c>
      <c r="B23" s="41">
        <f>B22</f>
        <v>3.26</v>
      </c>
      <c r="E23" s="43" t="e">
        <f>+B23-#REF!</f>
        <v>#REF!</v>
      </c>
    </row>
    <row r="24" spans="1:6" ht="24" customHeight="1">
      <c r="A24" s="40" t="s">
        <v>86</v>
      </c>
      <c r="B24" s="41">
        <v>0</v>
      </c>
    </row>
    <row r="25" spans="1:6" ht="24" customHeight="1">
      <c r="A25" s="40" t="s">
        <v>87</v>
      </c>
      <c r="B25" s="41">
        <v>0</v>
      </c>
    </row>
    <row r="26" spans="1:6" ht="24" customHeight="1">
      <c r="A26" s="40" t="s">
        <v>88</v>
      </c>
      <c r="B26" s="41">
        <v>36501.46</v>
      </c>
    </row>
    <row r="27" spans="1:6" ht="24" customHeight="1">
      <c r="A27" s="40" t="s">
        <v>89</v>
      </c>
      <c r="B27" s="41">
        <f>B26</f>
        <v>36501.46</v>
      </c>
    </row>
    <row r="28" spans="1:6" ht="24" customHeight="1">
      <c r="A28" s="40" t="s">
        <v>90</v>
      </c>
      <c r="B28" s="41">
        <v>146458</v>
      </c>
    </row>
    <row r="29" spans="1:6" ht="24" customHeight="1">
      <c r="A29" s="40" t="s">
        <v>91</v>
      </c>
      <c r="B29" s="512">
        <v>0.93920000000000003</v>
      </c>
    </row>
    <row r="30" spans="1:6" ht="24" customHeight="1">
      <c r="A30" s="40" t="s">
        <v>92</v>
      </c>
      <c r="B30" s="512">
        <f>+B29</f>
        <v>0.93920000000000003</v>
      </c>
    </row>
    <row r="31" spans="1:6" ht="24" customHeight="1">
      <c r="A31" s="40"/>
      <c r="B31" s="45"/>
    </row>
    <row r="32" spans="1:6" ht="24" customHeight="1">
      <c r="A32" s="40"/>
      <c r="B32" s="4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40"/>
  </sheetPr>
  <dimension ref="A1:BJ60"/>
  <sheetViews>
    <sheetView workbookViewId="0">
      <pane xSplit="3" ySplit="7" topLeftCell="D57" activePane="bottomRight" state="frozen"/>
      <selection pane="topRight" activeCell="D1" sqref="D1"/>
      <selection pane="bottomLeft" activeCell="A39" sqref="A39"/>
      <selection pane="bottomRight" activeCell="B65" sqref="B65"/>
    </sheetView>
  </sheetViews>
  <sheetFormatPr defaultColWidth="11" defaultRowHeight="14.25"/>
  <cols>
    <col min="1" max="1" width="31.5703125" style="1" customWidth="1"/>
    <col min="2" max="2" width="30" customWidth="1"/>
    <col min="3" max="3" width="4.85546875" customWidth="1"/>
    <col min="4" max="8" width="11.42578125" customWidth="1"/>
    <col min="9" max="9" width="10" customWidth="1"/>
    <col min="10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5"/>
      <c r="C1" s="5"/>
    </row>
    <row r="2" spans="1:7" ht="15">
      <c r="A2" s="6" t="s">
        <v>0</v>
      </c>
      <c r="B2" s="71" t="s">
        <v>111</v>
      </c>
      <c r="C2" s="8" t="s">
        <v>2</v>
      </c>
    </row>
    <row r="3" spans="1:7" ht="15">
      <c r="A3" s="6"/>
      <c r="B3" s="71" t="s">
        <v>112</v>
      </c>
      <c r="C3" s="9"/>
    </row>
    <row r="4" spans="1:7" ht="15">
      <c r="A4" s="6" t="s">
        <v>4</v>
      </c>
      <c r="B4" s="72">
        <v>1</v>
      </c>
      <c r="C4" s="9"/>
    </row>
    <row r="5" spans="1:7" ht="12.75" customHeight="1">
      <c r="B5" s="73" t="s">
        <v>113</v>
      </c>
      <c r="C5" s="9"/>
    </row>
    <row r="6" spans="1:7" ht="23.25">
      <c r="A6" s="11" t="s">
        <v>5</v>
      </c>
      <c r="B6" s="74">
        <v>35</v>
      </c>
      <c r="C6" s="9"/>
    </row>
    <row r="7" spans="1:7" ht="24" customHeight="1">
      <c r="A7" s="12" t="s">
        <v>6</v>
      </c>
      <c r="B7" s="75" t="s">
        <v>112</v>
      </c>
      <c r="C7" s="9"/>
    </row>
    <row r="8" spans="1:7" ht="24" customHeight="1">
      <c r="A8" s="14" t="s">
        <v>114</v>
      </c>
      <c r="B8" s="64">
        <v>1562764</v>
      </c>
      <c r="C8" s="14"/>
    </row>
    <row r="9" spans="1:7" ht="24" customHeight="1">
      <c r="A9" s="14" t="s">
        <v>115</v>
      </c>
      <c r="B9" s="64">
        <v>0</v>
      </c>
      <c r="C9" s="14"/>
    </row>
    <row r="10" spans="1:7" ht="24" customHeight="1">
      <c r="A10" s="14" t="s">
        <v>116</v>
      </c>
      <c r="B10" s="64">
        <v>1466807</v>
      </c>
      <c r="C10" s="14"/>
    </row>
    <row r="11" spans="1:7" ht="24" customHeight="1">
      <c r="A11" s="14" t="s">
        <v>117</v>
      </c>
      <c r="B11" s="64">
        <v>0</v>
      </c>
      <c r="C11" s="14"/>
    </row>
    <row r="12" spans="1:7" ht="24" customHeight="1">
      <c r="A12" s="14" t="s">
        <v>118</v>
      </c>
      <c r="B12" s="64">
        <v>0</v>
      </c>
      <c r="C12" s="14"/>
    </row>
    <row r="13" spans="1:7" ht="24" customHeight="1">
      <c r="A13" s="14" t="s">
        <v>119</v>
      </c>
      <c r="B13" s="64">
        <v>32000</v>
      </c>
      <c r="C13" s="9"/>
      <c r="D13" s="16"/>
      <c r="E13" s="16"/>
      <c r="F13" s="16"/>
      <c r="G13" s="16"/>
    </row>
    <row r="14" spans="1:7" ht="24" customHeight="1">
      <c r="A14" s="14" t="s">
        <v>120</v>
      </c>
      <c r="B14" s="64">
        <v>63957</v>
      </c>
      <c r="C14" s="9"/>
      <c r="D14" s="16"/>
      <c r="E14" s="16"/>
      <c r="F14" s="16"/>
      <c r="G14" s="16"/>
    </row>
    <row r="15" spans="1:7" ht="24" customHeight="1">
      <c r="A15" s="14" t="s">
        <v>121</v>
      </c>
      <c r="B15" s="64">
        <v>0</v>
      </c>
      <c r="C15" s="9"/>
      <c r="D15" s="16"/>
      <c r="E15" s="16"/>
      <c r="F15" s="16"/>
      <c r="G15" s="16"/>
    </row>
    <row r="16" spans="1:7" ht="24" customHeight="1">
      <c r="A16" s="14" t="s">
        <v>122</v>
      </c>
      <c r="B16" s="64">
        <v>8</v>
      </c>
      <c r="C16" s="9"/>
      <c r="D16" s="16"/>
      <c r="E16" s="16"/>
      <c r="F16" s="16"/>
      <c r="G16" s="16"/>
    </row>
    <row r="17" spans="1:62" ht="24" customHeight="1">
      <c r="A17" s="14" t="s">
        <v>123</v>
      </c>
      <c r="B17" s="64">
        <v>178647</v>
      </c>
      <c r="C17" s="9"/>
      <c r="D17" s="16"/>
      <c r="E17" s="16"/>
      <c r="F17" s="16"/>
      <c r="G17" s="16"/>
    </row>
    <row r="18" spans="1:62" ht="24" customHeight="1">
      <c r="A18" s="14" t="s">
        <v>124</v>
      </c>
      <c r="B18" s="64">
        <v>225083</v>
      </c>
      <c r="C18" s="9"/>
      <c r="D18" s="16"/>
      <c r="E18" s="16"/>
      <c r="F18" s="16"/>
      <c r="G18" s="16"/>
    </row>
    <row r="19" spans="1:62" ht="24" customHeight="1">
      <c r="A19" s="14" t="s">
        <v>125</v>
      </c>
      <c r="B19" s="64">
        <v>403730</v>
      </c>
      <c r="C19" s="9"/>
    </row>
    <row r="20" spans="1:62" ht="8.25" customHeight="1">
      <c r="A20" s="18"/>
      <c r="B20" s="20"/>
      <c r="C20" s="20"/>
    </row>
    <row r="21" spans="1:62" ht="24" customHeight="1">
      <c r="A21" s="14" t="s">
        <v>126</v>
      </c>
      <c r="B21" s="76">
        <v>0</v>
      </c>
      <c r="C21" s="9"/>
    </row>
    <row r="22" spans="1:62" ht="24" customHeight="1">
      <c r="A22" s="14" t="s">
        <v>127</v>
      </c>
      <c r="B22" s="64">
        <v>0</v>
      </c>
      <c r="C22" s="9"/>
    </row>
    <row r="23" spans="1:62" ht="24" customHeight="1">
      <c r="A23" s="14" t="s">
        <v>128</v>
      </c>
      <c r="B23" s="64">
        <v>0</v>
      </c>
      <c r="C23" s="9"/>
    </row>
    <row r="24" spans="1:62" ht="24" customHeight="1">
      <c r="A24" s="14" t="s">
        <v>129</v>
      </c>
      <c r="B24" s="64">
        <v>0</v>
      </c>
      <c r="C24" s="9"/>
    </row>
    <row r="25" spans="1:62" ht="24" customHeight="1">
      <c r="A25" s="14" t="s">
        <v>130</v>
      </c>
      <c r="B25" s="64">
        <v>956</v>
      </c>
      <c r="C25" s="9"/>
    </row>
    <row r="26" spans="1:62" ht="24" customHeight="1">
      <c r="A26" s="14" t="s">
        <v>131</v>
      </c>
      <c r="B26" s="64">
        <v>48393</v>
      </c>
      <c r="C26" s="9"/>
    </row>
    <row r="27" spans="1:62" ht="24" customHeight="1">
      <c r="A27" s="14"/>
      <c r="B27" s="64">
        <v>0</v>
      </c>
      <c r="C27" s="9"/>
    </row>
    <row r="28" spans="1:62" ht="24" customHeight="1">
      <c r="A28" s="14" t="s">
        <v>132</v>
      </c>
      <c r="B28" s="64">
        <v>1562764</v>
      </c>
      <c r="C28" s="9"/>
    </row>
    <row r="29" spans="1:62" ht="24" customHeight="1">
      <c r="A29" s="14" t="s">
        <v>133</v>
      </c>
      <c r="B29" s="64">
        <v>1466807</v>
      </c>
      <c r="C29" s="9"/>
    </row>
    <row r="30" spans="1:62" ht="24" customHeight="1">
      <c r="A30" s="14" t="s">
        <v>134</v>
      </c>
      <c r="B30" s="64">
        <v>0</v>
      </c>
      <c r="C30" s="9"/>
    </row>
    <row r="31" spans="1:62" ht="24" customHeight="1">
      <c r="A31" s="77" t="s">
        <v>135</v>
      </c>
      <c r="B31" s="78"/>
      <c r="BB31" s="28"/>
      <c r="BC31" s="16"/>
      <c r="BD31" s="16"/>
      <c r="BE31" s="16"/>
      <c r="BF31" s="16"/>
      <c r="BG31" s="16"/>
      <c r="BH31" s="16"/>
      <c r="BI31" s="16"/>
      <c r="BJ31" s="16"/>
    </row>
    <row r="32" spans="1:62" ht="24" customHeight="1">
      <c r="A32" s="14" t="s">
        <v>136</v>
      </c>
      <c r="B32" s="79">
        <v>1562764</v>
      </c>
      <c r="C32" s="9"/>
    </row>
    <row r="33" spans="1:62" ht="24" customHeight="1">
      <c r="A33" s="14" t="s">
        <v>137</v>
      </c>
      <c r="B33" s="79">
        <v>1498807</v>
      </c>
      <c r="C33" s="9"/>
    </row>
    <row r="34" spans="1:62" ht="24" customHeight="1">
      <c r="A34" s="14" t="s">
        <v>52</v>
      </c>
      <c r="B34" s="64">
        <v>0</v>
      </c>
      <c r="C34" s="9"/>
    </row>
    <row r="35" spans="1:62" ht="24" customHeight="1">
      <c r="A35" s="14" t="s">
        <v>138</v>
      </c>
      <c r="B35" s="64">
        <v>32000</v>
      </c>
      <c r="C35" s="9"/>
    </row>
    <row r="36" spans="1:62" ht="24" customHeight="1">
      <c r="A36" s="14" t="s">
        <v>139</v>
      </c>
      <c r="B36" s="64">
        <v>0</v>
      </c>
      <c r="C36" s="9"/>
    </row>
    <row r="37" spans="1:62" ht="24" customHeight="1">
      <c r="A37" s="63" t="s">
        <v>140</v>
      </c>
      <c r="B37" s="64"/>
      <c r="C37" s="9"/>
    </row>
    <row r="38" spans="1:62" ht="24" customHeight="1">
      <c r="A38" s="14" t="s">
        <v>141</v>
      </c>
      <c r="B38" s="64">
        <v>0</v>
      </c>
      <c r="C38" s="9"/>
    </row>
    <row r="39" spans="1:62" ht="24" customHeight="1">
      <c r="A39" s="14" t="s">
        <v>142</v>
      </c>
      <c r="B39" s="64">
        <v>0</v>
      </c>
      <c r="C39" s="9"/>
    </row>
    <row r="40" spans="1:62" ht="24" customHeight="1">
      <c r="A40" s="14"/>
      <c r="B40" s="64"/>
      <c r="C40" s="9"/>
    </row>
    <row r="41" spans="1:62" ht="24" customHeight="1">
      <c r="A41" s="63" t="s">
        <v>143</v>
      </c>
      <c r="B41" s="9"/>
      <c r="C41" s="9"/>
    </row>
    <row r="42" spans="1:62" ht="24" customHeight="1">
      <c r="A42" s="14" t="s">
        <v>144</v>
      </c>
      <c r="B42" s="64">
        <v>0</v>
      </c>
      <c r="C42" s="9"/>
    </row>
    <row r="43" spans="1:62" ht="33" customHeight="1">
      <c r="A43" s="462" t="s">
        <v>145</v>
      </c>
      <c r="B43" s="463">
        <v>222875</v>
      </c>
      <c r="C43" s="463"/>
    </row>
    <row r="44" spans="1:62" ht="24" customHeight="1">
      <c r="A44" s="1" t="s">
        <v>146</v>
      </c>
      <c r="B44" s="78"/>
      <c r="BB44" s="28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69" t="s">
        <v>147</v>
      </c>
      <c r="B45" s="64"/>
      <c r="C45" s="9"/>
    </row>
    <row r="46" spans="1:62" ht="23.25">
      <c r="A46" s="464" t="s">
        <v>148</v>
      </c>
      <c r="B46" s="521">
        <v>126918</v>
      </c>
      <c r="C46" s="82"/>
    </row>
    <row r="47" spans="1:62" ht="30" customHeight="1">
      <c r="A47" s="14" t="s">
        <v>149</v>
      </c>
      <c r="B47" s="64"/>
      <c r="C47" s="64"/>
    </row>
    <row r="48" spans="1:62" ht="24" customHeight="1">
      <c r="A48" s="61" t="s">
        <v>144</v>
      </c>
      <c r="B48" s="522">
        <v>0</v>
      </c>
      <c r="C48" s="83"/>
    </row>
    <row r="49" spans="1:3" ht="25.5" customHeight="1">
      <c r="A49" s="22" t="s">
        <v>150</v>
      </c>
      <c r="B49" s="84">
        <v>0</v>
      </c>
      <c r="C49" s="9"/>
    </row>
    <row r="50" spans="1:3" ht="21.75" customHeight="1">
      <c r="A50" s="63" t="s">
        <v>151</v>
      </c>
      <c r="B50" s="9"/>
    </row>
    <row r="51" spans="1:3" ht="21.75" customHeight="1">
      <c r="A51" s="14" t="s">
        <v>152</v>
      </c>
      <c r="B51" s="40">
        <v>64975</v>
      </c>
    </row>
    <row r="52" spans="1:3" ht="21.75" customHeight="1">
      <c r="A52" s="14" t="s">
        <v>153</v>
      </c>
      <c r="B52" s="40">
        <v>52774</v>
      </c>
    </row>
    <row r="53" spans="1:3" ht="21.75" customHeight="1">
      <c r="A53" s="14" t="s">
        <v>154</v>
      </c>
      <c r="B53" s="40">
        <v>16420</v>
      </c>
    </row>
    <row r="54" spans="1:3" ht="21.75" customHeight="1">
      <c r="A54" s="14" t="s">
        <v>155</v>
      </c>
      <c r="B54" s="40">
        <v>3037</v>
      </c>
    </row>
    <row r="55" spans="1:3" ht="21.75" customHeight="1">
      <c r="A55" s="14" t="s">
        <v>156</v>
      </c>
      <c r="B55" s="40">
        <v>265943</v>
      </c>
    </row>
    <row r="56" spans="1:3" ht="21.75" customHeight="1">
      <c r="A56" s="14" t="s">
        <v>157</v>
      </c>
      <c r="B56" s="40">
        <v>0</v>
      </c>
    </row>
    <row r="57" spans="1:3" ht="21.75" customHeight="1">
      <c r="A57" s="14" t="s">
        <v>158</v>
      </c>
      <c r="B57" s="40">
        <v>0</v>
      </c>
    </row>
    <row r="58" spans="1:3" ht="21.75" customHeight="1">
      <c r="A58" s="14" t="s">
        <v>159</v>
      </c>
      <c r="B58" s="40">
        <v>0</v>
      </c>
    </row>
    <row r="59" spans="1:3" ht="21.75" customHeight="1">
      <c r="A59" s="14" t="s">
        <v>160</v>
      </c>
      <c r="B59" s="40">
        <v>0</v>
      </c>
    </row>
    <row r="60" spans="1:3" ht="21.75" customHeight="1">
      <c r="A60" s="14" t="s">
        <v>161</v>
      </c>
      <c r="B60" s="40">
        <v>0</v>
      </c>
    </row>
  </sheetData>
  <sheetProtection selectLockedCells="1" selectUnlockedCells="1"/>
  <pageMargins left="0.7" right="0.7" top="0.75" bottom="0.75" header="0.51180555555555551" footer="0.51180555555555551"/>
  <pageSetup paperSize="9" scale="81" firstPageNumber="0" orientation="portrait" horizontalDpi="300" verticalDpi="300" r:id="rId1"/>
  <headerFooter alignWithMargins="0"/>
  <colBreaks count="2" manualBreakCount="2">
    <brk id="7" max="1048575" man="1"/>
    <brk id="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0"/>
  </sheetPr>
  <dimension ref="A1:BJ79"/>
  <sheetViews>
    <sheetView workbookViewId="0">
      <pane xSplit="3" ySplit="7" topLeftCell="D65" activePane="bottomRight" state="frozen"/>
      <selection pane="topRight" activeCell="D1" sqref="D1"/>
      <selection pane="bottomLeft" activeCell="A65" sqref="A65"/>
      <selection pane="bottomRight" activeCell="B70" sqref="B70"/>
    </sheetView>
  </sheetViews>
  <sheetFormatPr defaultColWidth="11" defaultRowHeight="14.25"/>
  <cols>
    <col min="1" max="1" width="54.42578125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50">
        <v>113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6847121.3700000001</v>
      </c>
      <c r="C8" s="14"/>
    </row>
    <row r="9" spans="1:7" ht="24" customHeight="1">
      <c r="A9" s="14" t="s">
        <v>9</v>
      </c>
      <c r="B9" s="15">
        <f>+B8</f>
        <v>6847121.3700000001</v>
      </c>
      <c r="C9" s="14"/>
    </row>
    <row r="10" spans="1:7" ht="24" customHeight="1">
      <c r="A10" s="14" t="s">
        <v>10</v>
      </c>
      <c r="B10" s="15">
        <v>0</v>
      </c>
      <c r="C10" s="14"/>
    </row>
    <row r="11" spans="1:7" ht="24" customHeight="1">
      <c r="A11" s="14" t="s">
        <v>11</v>
      </c>
      <c r="B11" s="15">
        <v>0</v>
      </c>
      <c r="C11" s="14"/>
    </row>
    <row r="12" spans="1:7" ht="24" customHeight="1">
      <c r="A12" s="14"/>
      <c r="B12" s="15"/>
      <c r="C12" s="14"/>
    </row>
    <row r="13" spans="1:7" ht="24" customHeight="1">
      <c r="A13" s="14" t="s">
        <v>12</v>
      </c>
      <c r="B13" s="15">
        <v>6585498.9199999999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6481161.4199999999</v>
      </c>
      <c r="C14" s="9"/>
      <c r="D14" s="16"/>
      <c r="E14" s="16"/>
      <c r="F14" s="16"/>
      <c r="G14" s="16"/>
    </row>
    <row r="15" spans="1:7" ht="24" customHeight="1">
      <c r="A15" s="14" t="s">
        <v>14</v>
      </c>
      <c r="B15" s="15">
        <f>B14</f>
        <v>6481161.4199999999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7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104337.5</v>
      </c>
      <c r="C18" s="9"/>
      <c r="D18" s="16"/>
      <c r="E18" s="16"/>
      <c r="F18" s="16"/>
      <c r="G18" s="16"/>
    </row>
    <row r="19" spans="1:62" ht="24" customHeight="1">
      <c r="A19" s="14" t="s">
        <v>18</v>
      </c>
      <c r="B19" s="15">
        <f>+B18</f>
        <v>104337.5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</row>
    <row r="23" spans="1:62" ht="5.25" customHeight="1">
      <c r="A23" s="18"/>
      <c r="B23" s="19">
        <v>0</v>
      </c>
      <c r="C23" s="20"/>
    </row>
    <row r="24" spans="1:62" ht="24" customHeight="1">
      <c r="A24" s="14" t="s">
        <v>21</v>
      </c>
      <c r="B24" s="21">
        <v>3.8300000000000001E-2</v>
      </c>
      <c r="C24" s="9"/>
    </row>
    <row r="25" spans="1:62" ht="24" customHeight="1">
      <c r="A25" s="14" t="s">
        <v>22</v>
      </c>
      <c r="B25" s="21">
        <v>0.9617</v>
      </c>
      <c r="C25" s="9"/>
    </row>
    <row r="26" spans="1:62" ht="24" customHeight="1">
      <c r="A26" s="22" t="s">
        <v>23</v>
      </c>
      <c r="B26" s="23">
        <v>0.95669999999999999</v>
      </c>
      <c r="C26" s="24"/>
    </row>
    <row r="27" spans="1:62" ht="5.25" customHeight="1">
      <c r="A27" s="18"/>
      <c r="B27" s="19"/>
      <c r="C27" s="20"/>
    </row>
    <row r="28" spans="1:62" ht="24" customHeight="1">
      <c r="A28" s="14" t="s">
        <v>24</v>
      </c>
      <c r="B28" s="15">
        <v>1873805.58</v>
      </c>
      <c r="C28" s="9"/>
    </row>
    <row r="29" spans="1:62" ht="24" customHeight="1">
      <c r="A29" s="14" t="s">
        <v>25</v>
      </c>
      <c r="B29" s="15">
        <v>0</v>
      </c>
      <c r="C29" s="9"/>
    </row>
    <row r="30" spans="1:62" ht="24" customHeight="1">
      <c r="A30" s="22" t="s">
        <v>26</v>
      </c>
      <c r="B30" s="25">
        <v>977092</v>
      </c>
      <c r="C30" s="24"/>
    </row>
    <row r="31" spans="1:62" ht="24" customHeight="1">
      <c r="A31" s="14" t="s">
        <v>27</v>
      </c>
      <c r="B31" s="26">
        <v>896713.58</v>
      </c>
      <c r="C31" s="9"/>
    </row>
    <row r="32" spans="1:62" ht="24" customHeight="1">
      <c r="A32" s="1" t="s">
        <v>28</v>
      </c>
      <c r="B32" s="26">
        <f>+B31</f>
        <v>896713.58</v>
      </c>
      <c r="C32" s="27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29</v>
      </c>
      <c r="B33" s="29">
        <v>0</v>
      </c>
      <c r="C33" s="27"/>
    </row>
    <row r="34" spans="1:62" ht="24" customHeight="1">
      <c r="A34" s="14" t="s">
        <v>30</v>
      </c>
      <c r="B34" s="29">
        <v>0</v>
      </c>
      <c r="C34" s="9"/>
    </row>
    <row r="35" spans="1:62" ht="24" customHeight="1">
      <c r="A35" s="14" t="s">
        <v>31</v>
      </c>
      <c r="B35" s="29">
        <v>0</v>
      </c>
      <c r="C35" s="9"/>
    </row>
    <row r="36" spans="1:62" ht="24" customHeight="1">
      <c r="A36" s="14" t="s">
        <v>32</v>
      </c>
      <c r="B36" s="29">
        <v>0</v>
      </c>
      <c r="C36" s="9"/>
    </row>
    <row r="37" spans="1:62" ht="24" customHeight="1">
      <c r="A37" s="14" t="s">
        <v>33</v>
      </c>
      <c r="B37" s="29">
        <v>0</v>
      </c>
      <c r="C37" s="9"/>
    </row>
    <row r="38" spans="1:62" ht="24" customHeight="1">
      <c r="A38" s="14" t="s">
        <v>34</v>
      </c>
      <c r="B38" s="29">
        <v>0</v>
      </c>
      <c r="C38" s="9"/>
    </row>
    <row r="39" spans="1:62" ht="24" customHeight="1">
      <c r="A39" s="14" t="s">
        <v>35</v>
      </c>
      <c r="B39" s="29">
        <v>0</v>
      </c>
      <c r="C39" s="9"/>
    </row>
    <row r="40" spans="1:62" ht="24" customHeight="1">
      <c r="A40" s="14" t="s">
        <v>36</v>
      </c>
      <c r="B40" s="30"/>
      <c r="C40" s="9"/>
    </row>
    <row r="41" spans="1:62" ht="24" customHeight="1">
      <c r="A41" s="14" t="s">
        <v>37</v>
      </c>
      <c r="B41" s="15">
        <v>1612183.13</v>
      </c>
      <c r="C41" s="9"/>
    </row>
    <row r="42" spans="1:62" ht="24" customHeight="1">
      <c r="A42" s="14" t="s">
        <v>38</v>
      </c>
      <c r="B42" s="25">
        <v>0</v>
      </c>
      <c r="C42" s="24"/>
    </row>
    <row r="43" spans="1:62" ht="24" customHeight="1">
      <c r="A43" s="1" t="s">
        <v>39</v>
      </c>
      <c r="B43" s="26">
        <v>104337.5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40</v>
      </c>
      <c r="B44" s="26">
        <v>1712.54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31" t="s">
        <v>41</v>
      </c>
      <c r="B45" s="32">
        <v>0</v>
      </c>
      <c r="C45" s="33"/>
    </row>
    <row r="46" spans="1:62" ht="24" customHeight="1">
      <c r="A46" s="14" t="s">
        <v>42</v>
      </c>
      <c r="B46" s="15">
        <v>0</v>
      </c>
      <c r="C46" s="9"/>
    </row>
    <row r="47" spans="1:62" ht="24" customHeight="1">
      <c r="A47" s="14" t="s">
        <v>43</v>
      </c>
      <c r="B47" s="15">
        <v>0</v>
      </c>
      <c r="C47" s="9"/>
    </row>
    <row r="48" spans="1:62" ht="24" customHeight="1">
      <c r="A48" s="14" t="s">
        <v>44</v>
      </c>
      <c r="B48" s="15">
        <v>1506133.09</v>
      </c>
      <c r="C48" s="9"/>
    </row>
    <row r="49" spans="1:3" ht="24" customHeight="1">
      <c r="A49" s="14" t="s">
        <v>45</v>
      </c>
      <c r="B49" s="15">
        <f>B48</f>
        <v>1506133.09</v>
      </c>
      <c r="C49" s="9"/>
    </row>
    <row r="50" spans="1:3" ht="24" customHeight="1">
      <c r="A50" s="14" t="s">
        <v>46</v>
      </c>
      <c r="B50" s="17">
        <v>0</v>
      </c>
      <c r="C50" s="9"/>
    </row>
    <row r="51" spans="1:3" ht="24" customHeight="1">
      <c r="A51" s="14" t="s">
        <v>47</v>
      </c>
      <c r="B51" s="17">
        <v>0</v>
      </c>
      <c r="C51" s="9"/>
    </row>
    <row r="52" spans="1:3" ht="8.25" customHeight="1">
      <c r="A52" s="18"/>
      <c r="B52" s="19"/>
      <c r="C52" s="20"/>
    </row>
    <row r="53" spans="1:3" ht="24" customHeight="1">
      <c r="A53" s="14" t="s">
        <v>48</v>
      </c>
      <c r="B53" s="15">
        <v>1507845.63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49</v>
      </c>
      <c r="B55" s="17">
        <v>0</v>
      </c>
      <c r="C55" s="9"/>
    </row>
    <row r="56" spans="1:3" ht="24" customHeight="1">
      <c r="A56" s="14" t="s">
        <v>50</v>
      </c>
      <c r="B56" s="17">
        <v>0</v>
      </c>
      <c r="C56" s="9"/>
    </row>
    <row r="57" spans="1:3" ht="24" customHeight="1">
      <c r="A57" s="14" t="s">
        <v>51</v>
      </c>
      <c r="B57" s="17">
        <v>0</v>
      </c>
      <c r="C57" s="9"/>
    </row>
    <row r="58" spans="1:3" ht="24" customHeight="1">
      <c r="A58" s="14"/>
      <c r="B58" s="17">
        <v>0</v>
      </c>
      <c r="C58" s="9"/>
    </row>
    <row r="59" spans="1:3" ht="24" customHeight="1">
      <c r="A59" s="14" t="s">
        <v>52</v>
      </c>
      <c r="B59" s="17">
        <v>0</v>
      </c>
      <c r="C59" s="9"/>
    </row>
    <row r="60" spans="1:3" ht="24" customHeight="1">
      <c r="A60" s="14" t="s">
        <v>53</v>
      </c>
      <c r="B60" s="17">
        <v>0</v>
      </c>
      <c r="C60" s="9"/>
    </row>
    <row r="61" spans="1:3" ht="24" customHeight="1">
      <c r="A61" s="14" t="s">
        <v>54</v>
      </c>
      <c r="B61" s="17">
        <v>0</v>
      </c>
      <c r="C61" s="9"/>
    </row>
    <row r="62" spans="1:3" ht="24" customHeight="1">
      <c r="A62" s="14" t="s">
        <v>55</v>
      </c>
      <c r="B62" s="17">
        <v>0</v>
      </c>
      <c r="C62" s="9"/>
    </row>
    <row r="63" spans="1:3" ht="24" customHeight="1">
      <c r="A63" s="14" t="s">
        <v>56</v>
      </c>
      <c r="B63" s="17">
        <v>0</v>
      </c>
      <c r="C63" s="9"/>
    </row>
    <row r="64" spans="1:3" ht="24" customHeight="1">
      <c r="A64" s="14" t="s">
        <v>57</v>
      </c>
      <c r="B64" s="17">
        <v>0</v>
      </c>
      <c r="C64" s="9"/>
    </row>
    <row r="65" spans="1:3" ht="24" customHeight="1">
      <c r="A65" s="14"/>
      <c r="B65" s="17"/>
      <c r="C65" s="9"/>
    </row>
    <row r="66" spans="1:3" ht="24" customHeight="1">
      <c r="A66" s="14" t="s">
        <v>58</v>
      </c>
      <c r="B66" s="35">
        <v>4519929</v>
      </c>
      <c r="C66" s="9"/>
    </row>
    <row r="67" spans="1:3" ht="24" customHeight="1">
      <c r="A67" s="14" t="s">
        <v>59</v>
      </c>
      <c r="B67" s="35">
        <v>771949</v>
      </c>
      <c r="C67" s="9"/>
    </row>
    <row r="68" spans="1:3" ht="24" customHeight="1">
      <c r="A68" s="14" t="s">
        <v>60</v>
      </c>
      <c r="B68" s="35">
        <v>3747980</v>
      </c>
      <c r="C68" s="9"/>
    </row>
    <row r="69" spans="1:3" ht="24" customHeight="1">
      <c r="A69" s="14" t="s">
        <v>61</v>
      </c>
      <c r="B69" s="35">
        <v>3747738</v>
      </c>
      <c r="C69" s="9"/>
    </row>
    <row r="70" spans="1:3" ht="24" customHeight="1">
      <c r="A70" s="14" t="s">
        <v>62</v>
      </c>
      <c r="B70" s="35">
        <f>B68-B69</f>
        <v>242</v>
      </c>
      <c r="C70" s="9"/>
    </row>
    <row r="71" spans="1:3" ht="24" customHeight="1">
      <c r="A71" s="14"/>
      <c r="B71" s="35"/>
      <c r="C71" s="9"/>
    </row>
    <row r="72" spans="1:3" ht="24" customHeight="1">
      <c r="A72" s="14" t="s">
        <v>63</v>
      </c>
      <c r="B72" s="17"/>
      <c r="C72" s="9"/>
    </row>
    <row r="73" spans="1:3" ht="24" customHeight="1">
      <c r="A73" s="14" t="s">
        <v>64</v>
      </c>
      <c r="B73" s="17">
        <v>0</v>
      </c>
      <c r="C73" s="9"/>
    </row>
    <row r="74" spans="1:3" ht="24" customHeight="1">
      <c r="A74" s="14" t="s">
        <v>65</v>
      </c>
      <c r="B74" s="17">
        <v>0</v>
      </c>
      <c r="C74" s="9"/>
    </row>
    <row r="75" spans="1:3" ht="24" customHeight="1">
      <c r="A75" s="14" t="s">
        <v>66</v>
      </c>
      <c r="B75" s="17">
        <v>0</v>
      </c>
      <c r="C75" s="9"/>
    </row>
    <row r="76" spans="1:3" ht="24" customHeight="1">
      <c r="A76" s="14" t="s">
        <v>67</v>
      </c>
      <c r="B76" s="17">
        <v>0</v>
      </c>
      <c r="C76" s="9"/>
    </row>
    <row r="77" spans="1:3" ht="24" customHeight="1">
      <c r="A77" s="14"/>
      <c r="B77" s="17"/>
      <c r="C77" s="9"/>
    </row>
    <row r="78" spans="1:3" ht="24" customHeight="1">
      <c r="A78" s="14" t="s">
        <v>68</v>
      </c>
      <c r="B78" s="36">
        <f>+SUM(B73:B76)</f>
        <v>0</v>
      </c>
      <c r="C78" s="9"/>
    </row>
    <row r="79" spans="1:3" ht="15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50"/>
  </sheetPr>
  <dimension ref="A1:T101"/>
  <sheetViews>
    <sheetView workbookViewId="0">
      <pane xSplit="3" ySplit="7" topLeftCell="D87" activePane="bottomRight" state="frozen"/>
      <selection pane="topRight" activeCell="D1" sqref="D1"/>
      <selection pane="bottomLeft" activeCell="A42" sqref="A42"/>
      <selection pane="bottomRight" activeCell="B72" sqref="B72"/>
    </sheetView>
  </sheetViews>
  <sheetFormatPr defaultColWidth="3.140625" defaultRowHeight="14.25"/>
  <cols>
    <col min="1" max="1" width="46.5703125" style="1" customWidth="1"/>
    <col min="2" max="2" width="32.42578125" style="85" customWidth="1"/>
    <col min="3" max="7" width="3.85546875" customWidth="1"/>
    <col min="12" max="201" width="11.42578125" customWidth="1"/>
    <col min="202" max="202" width="31.5703125" customWidth="1"/>
    <col min="203" max="203" width="30" customWidth="1"/>
    <col min="204" max="204" width="4.85546875" customWidth="1"/>
    <col min="205" max="205" width="2.28515625" customWidth="1"/>
    <col min="206" max="210" width="0" hidden="1" customWidth="1"/>
    <col min="211" max="211" width="0.42578125" customWidth="1"/>
    <col min="212" max="219" width="3.85546875" customWidth="1"/>
    <col min="220" max="220" width="0.42578125" customWidth="1"/>
    <col min="221" max="221" width="3" customWidth="1"/>
    <col min="229" max="229" width="0.42578125" customWidth="1"/>
    <col min="238" max="238" width="0.42578125" customWidth="1"/>
    <col min="245" max="245" width="3.28515625" customWidth="1"/>
    <col min="246" max="246" width="3.7109375" customWidth="1"/>
    <col min="247" max="247" width="0.85546875" customWidth="1"/>
    <col min="255" max="255" width="0.42578125" customWidth="1"/>
  </cols>
  <sheetData>
    <row r="1" spans="1:14">
      <c r="A1" s="86"/>
      <c r="B1" s="87"/>
      <c r="C1" s="88"/>
    </row>
    <row r="2" spans="1:14" ht="15">
      <c r="A2" s="6" t="s">
        <v>0</v>
      </c>
      <c r="B2" s="89" t="s">
        <v>111</v>
      </c>
      <c r="C2" s="9" t="s">
        <v>162</v>
      </c>
    </row>
    <row r="3" spans="1:14" ht="15">
      <c r="A3" s="6"/>
      <c r="B3" s="89" t="s">
        <v>36</v>
      </c>
      <c r="C3" s="9"/>
    </row>
    <row r="4" spans="1:14" ht="15">
      <c r="A4" s="6" t="s">
        <v>4</v>
      </c>
      <c r="B4" s="90">
        <v>0.01</v>
      </c>
      <c r="C4" s="9"/>
    </row>
    <row r="5" spans="1:14" ht="12.75" customHeight="1">
      <c r="C5" s="9"/>
      <c r="F5" s="91"/>
    </row>
    <row r="6" spans="1:14" ht="23.25">
      <c r="A6" s="11" t="s">
        <v>5</v>
      </c>
      <c r="B6" s="92">
        <v>27</v>
      </c>
      <c r="C6" s="9"/>
      <c r="I6" s="93"/>
      <c r="J6" s="93"/>
    </row>
    <row r="7" spans="1:14" ht="24" customHeight="1">
      <c r="A7" s="12" t="s">
        <v>6</v>
      </c>
      <c r="B7" s="94" t="s">
        <v>163</v>
      </c>
      <c r="C7" s="9"/>
    </row>
    <row r="8" spans="1:14" ht="24" customHeight="1">
      <c r="A8" s="95" t="s">
        <v>164</v>
      </c>
      <c r="B8" s="96">
        <v>85000551</v>
      </c>
      <c r="I8" t="s">
        <v>165</v>
      </c>
    </row>
    <row r="9" spans="1:14" ht="12.75" customHeight="1">
      <c r="A9" s="95"/>
      <c r="B9" s="85">
        <v>0</v>
      </c>
    </row>
    <row r="10" spans="1:14" ht="24" customHeight="1">
      <c r="A10" s="95" t="s">
        <v>166</v>
      </c>
      <c r="B10" s="96">
        <v>79303306</v>
      </c>
      <c r="J10" s="16"/>
      <c r="K10" s="16"/>
      <c r="L10" s="16"/>
      <c r="M10" s="16"/>
      <c r="N10" s="16"/>
    </row>
    <row r="11" spans="1:14" ht="24" customHeight="1">
      <c r="A11" s="95" t="s">
        <v>167</v>
      </c>
      <c r="B11" s="96">
        <f>B10</f>
        <v>79303306</v>
      </c>
      <c r="J11" s="16"/>
      <c r="K11" s="16"/>
      <c r="L11" s="16"/>
      <c r="M11" s="16"/>
      <c r="N11" s="16"/>
    </row>
    <row r="12" spans="1:14" ht="24" customHeight="1">
      <c r="A12" s="95" t="s">
        <v>168</v>
      </c>
      <c r="B12" s="96">
        <f>B11</f>
        <v>79303306</v>
      </c>
      <c r="J12" s="16"/>
      <c r="K12" s="16"/>
      <c r="L12" s="16"/>
      <c r="M12" s="16"/>
      <c r="N12" s="16"/>
    </row>
    <row r="13" spans="1:14" ht="24" customHeight="1">
      <c r="A13" s="95" t="s">
        <v>169</v>
      </c>
      <c r="B13" s="96">
        <v>0</v>
      </c>
      <c r="J13" s="16"/>
      <c r="K13" s="16"/>
      <c r="L13" s="16"/>
      <c r="M13" s="16"/>
      <c r="N13" s="16"/>
    </row>
    <row r="14" spans="1:14" ht="24" customHeight="1">
      <c r="A14" s="95" t="s">
        <v>170</v>
      </c>
      <c r="B14" s="96">
        <v>0</v>
      </c>
      <c r="J14" s="16"/>
      <c r="K14" s="16"/>
      <c r="L14" s="16"/>
      <c r="M14" s="16"/>
      <c r="N14" s="16"/>
    </row>
    <row r="15" spans="1:14" ht="24" customHeight="1">
      <c r="A15" s="95" t="s">
        <v>171</v>
      </c>
      <c r="B15" s="96">
        <v>0</v>
      </c>
      <c r="J15" s="16"/>
      <c r="K15" s="16"/>
      <c r="L15" s="16"/>
      <c r="M15" s="16"/>
      <c r="N15" s="16"/>
    </row>
    <row r="16" spans="1:14" ht="24" customHeight="1">
      <c r="A16" s="95" t="s">
        <v>172</v>
      </c>
      <c r="B16" s="96">
        <v>0</v>
      </c>
      <c r="J16" s="16"/>
      <c r="K16" s="16"/>
      <c r="L16" s="16"/>
      <c r="M16" s="16"/>
      <c r="N16" s="16"/>
    </row>
    <row r="17" spans="1:14" ht="24" customHeight="1">
      <c r="A17" s="95" t="s">
        <v>173</v>
      </c>
      <c r="B17" s="96"/>
      <c r="J17" s="16"/>
      <c r="K17" s="16"/>
      <c r="L17" s="16"/>
      <c r="M17" s="16"/>
      <c r="N17" s="16"/>
    </row>
    <row r="18" spans="1:14" ht="24" customHeight="1">
      <c r="A18" s="95" t="s">
        <v>174</v>
      </c>
      <c r="B18" s="96">
        <v>0</v>
      </c>
      <c r="J18" s="16"/>
      <c r="K18" s="16"/>
      <c r="L18" s="16"/>
      <c r="M18" s="16"/>
      <c r="N18" s="16"/>
    </row>
    <row r="19" spans="1:14" ht="15.75" customHeight="1">
      <c r="A19" s="95"/>
      <c r="B19" s="523"/>
    </row>
    <row r="20" spans="1:14" ht="20.25" customHeight="1">
      <c r="A20" s="95" t="s">
        <v>175</v>
      </c>
      <c r="B20" s="523">
        <v>0</v>
      </c>
    </row>
    <row r="21" spans="1:14" ht="17.25" customHeight="1">
      <c r="A21" s="95"/>
      <c r="B21" s="523">
        <v>0</v>
      </c>
    </row>
    <row r="22" spans="1:14" ht="24" customHeight="1">
      <c r="A22" s="95" t="s">
        <v>176</v>
      </c>
      <c r="B22" s="97">
        <v>6.7000000000000004E-2</v>
      </c>
      <c r="J22" s="16"/>
      <c r="K22" s="16"/>
      <c r="L22" s="16"/>
      <c r="M22" s="16"/>
      <c r="N22" s="16"/>
    </row>
    <row r="23" spans="1:14" ht="24" customHeight="1">
      <c r="A23" s="95" t="s">
        <v>177</v>
      </c>
      <c r="B23" s="97">
        <v>0.93289999999999995</v>
      </c>
      <c r="J23" s="16"/>
      <c r="K23" s="16"/>
      <c r="L23" s="16"/>
      <c r="M23" s="16"/>
      <c r="N23" s="98"/>
    </row>
    <row r="24" spans="1:14" ht="24" customHeight="1">
      <c r="A24" s="95" t="s">
        <v>178</v>
      </c>
      <c r="B24" s="97">
        <f>B22</f>
        <v>6.7000000000000004E-2</v>
      </c>
      <c r="J24" s="16"/>
      <c r="K24" s="16"/>
      <c r="L24" s="16"/>
      <c r="M24" s="16"/>
      <c r="N24" s="16"/>
    </row>
    <row r="25" spans="1:14" ht="24" customHeight="1">
      <c r="A25" s="95" t="s">
        <v>179</v>
      </c>
      <c r="B25" s="97">
        <f>B23</f>
        <v>0.93289999999999995</v>
      </c>
      <c r="J25" s="16"/>
      <c r="K25" s="16"/>
      <c r="L25" s="16"/>
      <c r="M25" s="16"/>
      <c r="N25" s="16"/>
    </row>
    <row r="26" spans="1:14" ht="12.75" customHeight="1">
      <c r="A26" s="99"/>
      <c r="B26" s="100"/>
      <c r="J26" s="16"/>
      <c r="K26" s="16"/>
      <c r="L26" s="16"/>
      <c r="M26" s="16"/>
      <c r="N26" s="16"/>
    </row>
    <row r="27" spans="1:14" ht="24" customHeight="1">
      <c r="A27" s="95" t="s">
        <v>180</v>
      </c>
      <c r="B27" s="96">
        <v>22538301</v>
      </c>
      <c r="J27" s="16"/>
      <c r="K27" s="16"/>
      <c r="L27" s="16"/>
      <c r="M27" s="16"/>
      <c r="N27" s="16"/>
    </row>
    <row r="28" spans="1:14" ht="24" customHeight="1">
      <c r="A28" s="95" t="s">
        <v>181</v>
      </c>
      <c r="B28" s="96">
        <v>0</v>
      </c>
      <c r="J28" s="16"/>
      <c r="K28" s="16"/>
      <c r="L28" s="16"/>
      <c r="M28" s="16"/>
      <c r="N28" s="16"/>
    </row>
    <row r="29" spans="1:14" ht="24" customHeight="1">
      <c r="A29" s="95" t="s">
        <v>182</v>
      </c>
      <c r="B29" s="96">
        <v>14848500</v>
      </c>
      <c r="J29" s="16"/>
      <c r="K29" s="16"/>
      <c r="L29" s="16"/>
      <c r="M29" s="16"/>
      <c r="N29" s="16"/>
    </row>
    <row r="30" spans="1:14" ht="24" customHeight="1">
      <c r="A30" s="95" t="s">
        <v>183</v>
      </c>
      <c r="B30" s="96">
        <v>7689801</v>
      </c>
      <c r="J30" s="16"/>
      <c r="K30" s="16"/>
      <c r="L30" s="16"/>
      <c r="M30" s="16"/>
      <c r="N30" s="16"/>
    </row>
    <row r="31" spans="1:14" ht="24" customHeight="1">
      <c r="A31" s="95" t="s">
        <v>184</v>
      </c>
      <c r="B31" s="96">
        <v>0</v>
      </c>
      <c r="J31" s="16"/>
      <c r="K31" s="16"/>
      <c r="L31" s="16"/>
      <c r="M31" s="16"/>
      <c r="N31" s="16"/>
    </row>
    <row r="32" spans="1:14" ht="24" customHeight="1">
      <c r="A32" s="95" t="s">
        <v>185</v>
      </c>
      <c r="B32" s="101">
        <v>7689801</v>
      </c>
      <c r="J32" s="16"/>
      <c r="K32" s="16"/>
      <c r="L32" s="16"/>
      <c r="M32" s="16"/>
      <c r="N32" s="16"/>
    </row>
    <row r="33" spans="1:14" ht="24" customHeight="1">
      <c r="A33" s="95" t="s">
        <v>186</v>
      </c>
      <c r="B33" s="96">
        <v>0</v>
      </c>
      <c r="J33" s="16"/>
      <c r="K33" s="16"/>
      <c r="L33" s="16"/>
      <c r="M33" s="16"/>
      <c r="N33" s="16"/>
    </row>
    <row r="34" spans="1:14" ht="24" customHeight="1">
      <c r="A34" s="95" t="s">
        <v>187</v>
      </c>
      <c r="B34" s="96">
        <v>0</v>
      </c>
      <c r="J34" s="16"/>
      <c r="K34" s="16"/>
      <c r="L34" s="16"/>
      <c r="M34" s="16"/>
      <c r="N34" s="16"/>
    </row>
    <row r="35" spans="1:14" ht="24" customHeight="1">
      <c r="A35" s="95" t="s">
        <v>99</v>
      </c>
      <c r="B35" s="96">
        <v>0</v>
      </c>
      <c r="J35" s="16"/>
      <c r="K35" s="16"/>
      <c r="L35" s="16"/>
      <c r="M35" s="16"/>
      <c r="N35" s="16"/>
    </row>
    <row r="36" spans="1:14" ht="24" customHeight="1">
      <c r="A36" s="95" t="s">
        <v>188</v>
      </c>
      <c r="B36" s="96">
        <v>0</v>
      </c>
      <c r="J36" s="16"/>
      <c r="K36" s="16"/>
      <c r="L36" s="16"/>
      <c r="M36" s="16"/>
      <c r="N36" s="16"/>
    </row>
    <row r="37" spans="1:14" ht="24" customHeight="1">
      <c r="A37" s="95" t="s">
        <v>189</v>
      </c>
      <c r="B37" s="96">
        <v>0</v>
      </c>
      <c r="J37" s="16"/>
      <c r="K37" s="16"/>
      <c r="L37" s="16"/>
      <c r="M37" s="16"/>
      <c r="N37" s="16"/>
    </row>
    <row r="38" spans="1:14" ht="8.25" customHeight="1">
      <c r="A38" s="95"/>
      <c r="B38" s="96"/>
    </row>
    <row r="39" spans="1:14" ht="24" customHeight="1">
      <c r="A39" s="95" t="s">
        <v>190</v>
      </c>
      <c r="B39" s="96">
        <v>0</v>
      </c>
      <c r="J39" s="16"/>
      <c r="K39" s="16"/>
      <c r="L39" s="16"/>
      <c r="M39" s="16"/>
      <c r="N39" s="16"/>
    </row>
    <row r="40" spans="1:14" ht="15.75" customHeight="1">
      <c r="A40" s="95"/>
      <c r="B40" s="96"/>
      <c r="J40" s="16"/>
      <c r="K40" s="16"/>
      <c r="L40" s="16"/>
      <c r="M40" s="16"/>
      <c r="N40" s="98" t="s">
        <v>191</v>
      </c>
    </row>
    <row r="41" spans="1:14" ht="24" customHeight="1">
      <c r="A41" s="95" t="s">
        <v>52</v>
      </c>
      <c r="B41" s="96">
        <v>0</v>
      </c>
      <c r="J41" s="16"/>
      <c r="K41" s="16"/>
      <c r="L41" s="16"/>
      <c r="M41" s="16"/>
      <c r="N41" s="16"/>
    </row>
    <row r="42" spans="1:14" ht="11.25" customHeight="1">
      <c r="A42" s="99"/>
      <c r="B42" s="100"/>
      <c r="J42" s="16"/>
      <c r="K42" s="16"/>
      <c r="L42" s="16"/>
      <c r="M42" s="16"/>
      <c r="N42" s="16"/>
    </row>
    <row r="43" spans="1:14" ht="24" customHeight="1">
      <c r="A43" s="95" t="s">
        <v>192</v>
      </c>
      <c r="B43" s="96">
        <v>16841056</v>
      </c>
      <c r="J43" s="16"/>
      <c r="K43" s="16"/>
      <c r="L43" s="16"/>
      <c r="M43" s="16"/>
      <c r="N43" s="16"/>
    </row>
    <row r="44" spans="1:14" ht="24" customHeight="1">
      <c r="A44" s="95" t="s">
        <v>193</v>
      </c>
      <c r="B44" s="96">
        <v>0</v>
      </c>
      <c r="J44" s="16"/>
      <c r="K44" s="16"/>
      <c r="L44" s="16"/>
      <c r="M44" s="16"/>
      <c r="N44" s="16"/>
    </row>
    <row r="45" spans="1:14" ht="24" customHeight="1">
      <c r="A45" s="95" t="s">
        <v>194</v>
      </c>
      <c r="B45" s="96">
        <v>16790158</v>
      </c>
      <c r="J45" s="16"/>
      <c r="K45" s="16"/>
      <c r="L45" s="16"/>
      <c r="M45" s="16"/>
      <c r="N45" s="16"/>
    </row>
    <row r="46" spans="1:14" ht="24" customHeight="1">
      <c r="A46" s="95" t="s">
        <v>195</v>
      </c>
      <c r="B46" s="96">
        <f>B45</f>
        <v>16790158</v>
      </c>
      <c r="J46" s="16"/>
      <c r="K46" s="16"/>
      <c r="L46" s="16"/>
      <c r="M46" s="16"/>
      <c r="N46" s="16"/>
    </row>
    <row r="47" spans="1:14" ht="24" customHeight="1">
      <c r="A47" s="95" t="s">
        <v>196</v>
      </c>
      <c r="B47" s="96">
        <v>0</v>
      </c>
      <c r="J47" s="16"/>
      <c r="K47" s="16"/>
      <c r="L47" s="16"/>
      <c r="M47" s="16"/>
      <c r="N47" s="16"/>
    </row>
    <row r="48" spans="1:14" ht="24" customHeight="1">
      <c r="A48" s="95" t="s">
        <v>197</v>
      </c>
      <c r="B48" s="96">
        <v>0</v>
      </c>
      <c r="J48" s="16"/>
      <c r="K48" s="16"/>
      <c r="L48" s="16"/>
      <c r="M48" s="16"/>
      <c r="N48" s="16"/>
    </row>
    <row r="49" spans="1:20" ht="24" customHeight="1">
      <c r="A49" s="95" t="s">
        <v>198</v>
      </c>
      <c r="B49" s="96">
        <v>0</v>
      </c>
      <c r="J49" s="16"/>
      <c r="K49" s="16"/>
      <c r="L49" s="16"/>
      <c r="M49" s="16"/>
      <c r="N49" s="16"/>
    </row>
    <row r="50" spans="1:20" ht="24" customHeight="1">
      <c r="A50" s="95" t="s">
        <v>199</v>
      </c>
      <c r="B50" s="96">
        <v>0</v>
      </c>
      <c r="J50" s="16"/>
      <c r="K50" s="16"/>
      <c r="L50" s="16"/>
      <c r="M50" s="16"/>
      <c r="N50" s="16"/>
    </row>
    <row r="51" spans="1:20" ht="24" customHeight="1">
      <c r="A51" s="95" t="s">
        <v>200</v>
      </c>
      <c r="B51" s="96">
        <v>50898</v>
      </c>
      <c r="J51" s="16"/>
      <c r="K51" s="16"/>
      <c r="L51" s="16"/>
      <c r="M51" s="16"/>
      <c r="N51" s="16"/>
    </row>
    <row r="52" spans="1:20" ht="24" customHeight="1">
      <c r="A52" s="95" t="s">
        <v>36</v>
      </c>
      <c r="B52" s="96"/>
      <c r="J52" s="16"/>
      <c r="K52" s="16"/>
      <c r="L52" s="16"/>
      <c r="M52" s="16"/>
      <c r="N52" s="16"/>
    </row>
    <row r="53" spans="1:20" ht="24" customHeight="1">
      <c r="A53" s="95" t="s">
        <v>201</v>
      </c>
      <c r="B53" s="96">
        <v>0</v>
      </c>
      <c r="J53" s="16"/>
      <c r="K53" s="16"/>
      <c r="L53" s="16"/>
      <c r="M53" s="16"/>
      <c r="N53" s="16"/>
    </row>
    <row r="54" spans="1:20" ht="24" customHeight="1">
      <c r="A54" s="95" t="s">
        <v>202</v>
      </c>
      <c r="B54" s="96">
        <v>0</v>
      </c>
      <c r="J54" s="16"/>
      <c r="K54" s="16"/>
      <c r="L54" s="16"/>
      <c r="M54" s="16"/>
      <c r="N54" s="16"/>
    </row>
    <row r="55" spans="1:20" ht="24" customHeight="1">
      <c r="A55" s="95" t="s">
        <v>203</v>
      </c>
      <c r="B55" s="96">
        <v>0</v>
      </c>
      <c r="J55" s="16"/>
      <c r="K55" s="16"/>
      <c r="L55" s="16"/>
      <c r="M55" s="16"/>
      <c r="N55" s="16"/>
    </row>
    <row r="56" spans="1:20" ht="11.25" customHeight="1">
      <c r="A56" s="99"/>
      <c r="B56" s="100"/>
      <c r="J56" s="16"/>
      <c r="K56" s="16"/>
      <c r="L56" s="16"/>
      <c r="M56" s="16"/>
      <c r="N56" s="16"/>
      <c r="T56" t="s">
        <v>204</v>
      </c>
    </row>
    <row r="57" spans="1:20" ht="24" customHeight="1">
      <c r="A57" s="95" t="s">
        <v>58</v>
      </c>
      <c r="B57" s="96">
        <v>887997</v>
      </c>
      <c r="J57" s="16"/>
      <c r="K57" s="16"/>
      <c r="L57" s="16"/>
      <c r="M57" s="16"/>
      <c r="N57" s="16"/>
    </row>
    <row r="58" spans="1:20" ht="24" customHeight="1">
      <c r="A58" s="95" t="s">
        <v>205</v>
      </c>
      <c r="B58" s="96">
        <v>272377</v>
      </c>
      <c r="J58" s="16"/>
      <c r="K58" s="16"/>
      <c r="L58" s="16"/>
      <c r="M58" s="16"/>
      <c r="N58" s="16"/>
    </row>
    <row r="59" spans="1:20" ht="24" customHeight="1">
      <c r="A59" s="95" t="s">
        <v>206</v>
      </c>
      <c r="B59" s="96">
        <v>615620</v>
      </c>
      <c r="J59" s="16"/>
      <c r="K59" s="16"/>
      <c r="L59" s="16"/>
      <c r="M59" s="16"/>
      <c r="N59" s="16"/>
    </row>
    <row r="60" spans="1:20" ht="24" customHeight="1">
      <c r="A60" s="95" t="s">
        <v>207</v>
      </c>
      <c r="B60" s="96">
        <v>0</v>
      </c>
      <c r="J60" s="16"/>
      <c r="K60" s="16"/>
      <c r="L60" s="16"/>
      <c r="M60" s="16"/>
      <c r="N60" s="16"/>
    </row>
    <row r="61" spans="1:20" ht="24" customHeight="1">
      <c r="A61" s="95" t="s">
        <v>208</v>
      </c>
      <c r="B61" s="96">
        <v>0</v>
      </c>
      <c r="J61" s="16"/>
      <c r="K61" s="16"/>
      <c r="L61" s="16"/>
      <c r="M61" s="16"/>
      <c r="N61" s="16"/>
    </row>
    <row r="62" spans="1:20" ht="24" customHeight="1">
      <c r="A62" s="95" t="s">
        <v>209</v>
      </c>
      <c r="B62" s="96">
        <v>0</v>
      </c>
      <c r="J62" s="16"/>
      <c r="K62" s="16"/>
      <c r="L62" s="16"/>
      <c r="M62" s="16"/>
      <c r="N62" s="16"/>
    </row>
    <row r="63" spans="1:20" ht="24" customHeight="1">
      <c r="A63" s="95" t="s">
        <v>210</v>
      </c>
      <c r="B63" s="96">
        <v>0</v>
      </c>
      <c r="J63" s="16"/>
      <c r="K63" s="16"/>
      <c r="L63" s="16"/>
      <c r="M63" s="16"/>
      <c r="N63" s="16"/>
    </row>
    <row r="64" spans="1:20" ht="11.25" customHeight="1">
      <c r="A64" s="99"/>
      <c r="B64" s="100"/>
      <c r="J64" s="16"/>
      <c r="K64" s="16"/>
      <c r="L64" s="16"/>
      <c r="M64" s="16"/>
      <c r="N64" s="16"/>
      <c r="T64" t="s">
        <v>204</v>
      </c>
    </row>
    <row r="65" spans="1:14" ht="24" customHeight="1">
      <c r="A65" s="102" t="s">
        <v>211</v>
      </c>
      <c r="B65" s="96"/>
      <c r="J65" s="16"/>
      <c r="K65" s="16"/>
      <c r="L65" s="16"/>
      <c r="M65" s="16"/>
      <c r="N65" s="16"/>
    </row>
    <row r="66" spans="1:14" ht="24" customHeight="1">
      <c r="A66" s="95" t="s">
        <v>212</v>
      </c>
      <c r="B66" s="96">
        <v>85000551</v>
      </c>
      <c r="J66" s="16"/>
      <c r="K66" s="16"/>
      <c r="L66" s="16"/>
      <c r="M66" s="16"/>
      <c r="N66" s="16"/>
    </row>
    <row r="67" spans="1:14" ht="24" customHeight="1">
      <c r="A67" s="95" t="s">
        <v>213</v>
      </c>
      <c r="B67" s="96">
        <v>79303306</v>
      </c>
      <c r="J67" s="16"/>
      <c r="K67" s="16"/>
      <c r="L67" s="16"/>
      <c r="M67" s="16"/>
      <c r="N67" s="16"/>
    </row>
    <row r="68" spans="1:14" ht="24" customHeight="1">
      <c r="A68" s="95" t="s">
        <v>52</v>
      </c>
      <c r="B68" s="96">
        <f>+B28</f>
        <v>0</v>
      </c>
      <c r="J68" s="16"/>
      <c r="K68" s="16"/>
      <c r="L68" s="16"/>
      <c r="M68" s="16"/>
      <c r="N68" s="16"/>
    </row>
    <row r="69" spans="1:14" ht="24" customHeight="1">
      <c r="A69" s="95" t="s">
        <v>214</v>
      </c>
      <c r="B69" s="96">
        <v>50898</v>
      </c>
      <c r="J69" s="16"/>
      <c r="K69" s="16"/>
      <c r="L69" s="16"/>
      <c r="M69" s="16"/>
      <c r="N69" s="16"/>
    </row>
    <row r="70" spans="1:14" ht="24" customHeight="1">
      <c r="A70" s="95" t="s">
        <v>215</v>
      </c>
      <c r="B70" s="96">
        <v>14848500</v>
      </c>
      <c r="J70" s="16"/>
      <c r="K70" s="16"/>
      <c r="L70" s="16"/>
      <c r="M70" s="16"/>
      <c r="N70" s="16"/>
    </row>
    <row r="71" spans="1:14" ht="24" customHeight="1">
      <c r="A71" s="95" t="s">
        <v>125</v>
      </c>
      <c r="B71" s="96">
        <v>887997</v>
      </c>
      <c r="J71" s="16"/>
      <c r="K71" s="16"/>
      <c r="L71" s="16"/>
      <c r="M71" s="16"/>
      <c r="N71" s="16"/>
    </row>
    <row r="72" spans="1:14" ht="24" customHeight="1">
      <c r="A72" s="95"/>
      <c r="B72" s="96"/>
      <c r="J72" s="16"/>
      <c r="K72" s="16"/>
      <c r="L72" s="16"/>
      <c r="M72" s="16"/>
      <c r="N72" s="16"/>
    </row>
    <row r="73" spans="1:14" ht="24" customHeight="1">
      <c r="A73" s="95"/>
      <c r="B73" s="96"/>
      <c r="J73" s="16"/>
      <c r="K73" s="16"/>
      <c r="L73" s="16"/>
      <c r="M73" s="16"/>
      <c r="N73" s="16"/>
    </row>
    <row r="74" spans="1:14" ht="18.75" customHeight="1">
      <c r="A74" s="103"/>
      <c r="J74" s="16"/>
      <c r="K74" s="16"/>
      <c r="L74" s="16"/>
      <c r="M74" s="16"/>
      <c r="N74" s="16"/>
    </row>
    <row r="75" spans="1:14" ht="18.75" customHeight="1">
      <c r="A75" s="104" t="s">
        <v>216</v>
      </c>
      <c r="J75" s="16"/>
      <c r="K75" s="16"/>
      <c r="L75" s="16"/>
      <c r="M75" s="16"/>
      <c r="N75" s="16"/>
    </row>
    <row r="76" spans="1:14" ht="18.75" customHeight="1">
      <c r="A76" s="103"/>
      <c r="B76" s="105"/>
    </row>
    <row r="77" spans="1:14" ht="18.75" customHeight="1">
      <c r="A77" s="104" t="s">
        <v>217</v>
      </c>
      <c r="B77" s="105"/>
      <c r="F77" s="106"/>
    </row>
    <row r="78" spans="1:14" ht="18.75" customHeight="1">
      <c r="B78" s="107"/>
    </row>
    <row r="79" spans="1:14" ht="18.75" customHeight="1">
      <c r="A79" s="108" t="s">
        <v>218</v>
      </c>
      <c r="B79" s="107"/>
    </row>
    <row r="80" spans="1:14" ht="18.75" customHeight="1">
      <c r="A80" s="16"/>
    </row>
    <row r="81" spans="1:2" ht="18.75" customHeight="1">
      <c r="A81" s="16" t="s">
        <v>219</v>
      </c>
    </row>
    <row r="82" spans="1:2" ht="18.75" customHeight="1">
      <c r="A82"/>
    </row>
    <row r="83" spans="1:2" ht="18.75" customHeight="1">
      <c r="A83" s="16" t="s">
        <v>217</v>
      </c>
    </row>
    <row r="84" spans="1:2" ht="24" customHeight="1"/>
    <row r="85" spans="1:2" ht="24" customHeight="1">
      <c r="B85" s="107"/>
    </row>
    <row r="86" spans="1:2" ht="24" customHeight="1"/>
    <row r="87" spans="1:2" ht="24" customHeight="1"/>
    <row r="88" spans="1:2" ht="24" customHeight="1"/>
    <row r="89" spans="1:2" ht="15.75" customHeight="1"/>
    <row r="101" spans="1:2" ht="12">
      <c r="A101"/>
      <c r="B101"/>
    </row>
  </sheetData>
  <sheetProtection selectLockedCells="1" selectUnlockedCells="1"/>
  <pageMargins left="0.70833333333333337" right="0.70833333333333337" top="0.74791666666666667" bottom="0.74791666666666667" header="0.51180555555555551" footer="0.51180555555555551"/>
  <pageSetup paperSize="9" scale="85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indexed="56"/>
  </sheetPr>
  <dimension ref="A1:BJ57"/>
  <sheetViews>
    <sheetView workbookViewId="0">
      <pane xSplit="3" ySplit="7" topLeftCell="D42" activePane="bottomRight" state="frozen"/>
      <selection pane="topRight" activeCell="D1" sqref="D1"/>
      <selection pane="bottomLeft" activeCell="A12" sqref="A12"/>
      <selection pane="bottomRight" activeCell="B44" sqref="B44"/>
    </sheetView>
  </sheetViews>
  <sheetFormatPr defaultColWidth="11" defaultRowHeight="14.25"/>
  <cols>
    <col min="1" max="1" width="44.140625" style="1" customWidth="1"/>
    <col min="2" max="2" width="30.140625" customWidth="1"/>
    <col min="3" max="3" width="4.85546875" customWidth="1"/>
    <col min="4" max="8" width="3.85546875" customWidth="1"/>
    <col min="9" max="9" width="8.14062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15</v>
      </c>
    </row>
    <row r="7" spans="1:62" ht="24" customHeight="1">
      <c r="A7" s="12" t="s">
        <v>6</v>
      </c>
      <c r="B7" s="112" t="s">
        <v>223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259140885</v>
      </c>
      <c r="C8" s="9"/>
      <c r="BB8" s="116"/>
    </row>
    <row r="9" spans="1:62" ht="24" customHeight="1">
      <c r="A9" s="14" t="s">
        <v>12</v>
      </c>
      <c r="B9" s="115">
        <v>246822753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v>243692193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3130560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4.7199999999999999E-2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0.95240000000000002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78"/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15">
        <v>74657527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/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5">
        <v>43701000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4" t="s">
        <v>232</v>
      </c>
      <c r="B19" s="115">
        <v>30956527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233</v>
      </c>
      <c r="B21" s="115">
        <v>62339395</v>
      </c>
      <c r="C21" s="9"/>
      <c r="BB21" s="28"/>
    </row>
    <row r="22" spans="1:62" ht="24" customHeight="1">
      <c r="A22" s="14" t="s">
        <v>213</v>
      </c>
      <c r="B22" s="115"/>
      <c r="C22" s="120"/>
      <c r="BB22" s="28"/>
    </row>
    <row r="23" spans="1:62" ht="24" customHeight="1">
      <c r="A23" s="14" t="s">
        <v>234</v>
      </c>
      <c r="B23" s="115">
        <v>59208835</v>
      </c>
      <c r="C23" s="120"/>
      <c r="BB23" s="28"/>
    </row>
    <row r="24" spans="1:62" ht="24" customHeight="1">
      <c r="A24" s="14" t="s">
        <v>235</v>
      </c>
      <c r="B24" s="115">
        <v>3130560</v>
      </c>
      <c r="C24" s="9"/>
      <c r="BB24" s="28"/>
    </row>
    <row r="25" spans="1:62" ht="24" customHeight="1">
      <c r="A25" s="14" t="s">
        <v>236</v>
      </c>
      <c r="B25" s="115">
        <v>0</v>
      </c>
      <c r="C25" s="9"/>
      <c r="BB25" s="28"/>
    </row>
    <row r="26" spans="1:62" ht="8.25" customHeight="1">
      <c r="A26" s="18"/>
      <c r="B26" s="121"/>
      <c r="C26" s="122"/>
      <c r="BB26" s="28"/>
    </row>
    <row r="27" spans="1:62" ht="24" customHeight="1">
      <c r="A27" s="14" t="s">
        <v>237</v>
      </c>
      <c r="B27" s="115">
        <v>43701000</v>
      </c>
      <c r="C27" s="9"/>
      <c r="BB27" s="28"/>
    </row>
    <row r="28" spans="1:62" ht="24" customHeight="1">
      <c r="A28" s="14" t="s">
        <v>238</v>
      </c>
      <c r="B28" s="115">
        <f>B27</f>
        <v>43701000</v>
      </c>
      <c r="C28" s="9"/>
      <c r="BB28" s="28"/>
    </row>
    <row r="29" spans="1:62" ht="24" customHeight="1">
      <c r="A29" s="118" t="s">
        <v>239</v>
      </c>
      <c r="B29" s="119">
        <v>0</v>
      </c>
      <c r="C29" s="120"/>
      <c r="BB29" s="28"/>
    </row>
    <row r="30" spans="1:62" ht="24" customHeight="1">
      <c r="B30" s="78"/>
      <c r="BB30" s="28"/>
    </row>
    <row r="31" spans="1:62" ht="24" customHeight="1">
      <c r="A31" s="118" t="s">
        <v>240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4" t="s">
        <v>58</v>
      </c>
      <c r="B33" s="115">
        <v>2182270</v>
      </c>
      <c r="C33" s="9"/>
      <c r="BB33" s="28"/>
    </row>
    <row r="34" spans="1:54" ht="24" customHeight="1">
      <c r="A34" s="14" t="s">
        <v>241</v>
      </c>
      <c r="B34" s="115">
        <v>770830</v>
      </c>
      <c r="C34" s="9"/>
      <c r="BB34" s="28"/>
    </row>
    <row r="35" spans="1:54" ht="24" customHeight="1">
      <c r="A35" s="14" t="s">
        <v>206</v>
      </c>
      <c r="B35" s="115">
        <v>1411440</v>
      </c>
      <c r="C35" s="9"/>
      <c r="BB35" s="28"/>
    </row>
    <row r="36" spans="1:54" ht="24" customHeight="1">
      <c r="B36" s="78" t="s">
        <v>165</v>
      </c>
      <c r="BB36" s="28"/>
    </row>
    <row r="37" spans="1:54" ht="24" customHeight="1">
      <c r="A37" s="118" t="s">
        <v>115</v>
      </c>
      <c r="B37" s="119">
        <v>0</v>
      </c>
      <c r="C37" s="120"/>
      <c r="BB37" s="28"/>
    </row>
    <row r="38" spans="1:54" ht="24" customHeight="1">
      <c r="A38" s="118" t="s">
        <v>242</v>
      </c>
      <c r="B38" s="119">
        <v>0</v>
      </c>
      <c r="C38" s="120"/>
      <c r="BB38" s="28"/>
    </row>
    <row r="39" spans="1:54" ht="24" customHeight="1">
      <c r="A39" s="118" t="s">
        <v>117</v>
      </c>
      <c r="B39" s="119">
        <v>0</v>
      </c>
      <c r="C39" s="120"/>
      <c r="BB39" s="28"/>
    </row>
    <row r="40" spans="1:54" ht="8.25" customHeight="1">
      <c r="A40" s="18"/>
      <c r="B40" s="121"/>
      <c r="C40" s="122"/>
      <c r="BB40" s="28"/>
    </row>
    <row r="41" spans="1:54" ht="24" customHeight="1">
      <c r="B41" s="78"/>
      <c r="BB41" s="28"/>
    </row>
    <row r="42" spans="1:54" ht="24" customHeight="1">
      <c r="A42" s="14" t="s">
        <v>243</v>
      </c>
      <c r="B42" s="123">
        <v>4.7500000000000001E-2</v>
      </c>
      <c r="C42" s="9"/>
      <c r="BB42" s="28"/>
    </row>
    <row r="43" spans="1:54" ht="24" customHeight="1">
      <c r="A43" s="14" t="s">
        <v>244</v>
      </c>
      <c r="B43" s="123">
        <v>0.95240000000000002</v>
      </c>
      <c r="C43" s="9"/>
      <c r="BB43" s="28"/>
    </row>
    <row r="45" spans="1:54" ht="23.25">
      <c r="A45" s="14" t="s">
        <v>245</v>
      </c>
      <c r="B45" s="117">
        <v>0</v>
      </c>
      <c r="E45" s="108"/>
    </row>
    <row r="46" spans="1:54" ht="23.25">
      <c r="A46" s="14" t="s">
        <v>246</v>
      </c>
      <c r="B46" s="117">
        <v>0</v>
      </c>
      <c r="C46" s="108"/>
    </row>
    <row r="47" spans="1:54" ht="23.25">
      <c r="A47" s="14" t="s">
        <v>247</v>
      </c>
      <c r="B47" s="117">
        <v>0</v>
      </c>
      <c r="E47" s="16"/>
    </row>
    <row r="48" spans="1:54" ht="23.25">
      <c r="A48" s="14" t="s">
        <v>248</v>
      </c>
      <c r="B48" s="117"/>
      <c r="C48" s="16"/>
    </row>
    <row r="49" spans="1:5" ht="23.25">
      <c r="A49" s="14" t="s">
        <v>249</v>
      </c>
      <c r="B49" s="117"/>
      <c r="E49" s="16"/>
    </row>
    <row r="50" spans="1:5" ht="23.25">
      <c r="A50" s="14" t="s">
        <v>250</v>
      </c>
      <c r="B50" s="117"/>
      <c r="C50" s="16"/>
    </row>
    <row r="51" spans="1:5" ht="23.25">
      <c r="A51" s="14"/>
      <c r="B51" s="117"/>
    </row>
    <row r="52" spans="1:5" ht="23.25">
      <c r="A52" s="14" t="s">
        <v>251</v>
      </c>
      <c r="B52" s="117"/>
    </row>
    <row r="53" spans="1:5" ht="23.25">
      <c r="A53" s="14" t="s">
        <v>36</v>
      </c>
      <c r="B53" s="117"/>
    </row>
    <row r="54" spans="1:5" ht="23.25">
      <c r="A54" s="14"/>
      <c r="B54" s="117"/>
      <c r="C54" s="124"/>
    </row>
    <row r="55" spans="1:5" ht="23.25">
      <c r="A55" s="14" t="s">
        <v>36</v>
      </c>
      <c r="B55" s="117"/>
    </row>
    <row r="56" spans="1:5">
      <c r="C56" s="124"/>
    </row>
    <row r="57" spans="1:5">
      <c r="A57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indexed="56"/>
  </sheetPr>
  <dimension ref="A1:BJ57"/>
  <sheetViews>
    <sheetView workbookViewId="0">
      <pane xSplit="4" ySplit="7" topLeftCell="E37" activePane="bottomRight" state="frozen"/>
      <selection pane="topRight" activeCell="E1" sqref="E1"/>
      <selection pane="bottomLeft" activeCell="A15" sqref="A15"/>
      <selection pane="bottomRight" activeCell="B44" sqref="B44"/>
    </sheetView>
  </sheetViews>
  <sheetFormatPr defaultColWidth="11" defaultRowHeight="14.25"/>
  <cols>
    <col min="1" max="1" width="44.140625" style="1" customWidth="1"/>
    <col min="2" max="2" width="30.140625" customWidth="1"/>
    <col min="3" max="3" width="4.85546875" customWidth="1"/>
    <col min="4" max="9" width="3.85546875" customWidth="1"/>
    <col min="10" max="10" width="0.42578125" customWidth="1"/>
    <col min="11" max="11" width="3" customWidth="1"/>
    <col min="12" max="12" width="9" customWidth="1"/>
    <col min="13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>
      <c r="B5" s="125">
        <v>41519</v>
      </c>
    </row>
    <row r="6" spans="1:62" ht="23.25">
      <c r="A6" s="11" t="s">
        <v>5</v>
      </c>
      <c r="B6" s="74">
        <v>12</v>
      </c>
    </row>
    <row r="7" spans="1:62" ht="24" customHeight="1">
      <c r="A7" s="12" t="s">
        <v>6</v>
      </c>
      <c r="B7" s="112" t="s">
        <v>252</v>
      </c>
      <c r="C7" s="113"/>
      <c r="D7" s="114"/>
      <c r="E7" s="114"/>
      <c r="F7" s="114"/>
      <c r="G7" s="114"/>
      <c r="H7" s="114"/>
      <c r="I7" s="114"/>
      <c r="T7">
        <v>2</v>
      </c>
    </row>
    <row r="8" spans="1:62" ht="24" customHeight="1">
      <c r="A8" s="14" t="s">
        <v>224</v>
      </c>
      <c r="B8" s="115">
        <v>62518685</v>
      </c>
      <c r="C8" s="9"/>
      <c r="BB8" s="116"/>
    </row>
    <row r="9" spans="1:62" ht="24" customHeight="1">
      <c r="A9" s="14" t="s">
        <v>12</v>
      </c>
      <c r="B9" s="115">
        <v>59552569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f>B9</f>
        <v>59552569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0</v>
      </c>
      <c r="C11" s="9"/>
      <c r="AB11">
        <v>150</v>
      </c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4.7399999999999998E-2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0.95250000000000001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78">
        <v>0</v>
      </c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15">
        <v>21055799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>
        <v>0</v>
      </c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9">
        <v>12817000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8238799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233</v>
      </c>
      <c r="B21" s="115">
        <v>18089549</v>
      </c>
      <c r="C21" s="9"/>
      <c r="BB21" s="28"/>
    </row>
    <row r="22" spans="1:62" ht="24" customHeight="1">
      <c r="A22" s="118" t="s">
        <v>213</v>
      </c>
      <c r="B22" s="119">
        <v>9</v>
      </c>
      <c r="C22" s="120"/>
      <c r="BB22" s="28"/>
    </row>
    <row r="23" spans="1:62" ht="24" customHeight="1">
      <c r="A23" s="118" t="s">
        <v>234</v>
      </c>
      <c r="B23" s="119">
        <v>18089540</v>
      </c>
      <c r="C23" s="120"/>
      <c r="BB23" s="28"/>
    </row>
    <row r="24" spans="1:62" ht="24" customHeight="1">
      <c r="A24" s="14" t="s">
        <v>235</v>
      </c>
      <c r="B24" s="115">
        <v>0</v>
      </c>
      <c r="C24" s="9"/>
      <c r="BB24" s="28"/>
    </row>
    <row r="25" spans="1:62" ht="24" customHeight="1">
      <c r="A25" s="14" t="s">
        <v>236</v>
      </c>
      <c r="B25" s="115">
        <v>0</v>
      </c>
      <c r="C25" s="9"/>
      <c r="BB25" s="28"/>
    </row>
    <row r="26" spans="1:62" ht="8.25" customHeight="1">
      <c r="A26" s="18"/>
      <c r="B26" s="121"/>
      <c r="C26" s="122"/>
      <c r="BB26" s="28"/>
    </row>
    <row r="27" spans="1:62" ht="24" customHeight="1">
      <c r="A27" s="14" t="s">
        <v>237</v>
      </c>
      <c r="B27" s="127">
        <v>12817000</v>
      </c>
      <c r="C27" s="9"/>
      <c r="BB27" s="28"/>
    </row>
    <row r="28" spans="1:62" ht="24" customHeight="1">
      <c r="A28" s="14" t="s">
        <v>238</v>
      </c>
      <c r="B28" s="127">
        <f>B27</f>
        <v>12817000</v>
      </c>
      <c r="C28" s="9"/>
      <c r="BB28" s="28"/>
    </row>
    <row r="29" spans="1:62" ht="24" customHeight="1">
      <c r="A29" s="118" t="s">
        <v>239</v>
      </c>
      <c r="B29" s="119">
        <v>0</v>
      </c>
      <c r="C29" s="120"/>
      <c r="BB29" s="28"/>
    </row>
    <row r="30" spans="1:62" ht="24" customHeight="1">
      <c r="B30" s="78"/>
      <c r="BB30" s="28"/>
    </row>
    <row r="31" spans="1:62" ht="24" customHeight="1">
      <c r="A31" s="118" t="s">
        <v>240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4" t="s">
        <v>58</v>
      </c>
      <c r="B33" s="115">
        <v>1504423</v>
      </c>
      <c r="C33" s="9"/>
      <c r="BB33" s="28"/>
    </row>
    <row r="34" spans="1:54" ht="24" customHeight="1">
      <c r="A34" s="14" t="s">
        <v>241</v>
      </c>
      <c r="B34" s="115">
        <v>380147</v>
      </c>
      <c r="C34" s="9"/>
      <c r="BB34" s="28"/>
    </row>
    <row r="35" spans="1:54" ht="24" customHeight="1">
      <c r="A35" s="14" t="s">
        <v>206</v>
      </c>
      <c r="B35" s="115">
        <v>1124276</v>
      </c>
      <c r="C35" s="9"/>
      <c r="BB35" s="28"/>
    </row>
    <row r="36" spans="1:54" ht="24" customHeight="1">
      <c r="B36" s="78"/>
      <c r="BB36" s="28"/>
    </row>
    <row r="37" spans="1:54" ht="24" customHeight="1">
      <c r="A37" s="118" t="s">
        <v>115</v>
      </c>
      <c r="B37" s="119">
        <v>0</v>
      </c>
      <c r="C37" s="120"/>
      <c r="BB37" s="28"/>
    </row>
    <row r="38" spans="1:54" ht="24" customHeight="1">
      <c r="A38" s="118" t="s">
        <v>242</v>
      </c>
      <c r="B38" s="119">
        <v>0</v>
      </c>
      <c r="C38" s="120"/>
      <c r="BB38" s="28"/>
    </row>
    <row r="39" spans="1:54" ht="24" customHeight="1">
      <c r="A39" s="118" t="s">
        <v>117</v>
      </c>
      <c r="B39" s="119">
        <v>0</v>
      </c>
      <c r="C39" s="120"/>
      <c r="BB39" s="28"/>
    </row>
    <row r="40" spans="1:54" ht="8.25" customHeight="1">
      <c r="A40" s="18"/>
      <c r="B40" s="121"/>
      <c r="C40" s="122"/>
      <c r="BB40" s="28"/>
    </row>
    <row r="41" spans="1:54" ht="24" customHeight="1">
      <c r="B41" s="78"/>
      <c r="BB41" s="28"/>
    </row>
    <row r="42" spans="1:54" ht="24" customHeight="1">
      <c r="A42" s="14" t="s">
        <v>243</v>
      </c>
      <c r="B42" s="117">
        <v>4.7399999999999998E-2</v>
      </c>
      <c r="C42" s="9"/>
      <c r="BB42" s="28"/>
    </row>
    <row r="43" spans="1:54" ht="24" customHeight="1">
      <c r="A43" s="14" t="s">
        <v>244</v>
      </c>
      <c r="B43" s="117">
        <v>0.95250000000000001</v>
      </c>
      <c r="C43" s="9"/>
      <c r="BB43" s="28"/>
    </row>
    <row r="45" spans="1:54" ht="23.25">
      <c r="A45" s="14" t="s">
        <v>245</v>
      </c>
      <c r="B45" s="115">
        <v>0</v>
      </c>
      <c r="E45" s="108"/>
    </row>
    <row r="46" spans="1:54" ht="23.25">
      <c r="A46" s="14" t="s">
        <v>246</v>
      </c>
      <c r="B46" s="115">
        <v>0</v>
      </c>
      <c r="C46" s="108"/>
    </row>
    <row r="47" spans="1:54" ht="23.25">
      <c r="A47" s="14" t="s">
        <v>247</v>
      </c>
      <c r="B47" s="115">
        <v>0</v>
      </c>
      <c r="E47" s="16"/>
    </row>
    <row r="48" spans="1:54" ht="23.25">
      <c r="A48" s="14" t="s">
        <v>248</v>
      </c>
      <c r="B48" s="115">
        <v>0</v>
      </c>
      <c r="C48" s="16"/>
    </row>
    <row r="49" spans="1:5" ht="23.25">
      <c r="A49" s="14" t="s">
        <v>249</v>
      </c>
      <c r="B49" s="115">
        <v>0</v>
      </c>
      <c r="E49" s="16"/>
    </row>
    <row r="50" spans="1:5" ht="23.25">
      <c r="A50" s="14" t="s">
        <v>250</v>
      </c>
      <c r="B50" s="115">
        <v>0</v>
      </c>
      <c r="C50" s="16"/>
    </row>
    <row r="51" spans="1:5" ht="12">
      <c r="A51" s="108" t="s">
        <v>218</v>
      </c>
    </row>
    <row r="52" spans="1:5" ht="12">
      <c r="A52" s="16"/>
    </row>
    <row r="53" spans="1:5" ht="12">
      <c r="A53" s="16"/>
    </row>
    <row r="54" spans="1:5" ht="12">
      <c r="A54"/>
      <c r="C54" s="124"/>
    </row>
    <row r="55" spans="1:5" ht="12">
      <c r="A55" s="16" t="s">
        <v>217</v>
      </c>
    </row>
    <row r="56" spans="1:5">
      <c r="C56" s="124"/>
    </row>
    <row r="57" spans="1:5">
      <c r="A57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H117"/>
  <sheetViews>
    <sheetView topLeftCell="A3" workbookViewId="0">
      <pane xSplit="3" ySplit="6" topLeftCell="D99" activePane="bottomRight" state="frozen"/>
      <selection activeCell="A3" sqref="A3"/>
      <selection pane="topRight" activeCell="D3" sqref="D3"/>
      <selection pane="bottomLeft" activeCell="A32" sqref="A32"/>
      <selection pane="bottomRight" activeCell="C99" sqref="C9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5" customWidth="1"/>
    <col min="6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s="8" t="s">
        <v>2</v>
      </c>
    </row>
    <row r="3" spans="1:7" ht="15">
      <c r="A3" s="6"/>
      <c r="B3" s="7"/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81</v>
      </c>
      <c r="C6" s="9"/>
    </row>
    <row r="7" spans="1:7" ht="24" customHeight="1">
      <c r="A7" s="12" t="s">
        <v>6</v>
      </c>
      <c r="B7" s="128" t="s">
        <v>329</v>
      </c>
      <c r="C7" s="9"/>
    </row>
    <row r="8" spans="1:7" ht="24" customHeight="1">
      <c r="A8" s="12"/>
      <c r="B8" s="13" t="s">
        <v>256</v>
      </c>
      <c r="C8" s="129" t="s">
        <v>257</v>
      </c>
    </row>
    <row r="9" spans="1:7" ht="23.25" customHeight="1">
      <c r="A9" s="130" t="s">
        <v>24</v>
      </c>
      <c r="B9" s="34">
        <f>C9/E9</f>
        <v>60</v>
      </c>
      <c r="C9" s="131">
        <v>6000</v>
      </c>
      <c r="E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  <c r="E10">
        <v>47170</v>
      </c>
    </row>
    <row r="11" spans="1:7" ht="23.25" customHeight="1">
      <c r="A11" s="14" t="s">
        <v>231</v>
      </c>
      <c r="B11" s="15">
        <f>C11/E11</f>
        <v>60</v>
      </c>
      <c r="C11" s="133">
        <f>C9</f>
        <v>6000</v>
      </c>
      <c r="E11" s="132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v>0</v>
      </c>
      <c r="C13" s="133">
        <v>0</v>
      </c>
    </row>
    <row r="14" spans="1:7" ht="23.25" customHeight="1">
      <c r="A14" s="14" t="s">
        <v>261</v>
      </c>
      <c r="B14" s="15">
        <v>0</v>
      </c>
      <c r="C14" s="133">
        <v>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5" ht="23.25" customHeight="1">
      <c r="A17" s="14" t="s">
        <v>264</v>
      </c>
      <c r="B17" s="15">
        <v>0</v>
      </c>
      <c r="C17" s="133">
        <v>0</v>
      </c>
    </row>
    <row r="18" spans="1:5" ht="23.25" customHeight="1">
      <c r="A18" s="130" t="s">
        <v>265</v>
      </c>
      <c r="B18" s="34">
        <f>C18/E18</f>
        <v>150</v>
      </c>
      <c r="C18" s="131">
        <v>15000</v>
      </c>
      <c r="E18" s="132">
        <v>100</v>
      </c>
    </row>
    <row r="19" spans="1:5" ht="23.25" customHeight="1">
      <c r="A19" s="14" t="s">
        <v>266</v>
      </c>
      <c r="B19" s="15">
        <v>0</v>
      </c>
      <c r="C19" s="133"/>
    </row>
    <row r="20" spans="1:5" ht="23.25" customHeight="1">
      <c r="A20" s="14" t="s">
        <v>267</v>
      </c>
      <c r="B20" s="15">
        <f>B18</f>
        <v>150</v>
      </c>
      <c r="C20" s="133">
        <f>C18</f>
        <v>15000</v>
      </c>
    </row>
    <row r="21" spans="1:5" ht="23.25" customHeight="1">
      <c r="A21" s="14" t="s">
        <v>268</v>
      </c>
      <c r="B21" s="15">
        <v>0</v>
      </c>
      <c r="C21" s="133">
        <v>0</v>
      </c>
    </row>
    <row r="22" spans="1:5" ht="23.25" customHeight="1">
      <c r="A22" s="14" t="s">
        <v>269</v>
      </c>
      <c r="B22" s="15">
        <v>0</v>
      </c>
      <c r="C22" s="133">
        <v>0</v>
      </c>
    </row>
    <row r="23" spans="1:5" ht="23.25" customHeight="1">
      <c r="A23" s="14" t="s">
        <v>270</v>
      </c>
      <c r="B23" s="15">
        <v>0</v>
      </c>
      <c r="C23" s="133">
        <v>0</v>
      </c>
    </row>
    <row r="24" spans="1:5" ht="23.25" customHeight="1">
      <c r="A24" s="14" t="s">
        <v>271</v>
      </c>
      <c r="B24" s="15">
        <v>0</v>
      </c>
      <c r="C24" s="133">
        <v>0</v>
      </c>
    </row>
    <row r="25" spans="1:5" ht="23.25" customHeight="1">
      <c r="A25" s="14" t="s">
        <v>272</v>
      </c>
      <c r="B25" s="15">
        <v>0</v>
      </c>
      <c r="C25" s="133">
        <v>0</v>
      </c>
    </row>
    <row r="26" spans="1:5" ht="23.25" customHeight="1">
      <c r="A26" s="14" t="s">
        <v>273</v>
      </c>
      <c r="B26" s="15">
        <v>0</v>
      </c>
      <c r="C26" s="133">
        <v>0</v>
      </c>
    </row>
    <row r="27" spans="1:5" ht="23.25" customHeight="1">
      <c r="A27" s="14" t="s">
        <v>274</v>
      </c>
      <c r="B27" s="15">
        <v>0</v>
      </c>
      <c r="C27" s="133">
        <v>0</v>
      </c>
    </row>
    <row r="28" spans="1:5" ht="23.25" customHeight="1">
      <c r="A28" s="80" t="s">
        <v>275</v>
      </c>
      <c r="B28" s="134">
        <v>-90</v>
      </c>
      <c r="C28" s="133"/>
      <c r="E28" s="133"/>
    </row>
    <row r="29" spans="1:5" ht="23.25" customHeight="1">
      <c r="A29" s="14" t="s">
        <v>276</v>
      </c>
      <c r="B29" s="14"/>
      <c r="C29" s="133" t="s">
        <v>36</v>
      </c>
    </row>
    <row r="30" spans="1:5" ht="23.25" customHeight="1">
      <c r="A30" s="14" t="s">
        <v>277</v>
      </c>
      <c r="B30" s="15">
        <v>0</v>
      </c>
      <c r="C30" s="133">
        <v>16865</v>
      </c>
    </row>
    <row r="31" spans="1:5" ht="23.25" customHeight="1">
      <c r="A31" s="14" t="s">
        <v>278</v>
      </c>
      <c r="B31" s="15" t="s">
        <v>478</v>
      </c>
      <c r="C31" s="133">
        <v>25865</v>
      </c>
    </row>
    <row r="32" spans="1:5" ht="23.25" customHeight="1">
      <c r="A32" s="14" t="s">
        <v>279</v>
      </c>
      <c r="B32" s="25">
        <v>0</v>
      </c>
      <c r="C32" s="133">
        <v>25865</v>
      </c>
    </row>
    <row r="33" spans="1:60" ht="23.25" customHeight="1">
      <c r="A33" s="22" t="s">
        <v>280</v>
      </c>
      <c r="B33" s="117">
        <v>1.5336000000000001</v>
      </c>
      <c r="C33" s="133"/>
    </row>
    <row r="34" spans="1:60" ht="23.25" customHeight="1">
      <c r="A34" s="61" t="s">
        <v>125</v>
      </c>
      <c r="B34" s="26"/>
      <c r="C34" s="135">
        <v>417</v>
      </c>
      <c r="E34">
        <v>11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2</v>
      </c>
      <c r="D71" s="147">
        <v>10000</v>
      </c>
      <c r="E71" s="148">
        <v>100</v>
      </c>
    </row>
    <row r="72" spans="1:5" ht="23.25" hidden="1" customHeight="1">
      <c r="A72" s="146">
        <v>7</v>
      </c>
      <c r="B72" s="146">
        <v>100</v>
      </c>
      <c r="C72" s="147">
        <v>14</v>
      </c>
      <c r="D72" s="147">
        <v>140000</v>
      </c>
      <c r="E72" s="148">
        <v>1400</v>
      </c>
    </row>
    <row r="73" spans="1:5" ht="23.25" hidden="1" customHeight="1">
      <c r="B73" s="78" t="s">
        <v>68</v>
      </c>
      <c r="C73" s="147">
        <v>24</v>
      </c>
      <c r="D73" s="147">
        <v>157200</v>
      </c>
      <c r="E73" s="148">
        <v>1572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4" ht="23.25" hidden="1">
      <c r="A97" s="14" t="s">
        <v>319</v>
      </c>
      <c r="B97" s="115">
        <v>0</v>
      </c>
      <c r="C97" s="26">
        <v>0</v>
      </c>
      <c r="D97" s="9"/>
    </row>
    <row r="98" spans="1:4" ht="23.25" hidden="1">
      <c r="A98" s="22"/>
      <c r="B98" s="153"/>
      <c r="C98" s="24"/>
      <c r="D98" s="24"/>
    </row>
    <row r="99" spans="1:4" ht="23.25">
      <c r="B99" s="78" t="s">
        <v>478</v>
      </c>
    </row>
    <row r="100" spans="1:4" ht="15" thickBot="1"/>
    <row r="101" spans="1:4" ht="24" thickBot="1">
      <c r="B101" s="154" t="s">
        <v>136</v>
      </c>
      <c r="C101" s="1000">
        <f>+B9</f>
        <v>60</v>
      </c>
    </row>
    <row r="102" spans="1:4" hidden="1">
      <c r="C102" s="1001"/>
    </row>
    <row r="103" spans="1:4" ht="23.25">
      <c r="B103" s="14" t="s">
        <v>322</v>
      </c>
      <c r="C103" s="1002">
        <v>465704</v>
      </c>
    </row>
    <row r="104" spans="1:4" hidden="1">
      <c r="C104" s="1001"/>
    </row>
    <row r="105" spans="1:4" ht="23.25">
      <c r="B105" s="14" t="s">
        <v>323</v>
      </c>
      <c r="C105" s="1002">
        <v>2773361</v>
      </c>
    </row>
    <row r="106" spans="1:4" hidden="1">
      <c r="C106" s="1001"/>
    </row>
    <row r="107" spans="1:4" ht="23.25">
      <c r="B107" s="14" t="s">
        <v>324</v>
      </c>
      <c r="C107" s="1002">
        <v>2055620</v>
      </c>
    </row>
    <row r="108" spans="1:4" hidden="1">
      <c r="C108" s="1001"/>
    </row>
    <row r="109" spans="1:4" ht="23.25">
      <c r="B109" s="14" t="s">
        <v>325</v>
      </c>
      <c r="C109" s="1002">
        <v>0</v>
      </c>
    </row>
    <row r="110" spans="1:4" hidden="1">
      <c r="C110" s="1001"/>
    </row>
    <row r="111" spans="1:4" ht="23.25">
      <c r="B111" s="14" t="s">
        <v>326</v>
      </c>
      <c r="C111" s="1002">
        <v>0</v>
      </c>
    </row>
    <row r="112" spans="1:4">
      <c r="C112" s="1001"/>
    </row>
    <row r="113" spans="1:3" ht="23.25">
      <c r="A113"/>
      <c r="B113" s="14" t="s">
        <v>327</v>
      </c>
      <c r="C113" s="1003">
        <f>C103</f>
        <v>465704</v>
      </c>
    </row>
    <row r="114" spans="1:3">
      <c r="C114" s="1001"/>
    </row>
    <row r="115" spans="1:3" ht="23.25">
      <c r="A115"/>
      <c r="B115" s="14" t="s">
        <v>328</v>
      </c>
      <c r="C115" s="1003">
        <f>C101</f>
        <v>60</v>
      </c>
    </row>
    <row r="116" spans="1:3">
      <c r="C116" s="1001"/>
    </row>
    <row r="117" spans="1:3" ht="24" thickBot="1">
      <c r="A117"/>
      <c r="B117" s="14"/>
      <c r="C117" s="1004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1"/>
  <sheetViews>
    <sheetView workbookViewId="0">
      <pane xSplit="2" ySplit="7" topLeftCell="C66" activePane="bottomRight" state="frozen"/>
      <selection pane="topRight" activeCell="C1" sqref="C1"/>
      <selection pane="bottomLeft" activeCell="A17" sqref="A17"/>
      <selection pane="bottomRight" activeCell="B30" sqref="B30"/>
    </sheetView>
  </sheetViews>
  <sheetFormatPr defaultColWidth="11" defaultRowHeight="14.25"/>
  <cols>
    <col min="1" max="1" width="76.7109375" style="1" customWidth="1"/>
    <col min="2" max="2" width="23.42578125" style="2" bestFit="1" customWidth="1"/>
    <col min="3" max="4" width="19.85546875" customWidth="1"/>
    <col min="5" max="191" width="11.42578125" customWidth="1"/>
    <col min="192" max="192" width="31.5703125" customWidth="1"/>
    <col min="193" max="193" width="30" customWidth="1"/>
    <col min="194" max="194" width="4.85546875" customWidth="1"/>
    <col min="195" max="195" width="2.28515625" customWidth="1"/>
    <col min="196" max="200" width="0" hidden="1" customWidth="1"/>
    <col min="201" max="201" width="0.42578125" customWidth="1"/>
    <col min="202" max="209" width="3.85546875" customWidth="1"/>
    <col min="210" max="210" width="0.42578125" customWidth="1"/>
    <col min="211" max="211" width="3" customWidth="1"/>
    <col min="212" max="218" width="3.140625" customWidth="1"/>
    <col min="219" max="219" width="0.42578125" customWidth="1"/>
    <col min="220" max="227" width="3.140625" customWidth="1"/>
    <col min="228" max="228" width="0.42578125" customWidth="1"/>
    <col min="229" max="234" width="3.140625" customWidth="1"/>
    <col min="235" max="235" width="3.28515625" customWidth="1"/>
    <col min="236" max="236" width="3.7109375" customWidth="1"/>
    <col min="237" max="237" width="0.85546875" customWidth="1"/>
    <col min="238" max="244" width="3.140625" customWidth="1"/>
    <col min="245" max="245" width="0.42578125" customWidth="1"/>
    <col min="246" max="253" width="3.140625" customWidth="1"/>
    <col min="254" max="254" width="0.28515625" customWidth="1"/>
  </cols>
  <sheetData>
    <row r="1" spans="1:9">
      <c r="A1" s="3"/>
      <c r="B1" s="4"/>
      <c r="I1" t="s">
        <v>69</v>
      </c>
    </row>
    <row r="2" spans="1:9" ht="15">
      <c r="A2" s="6" t="s">
        <v>0</v>
      </c>
      <c r="B2" s="7" t="s">
        <v>70</v>
      </c>
    </row>
    <row r="3" spans="1:9" ht="15">
      <c r="A3" s="6"/>
      <c r="B3" s="7"/>
    </row>
    <row r="4" spans="1:9" ht="24" customHeight="1">
      <c r="A4" s="6" t="s">
        <v>4</v>
      </c>
      <c r="B4" s="10">
        <v>1</v>
      </c>
    </row>
    <row r="5" spans="1:9" ht="24" customHeight="1">
      <c r="B5" s="37"/>
    </row>
    <row r="6" spans="1:9" ht="24" customHeight="1">
      <c r="A6" s="11" t="s">
        <v>5</v>
      </c>
      <c r="B6" s="38">
        <v>94</v>
      </c>
    </row>
    <row r="7" spans="1:9" ht="36">
      <c r="A7" s="12" t="s">
        <v>6</v>
      </c>
      <c r="B7" s="506" t="s">
        <v>841</v>
      </c>
    </row>
    <row r="8" spans="1:9" ht="24" customHeight="1">
      <c r="A8" s="40" t="s">
        <v>71</v>
      </c>
      <c r="B8" s="41">
        <v>50722.81</v>
      </c>
      <c r="C8">
        <v>6</v>
      </c>
    </row>
    <row r="9" spans="1:9" ht="24" customHeight="1">
      <c r="A9" s="40" t="s">
        <v>72</v>
      </c>
      <c r="B9" s="41">
        <v>0</v>
      </c>
    </row>
    <row r="10" spans="1:9" ht="24" customHeight="1">
      <c r="A10" s="40" t="s">
        <v>73</v>
      </c>
      <c r="B10" s="41">
        <v>25646</v>
      </c>
    </row>
    <row r="11" spans="1:9" ht="24" customHeight="1">
      <c r="A11" s="40" t="s">
        <v>74</v>
      </c>
      <c r="B11" s="41">
        <v>0</v>
      </c>
    </row>
    <row r="12" spans="1:9" ht="24" customHeight="1">
      <c r="A12" s="40" t="s">
        <v>75</v>
      </c>
      <c r="B12" s="41">
        <v>25076.81</v>
      </c>
    </row>
    <row r="13" spans="1:9" ht="24" customHeight="1">
      <c r="A13" s="40" t="s">
        <v>76</v>
      </c>
      <c r="B13" s="41">
        <v>147287.92000000001</v>
      </c>
      <c r="C13" s="16"/>
      <c r="D13" s="16"/>
      <c r="E13" s="16"/>
      <c r="F13" s="16"/>
    </row>
    <row r="14" spans="1:9" ht="24" customHeight="1">
      <c r="A14" s="40" t="s">
        <v>77</v>
      </c>
      <c r="B14" s="41">
        <v>139870.43</v>
      </c>
      <c r="C14" s="16"/>
      <c r="D14" s="16"/>
      <c r="E14" s="16"/>
      <c r="F14" s="16"/>
    </row>
    <row r="15" spans="1:9" ht="24" customHeight="1">
      <c r="A15" s="40" t="s">
        <v>78</v>
      </c>
      <c r="B15" s="41">
        <v>173570.98</v>
      </c>
      <c r="C15" s="16"/>
      <c r="D15" s="16"/>
      <c r="E15" s="16"/>
      <c r="F15" s="16"/>
    </row>
    <row r="16" spans="1:9" ht="24" customHeight="1">
      <c r="A16" s="40" t="s">
        <v>79</v>
      </c>
      <c r="B16" s="41">
        <f>+B15</f>
        <v>173570.98</v>
      </c>
      <c r="C16" s="16"/>
      <c r="D16" s="16"/>
      <c r="E16" s="16"/>
      <c r="F16" s="16"/>
    </row>
    <row r="17" spans="1:6" ht="24" customHeight="1">
      <c r="A17" s="40" t="s">
        <v>80</v>
      </c>
      <c r="B17" s="41">
        <v>0</v>
      </c>
      <c r="C17" s="16"/>
      <c r="D17" s="16"/>
      <c r="E17" s="16"/>
      <c r="F17" s="16"/>
    </row>
    <row r="18" spans="1:6" ht="24" customHeight="1">
      <c r="A18" s="40" t="s">
        <v>81</v>
      </c>
      <c r="B18" s="41">
        <v>43305.32</v>
      </c>
      <c r="C18" s="16"/>
      <c r="D18" s="16"/>
      <c r="E18" s="16"/>
      <c r="F18" s="16"/>
    </row>
    <row r="19" spans="1:6" ht="24" customHeight="1">
      <c r="A19" s="40" t="s">
        <v>38</v>
      </c>
      <c r="B19" s="41">
        <v>0</v>
      </c>
    </row>
    <row r="20" spans="1:6" ht="24" customHeight="1">
      <c r="A20" s="40" t="s">
        <v>82</v>
      </c>
      <c r="B20" s="41">
        <v>0</v>
      </c>
    </row>
    <row r="21" spans="1:6" ht="24" customHeight="1">
      <c r="A21" s="40" t="s">
        <v>83</v>
      </c>
      <c r="B21" s="41">
        <v>43305.32</v>
      </c>
    </row>
    <row r="22" spans="1:6" ht="24" customHeight="1">
      <c r="A22" s="40" t="s">
        <v>84</v>
      </c>
      <c r="B22" s="42">
        <v>0</v>
      </c>
    </row>
    <row r="23" spans="1:6" ht="24" customHeight="1">
      <c r="A23" s="40" t="s">
        <v>85</v>
      </c>
      <c r="B23" s="224">
        <v>0</v>
      </c>
      <c r="E23" s="43"/>
    </row>
    <row r="24" spans="1:6" ht="24" customHeight="1">
      <c r="A24" s="40" t="s">
        <v>86</v>
      </c>
      <c r="B24" s="229">
        <v>0</v>
      </c>
    </row>
    <row r="25" spans="1:6" ht="24" customHeight="1">
      <c r="A25" s="40" t="s">
        <v>87</v>
      </c>
      <c r="B25" s="41">
        <v>0</v>
      </c>
    </row>
    <row r="26" spans="1:6" ht="24" customHeight="1">
      <c r="A26" s="40" t="s">
        <v>88</v>
      </c>
      <c r="B26" s="41">
        <v>7417.49</v>
      </c>
    </row>
    <row r="27" spans="1:6" ht="24" customHeight="1">
      <c r="A27" s="40" t="s">
        <v>89</v>
      </c>
      <c r="B27" s="41">
        <f>B26</f>
        <v>7417.49</v>
      </c>
    </row>
    <row r="28" spans="1:6" ht="24" customHeight="1">
      <c r="A28" s="40" t="s">
        <v>90</v>
      </c>
      <c r="B28" s="41">
        <v>25646</v>
      </c>
    </row>
    <row r="29" spans="1:6" ht="24" customHeight="1">
      <c r="A29" s="40" t="s">
        <v>91</v>
      </c>
      <c r="B29" s="44">
        <v>0.9496</v>
      </c>
    </row>
    <row r="30" spans="1:6" ht="24" customHeight="1">
      <c r="A30" s="40" t="s">
        <v>92</v>
      </c>
      <c r="B30" s="44">
        <f>B29</f>
        <v>0.9496</v>
      </c>
    </row>
    <row r="31" spans="1:6" ht="24" customHeight="1">
      <c r="A31" s="40"/>
      <c r="B31" s="4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indexed="55"/>
  </sheetPr>
  <dimension ref="A1:BJ74"/>
  <sheetViews>
    <sheetView workbookViewId="0">
      <pane xSplit="3" ySplit="7" topLeftCell="D61" activePane="bottomRight" state="frozen"/>
      <selection pane="topRight" activeCell="D1" sqref="D1"/>
      <selection pane="bottomLeft" activeCell="A41" sqref="A41"/>
      <selection pane="bottomRight" activeCell="B66" sqref="B66"/>
    </sheetView>
  </sheetViews>
  <sheetFormatPr defaultColWidth="11" defaultRowHeight="14.25"/>
  <cols>
    <col min="1" max="1" width="41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38">
        <v>42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19838935.359999999</v>
      </c>
      <c r="C8" s="14"/>
    </row>
    <row r="9" spans="1:7" ht="24" customHeight="1">
      <c r="A9" s="14" t="s">
        <v>9</v>
      </c>
      <c r="B9" s="15">
        <f>B8</f>
        <v>19838935.359999999</v>
      </c>
      <c r="C9" s="14"/>
    </row>
    <row r="10" spans="1:7" ht="24" customHeight="1">
      <c r="A10" s="14" t="s">
        <v>93</v>
      </c>
      <c r="B10" s="15">
        <v>0</v>
      </c>
      <c r="C10" s="14"/>
    </row>
    <row r="11" spans="1:7" ht="24" customHeight="1">
      <c r="A11" s="14" t="s">
        <v>95</v>
      </c>
      <c r="B11" s="15">
        <v>0</v>
      </c>
      <c r="C11" s="14"/>
    </row>
    <row r="12" spans="1:7" ht="24" customHeight="1">
      <c r="A12" s="14"/>
      <c r="B12" s="15"/>
      <c r="C12" s="14"/>
    </row>
    <row r="13" spans="1:7" ht="24" customHeight="1">
      <c r="A13" s="14" t="s">
        <v>12</v>
      </c>
      <c r="B13" s="15">
        <v>18973931.57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18880081.07</v>
      </c>
      <c r="C14" s="9"/>
      <c r="D14" s="16"/>
      <c r="E14" s="16"/>
      <c r="F14" s="16"/>
      <c r="G14" s="16"/>
    </row>
    <row r="15" spans="1:7" ht="24" customHeight="1">
      <c r="A15" s="14" t="s">
        <v>96</v>
      </c>
      <c r="B15" s="15">
        <f>B14</f>
        <v>18880081.07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7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93850.5</v>
      </c>
      <c r="C18" s="9"/>
      <c r="D18" s="16"/>
      <c r="E18" s="16"/>
      <c r="F18" s="16"/>
      <c r="G18" s="16"/>
    </row>
    <row r="19" spans="1:62" ht="24" customHeight="1">
      <c r="A19" s="14" t="s">
        <v>17</v>
      </c>
      <c r="B19" s="15">
        <f>B18</f>
        <v>93850.5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</row>
    <row r="23" spans="1:62" ht="5.25" customHeight="1">
      <c r="A23" s="18"/>
      <c r="B23" s="19"/>
      <c r="C23" s="20"/>
    </row>
    <row r="24" spans="1:62" ht="24" customHeight="1">
      <c r="A24" s="14" t="s">
        <v>24</v>
      </c>
      <c r="B24" s="15">
        <v>5199062.55</v>
      </c>
      <c r="C24" s="9"/>
    </row>
    <row r="25" spans="1:62" ht="24" customHeight="1">
      <c r="A25" s="14" t="s">
        <v>25</v>
      </c>
      <c r="B25" s="15">
        <v>0</v>
      </c>
      <c r="C25" s="9"/>
    </row>
    <row r="26" spans="1:62" ht="24" customHeight="1">
      <c r="A26" s="22" t="s">
        <v>26</v>
      </c>
      <c r="B26" s="25">
        <v>3713170</v>
      </c>
      <c r="C26" s="24"/>
    </row>
    <row r="27" spans="1:62" ht="24" customHeight="1">
      <c r="A27" s="14" t="s">
        <v>27</v>
      </c>
      <c r="B27" s="26">
        <v>1485892.55</v>
      </c>
      <c r="C27" s="9"/>
    </row>
    <row r="28" spans="1:62" ht="24" customHeight="1">
      <c r="A28" s="1" t="s">
        <v>28</v>
      </c>
      <c r="B28" s="26">
        <f>B27</f>
        <v>1485892.55</v>
      </c>
      <c r="C28" s="27"/>
      <c r="BB28" s="28"/>
      <c r="BC28" s="16"/>
      <c r="BD28" s="16"/>
      <c r="BE28" s="16"/>
      <c r="BF28" s="16"/>
      <c r="BG28" s="16"/>
      <c r="BH28" s="16"/>
      <c r="BI28" s="16"/>
      <c r="BJ28" s="16"/>
    </row>
    <row r="29" spans="1:62" ht="24" customHeight="1">
      <c r="A29" s="14" t="s">
        <v>29</v>
      </c>
      <c r="B29" s="29">
        <v>0</v>
      </c>
      <c r="C29" s="27"/>
    </row>
    <row r="30" spans="1:62" ht="24" customHeight="1">
      <c r="A30" s="14" t="s">
        <v>30</v>
      </c>
      <c r="B30" s="29">
        <v>0</v>
      </c>
      <c r="C30" s="9"/>
    </row>
    <row r="31" spans="1:62" ht="24" customHeight="1">
      <c r="A31" s="14" t="s">
        <v>31</v>
      </c>
      <c r="B31" s="29">
        <v>0</v>
      </c>
      <c r="C31" s="9"/>
    </row>
    <row r="32" spans="1:62" ht="24" customHeight="1">
      <c r="A32" s="14" t="s">
        <v>32</v>
      </c>
      <c r="B32" s="29">
        <v>0</v>
      </c>
      <c r="C32" s="9"/>
    </row>
    <row r="33" spans="1:62" ht="24" customHeight="1">
      <c r="A33" s="14" t="s">
        <v>33</v>
      </c>
      <c r="B33" s="29">
        <v>0</v>
      </c>
      <c r="C33" s="9"/>
    </row>
    <row r="34" spans="1:62" ht="24" customHeight="1">
      <c r="A34" s="14" t="s">
        <v>34</v>
      </c>
      <c r="B34" s="29">
        <v>0</v>
      </c>
      <c r="C34" s="9"/>
    </row>
    <row r="35" spans="1:62" ht="24" customHeight="1">
      <c r="A35" s="14" t="s">
        <v>35</v>
      </c>
      <c r="B35" s="29">
        <v>0</v>
      </c>
      <c r="C35" s="9"/>
    </row>
    <row r="36" spans="1:62" ht="24" customHeight="1">
      <c r="A36" s="14" t="s">
        <v>36</v>
      </c>
      <c r="B36" s="30"/>
      <c r="C36" s="9"/>
    </row>
    <row r="37" spans="1:62" ht="24" customHeight="1">
      <c r="A37" s="14" t="s">
        <v>37</v>
      </c>
      <c r="B37" s="15">
        <v>4334058.76</v>
      </c>
      <c r="C37" s="9"/>
    </row>
    <row r="38" spans="1:62" ht="24" customHeight="1">
      <c r="A38" s="14" t="s">
        <v>38</v>
      </c>
      <c r="B38" s="25">
        <v>0</v>
      </c>
      <c r="C38" s="24"/>
    </row>
    <row r="39" spans="1:62" ht="24" customHeight="1">
      <c r="A39" s="1" t="s">
        <v>39</v>
      </c>
      <c r="B39" s="26">
        <v>93850.5</v>
      </c>
      <c r="C39" s="9"/>
      <c r="BB39" s="28"/>
      <c r="BC39" s="16"/>
      <c r="BD39" s="16"/>
      <c r="BE39" s="16"/>
      <c r="BF39" s="16"/>
      <c r="BG39" s="16"/>
      <c r="BH39" s="16"/>
      <c r="BI39" s="16"/>
      <c r="BJ39" s="16"/>
    </row>
    <row r="40" spans="1:62" ht="24" customHeight="1">
      <c r="A40" s="14" t="s">
        <v>40</v>
      </c>
      <c r="B40" s="26">
        <v>4241.8599999999997</v>
      </c>
      <c r="C40" s="9"/>
      <c r="BB40" s="16"/>
      <c r="BC40" s="16"/>
      <c r="BD40" s="16"/>
      <c r="BE40" s="16"/>
      <c r="BF40" s="16"/>
      <c r="BG40" s="16"/>
      <c r="BH40" s="16"/>
      <c r="BI40" s="16"/>
      <c r="BJ40" s="16"/>
    </row>
    <row r="41" spans="1:62" ht="23.25">
      <c r="A41" s="31" t="s">
        <v>41</v>
      </c>
      <c r="B41" s="32">
        <v>0</v>
      </c>
      <c r="C41" s="33"/>
    </row>
    <row r="42" spans="1:62" ht="24" customHeight="1">
      <c r="A42" s="14" t="s">
        <v>42</v>
      </c>
      <c r="B42" s="15">
        <v>0</v>
      </c>
      <c r="C42" s="9"/>
    </row>
    <row r="43" spans="1:62" ht="24" customHeight="1">
      <c r="A43" s="14" t="s">
        <v>43</v>
      </c>
      <c r="B43" s="15">
        <v>0</v>
      </c>
      <c r="C43" s="9"/>
    </row>
    <row r="44" spans="1:62" ht="24" customHeight="1">
      <c r="A44" s="14" t="s">
        <v>44</v>
      </c>
      <c r="B44" s="15">
        <v>4235966.4000000004</v>
      </c>
      <c r="C44" s="9"/>
    </row>
    <row r="45" spans="1:62" ht="24" customHeight="1">
      <c r="A45" s="14" t="s">
        <v>45</v>
      </c>
      <c r="B45" s="15">
        <f>B44</f>
        <v>4235966.4000000004</v>
      </c>
      <c r="C45" s="9"/>
    </row>
    <row r="46" spans="1:62" ht="24" customHeight="1">
      <c r="A46" s="14" t="s">
        <v>46</v>
      </c>
      <c r="B46" s="17">
        <v>0</v>
      </c>
      <c r="C46" s="9"/>
    </row>
    <row r="47" spans="1:62" ht="24" customHeight="1">
      <c r="A47" s="14" t="s">
        <v>47</v>
      </c>
      <c r="B47" s="17">
        <v>0</v>
      </c>
      <c r="C47" s="9"/>
    </row>
    <row r="48" spans="1:62" ht="8.25" customHeight="1">
      <c r="A48" s="18"/>
      <c r="B48" s="19"/>
      <c r="C48" s="20"/>
    </row>
    <row r="49" spans="1:3" ht="24" customHeight="1">
      <c r="A49" s="14" t="s">
        <v>48</v>
      </c>
      <c r="B49" s="15">
        <v>4240208.26</v>
      </c>
      <c r="C49" s="9"/>
    </row>
    <row r="50" spans="1:3" ht="24" customHeight="1">
      <c r="A50" s="14"/>
      <c r="B50" s="17">
        <v>0</v>
      </c>
      <c r="C50" s="9"/>
    </row>
    <row r="51" spans="1:3" ht="24" customHeight="1">
      <c r="A51" s="14" t="s">
        <v>49</v>
      </c>
      <c r="B51" s="17">
        <v>0</v>
      </c>
      <c r="C51" s="9"/>
    </row>
    <row r="52" spans="1:3" ht="24" customHeight="1">
      <c r="A52" s="14" t="s">
        <v>50</v>
      </c>
      <c r="B52" s="17">
        <v>0</v>
      </c>
      <c r="C52" s="9"/>
    </row>
    <row r="53" spans="1:3" ht="24" customHeight="1">
      <c r="A53" s="14" t="s">
        <v>51</v>
      </c>
      <c r="B53" s="17">
        <v>0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52</v>
      </c>
      <c r="B55" s="17">
        <v>0</v>
      </c>
      <c r="C55" s="9"/>
    </row>
    <row r="56" spans="1:3" ht="24" customHeight="1">
      <c r="A56" s="14" t="s">
        <v>53</v>
      </c>
      <c r="B56" s="17">
        <v>0</v>
      </c>
      <c r="C56" s="9"/>
    </row>
    <row r="57" spans="1:3" ht="24" customHeight="1">
      <c r="A57" s="14" t="s">
        <v>54</v>
      </c>
      <c r="B57" s="17">
        <v>0</v>
      </c>
      <c r="C57" s="9"/>
    </row>
    <row r="58" spans="1:3" ht="24" customHeight="1">
      <c r="A58" s="14" t="s">
        <v>55</v>
      </c>
      <c r="B58" s="17">
        <v>0</v>
      </c>
      <c r="C58" s="9"/>
    </row>
    <row r="59" spans="1:3" ht="24" customHeight="1">
      <c r="A59" s="14" t="s">
        <v>56</v>
      </c>
      <c r="B59" s="17">
        <v>0</v>
      </c>
      <c r="C59" s="9"/>
    </row>
    <row r="60" spans="1:3" ht="24" customHeight="1">
      <c r="A60" s="14" t="s">
        <v>57</v>
      </c>
      <c r="B60" s="17">
        <v>0</v>
      </c>
      <c r="C60" s="9"/>
    </row>
    <row r="61" spans="1:3" ht="24" customHeight="1">
      <c r="A61" s="14"/>
      <c r="B61" s="17"/>
      <c r="C61" s="9"/>
    </row>
    <row r="62" spans="1:3" ht="24" customHeight="1">
      <c r="A62" s="14" t="s">
        <v>58</v>
      </c>
      <c r="B62" s="35">
        <v>20634514</v>
      </c>
      <c r="C62" s="9"/>
    </row>
    <row r="63" spans="1:3" ht="24" customHeight="1">
      <c r="A63" s="14" t="s">
        <v>59</v>
      </c>
      <c r="B63" s="35">
        <v>3381840</v>
      </c>
      <c r="C63" s="9"/>
    </row>
    <row r="64" spans="1:3" ht="24" customHeight="1">
      <c r="A64" s="14" t="s">
        <v>60</v>
      </c>
      <c r="B64" s="35">
        <v>17252674</v>
      </c>
      <c r="C64" s="9"/>
    </row>
    <row r="65" spans="1:3" ht="24" customHeight="1">
      <c r="A65" s="14" t="s">
        <v>61</v>
      </c>
      <c r="B65" s="35">
        <v>17205727</v>
      </c>
      <c r="C65" s="9"/>
    </row>
    <row r="66" spans="1:3" ht="24" customHeight="1">
      <c r="A66" s="14" t="s">
        <v>103</v>
      </c>
      <c r="B66" s="35">
        <f>B64-B65</f>
        <v>46947</v>
      </c>
      <c r="C66" s="9"/>
    </row>
    <row r="67" spans="1:3" ht="24" customHeight="1">
      <c r="A67" s="14"/>
      <c r="B67" s="17"/>
      <c r="C67" s="9"/>
    </row>
    <row r="68" spans="1:3" ht="24" customHeight="1">
      <c r="A68" s="14"/>
      <c r="B68" s="17"/>
      <c r="C68" s="9"/>
    </row>
    <row r="69" spans="1:3" ht="24" customHeight="1">
      <c r="A69" s="14"/>
      <c r="B69" s="17"/>
      <c r="C69" s="9"/>
    </row>
    <row r="70" spans="1:3" ht="24" customHeight="1">
      <c r="A70" s="14"/>
      <c r="B70" s="17"/>
      <c r="C70" s="9"/>
    </row>
    <row r="71" spans="1:3" ht="24" customHeight="1">
      <c r="A71" s="14"/>
      <c r="B71" s="17"/>
      <c r="C71" s="9"/>
    </row>
    <row r="72" spans="1:3" ht="24" customHeight="1">
      <c r="A72" s="14"/>
      <c r="B72" s="17"/>
      <c r="C72" s="9"/>
    </row>
    <row r="73" spans="1:3" ht="24" customHeight="1">
      <c r="A73" s="14"/>
      <c r="B73" s="17"/>
      <c r="C73" s="9"/>
    </row>
    <row r="74" spans="1:3" ht="15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2"/>
  <sheetViews>
    <sheetView workbookViewId="0">
      <pane xSplit="2" ySplit="7" topLeftCell="C21" activePane="bottomRight" state="frozen"/>
      <selection pane="topRight" activeCell="C1" sqref="C1"/>
      <selection pane="bottomLeft" activeCell="A14" sqref="A14"/>
      <selection pane="bottomRight" activeCell="B30" sqref="B30"/>
    </sheetView>
  </sheetViews>
  <sheetFormatPr defaultColWidth="11" defaultRowHeight="14.25"/>
  <cols>
    <col min="1" max="1" width="76.7109375" style="1" customWidth="1"/>
    <col min="2" max="2" width="23.42578125" style="2" bestFit="1" customWidth="1"/>
    <col min="3" max="4" width="19.85546875" customWidth="1"/>
    <col min="5" max="191" width="11.42578125" customWidth="1"/>
    <col min="192" max="192" width="31.5703125" customWidth="1"/>
    <col min="193" max="193" width="30" customWidth="1"/>
    <col min="194" max="194" width="4.85546875" customWidth="1"/>
    <col min="195" max="195" width="2.28515625" customWidth="1"/>
    <col min="196" max="200" width="0" hidden="1" customWidth="1"/>
    <col min="201" max="201" width="0.42578125" customWidth="1"/>
    <col min="202" max="209" width="3.85546875" customWidth="1"/>
    <col min="210" max="210" width="0.42578125" customWidth="1"/>
    <col min="211" max="211" width="3" customWidth="1"/>
    <col min="212" max="218" width="3.140625" customWidth="1"/>
    <col min="219" max="219" width="0.42578125" customWidth="1"/>
    <col min="220" max="227" width="3.140625" customWidth="1"/>
    <col min="228" max="228" width="0.42578125" customWidth="1"/>
    <col min="229" max="234" width="3.140625" customWidth="1"/>
    <col min="235" max="235" width="3.28515625" customWidth="1"/>
    <col min="236" max="236" width="3.7109375" customWidth="1"/>
    <col min="237" max="237" width="0.85546875" customWidth="1"/>
    <col min="238" max="244" width="3.140625" customWidth="1"/>
    <col min="245" max="245" width="0.42578125" customWidth="1"/>
    <col min="246" max="253" width="3.140625" customWidth="1"/>
    <col min="254" max="254" width="0.28515625" customWidth="1"/>
  </cols>
  <sheetData>
    <row r="1" spans="1:9">
      <c r="A1" s="3"/>
      <c r="B1" s="4"/>
      <c r="I1" t="s">
        <v>69</v>
      </c>
    </row>
    <row r="2" spans="1:9" ht="15">
      <c r="A2" s="6" t="s">
        <v>0</v>
      </c>
      <c r="B2" s="7" t="s">
        <v>70</v>
      </c>
    </row>
    <row r="3" spans="1:9" ht="15">
      <c r="A3" s="6"/>
      <c r="B3" s="7"/>
    </row>
    <row r="4" spans="1:9" ht="24" customHeight="1">
      <c r="A4" s="6" t="s">
        <v>4</v>
      </c>
      <c r="B4" s="10">
        <v>1</v>
      </c>
    </row>
    <row r="5" spans="1:9" ht="24" customHeight="1">
      <c r="B5" s="37"/>
    </row>
    <row r="6" spans="1:9" ht="24" customHeight="1">
      <c r="A6" s="11" t="s">
        <v>5</v>
      </c>
      <c r="B6" s="38">
        <v>93</v>
      </c>
    </row>
    <row r="7" spans="1:9" ht="36">
      <c r="A7" s="12" t="s">
        <v>6</v>
      </c>
      <c r="B7" s="506" t="s">
        <v>839</v>
      </c>
      <c r="E7">
        <v>6666</v>
      </c>
    </row>
    <row r="8" spans="1:9" ht="24" customHeight="1">
      <c r="A8" s="40" t="s">
        <v>71</v>
      </c>
      <c r="B8" s="41">
        <v>24746.77</v>
      </c>
    </row>
    <row r="9" spans="1:9" ht="24" customHeight="1">
      <c r="A9" s="40" t="s">
        <v>72</v>
      </c>
      <c r="B9" s="41">
        <v>0</v>
      </c>
    </row>
    <row r="10" spans="1:9" ht="24" customHeight="1">
      <c r="A10" s="40" t="s">
        <v>73</v>
      </c>
      <c r="B10" s="41">
        <v>16373</v>
      </c>
    </row>
    <row r="11" spans="1:9" ht="24" customHeight="1">
      <c r="A11" s="40" t="s">
        <v>74</v>
      </c>
      <c r="B11" s="41">
        <v>0</v>
      </c>
    </row>
    <row r="12" spans="1:9" ht="24" customHeight="1">
      <c r="A12" s="40" t="s">
        <v>75</v>
      </c>
      <c r="B12" s="41">
        <v>8373.77</v>
      </c>
    </row>
    <row r="13" spans="1:9" ht="24" customHeight="1">
      <c r="A13" s="40" t="s">
        <v>76</v>
      </c>
      <c r="B13" s="41">
        <v>85250.14</v>
      </c>
      <c r="C13" s="16"/>
      <c r="D13" s="16"/>
      <c r="E13" s="16"/>
      <c r="F13" s="16"/>
    </row>
    <row r="14" spans="1:9" ht="24" customHeight="1">
      <c r="A14" s="40" t="s">
        <v>77</v>
      </c>
      <c r="B14" s="41">
        <v>79315.009999999995</v>
      </c>
      <c r="C14" s="16"/>
      <c r="D14" s="16"/>
      <c r="E14" s="16"/>
      <c r="F14" s="16"/>
    </row>
    <row r="15" spans="1:9" ht="24" customHeight="1">
      <c r="A15" s="40" t="s">
        <v>78</v>
      </c>
      <c r="B15" s="41">
        <v>79475.539999999994</v>
      </c>
      <c r="C15" s="16"/>
      <c r="D15" s="16"/>
      <c r="E15" s="16"/>
      <c r="F15" s="16"/>
    </row>
    <row r="16" spans="1:9" ht="24" customHeight="1">
      <c r="A16" s="40" t="s">
        <v>79</v>
      </c>
      <c r="B16" s="41">
        <f>+B15</f>
        <v>79475.539999999994</v>
      </c>
      <c r="C16" s="16"/>
      <c r="D16" s="16"/>
      <c r="E16" s="16"/>
      <c r="F16" s="16"/>
    </row>
    <row r="17" spans="1:6" ht="24" customHeight="1">
      <c r="A17" s="40" t="s">
        <v>80</v>
      </c>
      <c r="B17" s="41">
        <v>0</v>
      </c>
      <c r="C17" s="16"/>
      <c r="D17" s="16"/>
      <c r="E17" s="16"/>
      <c r="F17" s="16"/>
    </row>
    <row r="18" spans="1:6" ht="24" customHeight="1">
      <c r="A18" s="40" t="s">
        <v>81</v>
      </c>
      <c r="B18" s="41">
        <v>18943.38</v>
      </c>
      <c r="C18" s="16"/>
      <c r="D18" s="16"/>
      <c r="E18" s="16"/>
      <c r="F18" s="16"/>
    </row>
    <row r="19" spans="1:6" ht="24" customHeight="1">
      <c r="A19" s="40" t="s">
        <v>38</v>
      </c>
      <c r="B19" s="41">
        <v>0</v>
      </c>
    </row>
    <row r="20" spans="1:6" ht="24" customHeight="1">
      <c r="A20" s="40" t="s">
        <v>82</v>
      </c>
      <c r="B20" s="41">
        <v>0</v>
      </c>
    </row>
    <row r="21" spans="1:6" ht="24" customHeight="1">
      <c r="A21" s="40" t="s">
        <v>83</v>
      </c>
      <c r="B21" s="41">
        <v>18972.169999999998</v>
      </c>
    </row>
    <row r="22" spans="1:6" ht="24" customHeight="1">
      <c r="A22" s="40" t="s">
        <v>84</v>
      </c>
      <c r="B22" s="42">
        <v>0</v>
      </c>
    </row>
    <row r="23" spans="1:6" ht="24" customHeight="1">
      <c r="A23" s="40" t="s">
        <v>85</v>
      </c>
      <c r="B23" s="224">
        <v>0</v>
      </c>
      <c r="E23" s="43"/>
    </row>
    <row r="24" spans="1:6" ht="24" customHeight="1">
      <c r="A24" s="40" t="s">
        <v>86</v>
      </c>
      <c r="B24" s="229">
        <v>0</v>
      </c>
    </row>
    <row r="25" spans="1:6" ht="24" customHeight="1">
      <c r="A25" s="40" t="s">
        <v>87</v>
      </c>
      <c r="B25" s="41">
        <v>0</v>
      </c>
    </row>
    <row r="26" spans="1:6" ht="24" customHeight="1">
      <c r="A26" s="40" t="s">
        <v>88</v>
      </c>
      <c r="B26" s="41">
        <v>5774.6</v>
      </c>
    </row>
    <row r="27" spans="1:6" ht="24" customHeight="1">
      <c r="A27" s="40" t="s">
        <v>89</v>
      </c>
      <c r="B27" s="41">
        <f>B26</f>
        <v>5774.6</v>
      </c>
    </row>
    <row r="28" spans="1:6" ht="24" customHeight="1">
      <c r="A28" s="40" t="s">
        <v>90</v>
      </c>
      <c r="B28" s="41">
        <v>16373</v>
      </c>
    </row>
    <row r="29" spans="1:6" ht="24" customHeight="1">
      <c r="A29" s="40" t="s">
        <v>91</v>
      </c>
      <c r="B29" s="44">
        <v>0.92220000000000002</v>
      </c>
    </row>
    <row r="30" spans="1:6" ht="24" customHeight="1">
      <c r="A30" s="40" t="s">
        <v>92</v>
      </c>
      <c r="B30" s="44">
        <f>B29</f>
        <v>0.92220000000000002</v>
      </c>
    </row>
    <row r="31" spans="1:6" ht="24" customHeight="1">
      <c r="A31" s="40"/>
      <c r="B31" s="45"/>
    </row>
    <row r="32" spans="1:6" ht="24" customHeight="1">
      <c r="A32" s="40"/>
      <c r="B32" s="4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indexed="10"/>
  </sheetPr>
  <dimension ref="A1:BH117"/>
  <sheetViews>
    <sheetView zoomScale="98" zoomScaleNormal="98" workbookViewId="0">
      <pane xSplit="3" ySplit="8" topLeftCell="D32" activePane="bottomRight" state="frozen"/>
      <selection pane="topRight" activeCell="D1" sqref="D1"/>
      <selection pane="bottomLeft" activeCell="A34" sqref="A34"/>
      <selection pane="bottomRight" activeCell="C99" sqref="C9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5" customWidth="1"/>
    <col min="6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s="8" t="s">
        <v>2</v>
      </c>
    </row>
    <row r="3" spans="1:7" ht="15">
      <c r="A3" s="6"/>
      <c r="B3" s="7"/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82</v>
      </c>
      <c r="C6" s="9"/>
    </row>
    <row r="7" spans="1:7" ht="24" customHeight="1">
      <c r="A7" s="12" t="s">
        <v>6</v>
      </c>
      <c r="B7" s="128" t="s">
        <v>255</v>
      </c>
      <c r="C7" s="9"/>
    </row>
    <row r="8" spans="1:7" ht="24" customHeight="1">
      <c r="A8" s="12"/>
      <c r="B8" s="13">
        <v>0</v>
      </c>
      <c r="C8" s="129" t="s">
        <v>257</v>
      </c>
    </row>
    <row r="9" spans="1:7" ht="23.25" customHeight="1">
      <c r="A9" s="130" t="s">
        <v>24</v>
      </c>
      <c r="B9" s="34">
        <f>C9/E9</f>
        <v>617</v>
      </c>
      <c r="C9" s="131">
        <v>61700</v>
      </c>
      <c r="E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</row>
    <row r="11" spans="1:7" ht="23.25" customHeight="1">
      <c r="A11" s="14" t="s">
        <v>231</v>
      </c>
      <c r="B11" s="15">
        <f>C11/E11</f>
        <v>617</v>
      </c>
      <c r="C11" s="133">
        <f>C9</f>
        <v>61700</v>
      </c>
      <c r="E11" s="132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v>0</v>
      </c>
      <c r="C13" s="133">
        <v>0</v>
      </c>
    </row>
    <row r="14" spans="1:7" ht="23.25" customHeight="1">
      <c r="A14" s="14" t="s">
        <v>261</v>
      </c>
      <c r="B14" s="15">
        <v>0</v>
      </c>
      <c r="C14" s="133">
        <v>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5" ht="23.25" customHeight="1">
      <c r="A17" s="14" t="s">
        <v>264</v>
      </c>
      <c r="B17" s="15">
        <v>0</v>
      </c>
      <c r="C17" s="133">
        <v>0</v>
      </c>
    </row>
    <row r="18" spans="1:5" ht="23.25" customHeight="1">
      <c r="A18" s="130" t="s">
        <v>265</v>
      </c>
      <c r="B18" s="34">
        <f>C18/E18</f>
        <v>270.10000000000002</v>
      </c>
      <c r="C18" s="131">
        <v>27010</v>
      </c>
      <c r="E18" s="132">
        <v>100</v>
      </c>
    </row>
    <row r="19" spans="1:5" ht="23.25" customHeight="1">
      <c r="A19" s="14" t="s">
        <v>266</v>
      </c>
      <c r="B19" s="15">
        <v>0</v>
      </c>
      <c r="C19" s="133">
        <v>0</v>
      </c>
    </row>
    <row r="20" spans="1:5" ht="23.25" customHeight="1">
      <c r="A20" s="14" t="s">
        <v>267</v>
      </c>
      <c r="B20" s="15">
        <f>B18</f>
        <v>270.10000000000002</v>
      </c>
      <c r="C20" s="133">
        <f>C18</f>
        <v>27010</v>
      </c>
    </row>
    <row r="21" spans="1:5" ht="23.25" customHeight="1">
      <c r="A21" s="14" t="s">
        <v>268</v>
      </c>
      <c r="B21" s="15">
        <v>0</v>
      </c>
      <c r="C21" s="133">
        <v>0</v>
      </c>
    </row>
    <row r="22" spans="1:5" ht="23.25" customHeight="1">
      <c r="A22" s="14" t="s">
        <v>269</v>
      </c>
      <c r="B22" s="15">
        <v>0</v>
      </c>
      <c r="C22" s="133">
        <v>0</v>
      </c>
    </row>
    <row r="23" spans="1:5" ht="23.25" customHeight="1">
      <c r="A23" s="14" t="s">
        <v>270</v>
      </c>
      <c r="B23" s="15">
        <v>0</v>
      </c>
      <c r="C23" s="133">
        <v>0</v>
      </c>
    </row>
    <row r="24" spans="1:5" ht="23.25" customHeight="1">
      <c r="A24" s="14" t="s">
        <v>271</v>
      </c>
      <c r="B24" s="15">
        <v>0</v>
      </c>
      <c r="C24" s="133">
        <v>0</v>
      </c>
    </row>
    <row r="25" spans="1:5" ht="23.25" customHeight="1">
      <c r="A25" s="14" t="s">
        <v>272</v>
      </c>
      <c r="B25" s="15">
        <v>0</v>
      </c>
      <c r="C25" s="133">
        <v>0</v>
      </c>
    </row>
    <row r="26" spans="1:5" ht="23.25" customHeight="1">
      <c r="A26" s="14" t="s">
        <v>273</v>
      </c>
      <c r="B26" s="15">
        <v>0</v>
      </c>
      <c r="C26" s="133">
        <v>0</v>
      </c>
    </row>
    <row r="27" spans="1:5" ht="23.25" customHeight="1">
      <c r="A27" s="14" t="s">
        <v>274</v>
      </c>
      <c r="B27" s="15"/>
      <c r="C27" s="133">
        <v>0</v>
      </c>
    </row>
    <row r="28" spans="1:5" ht="23.25" customHeight="1">
      <c r="A28" s="80" t="s">
        <v>275</v>
      </c>
      <c r="B28" s="134">
        <v>346.9</v>
      </c>
      <c r="C28" s="133"/>
      <c r="E28" s="133"/>
    </row>
    <row r="29" spans="1:5" ht="23.25" customHeight="1">
      <c r="A29" s="14" t="s">
        <v>276</v>
      </c>
      <c r="B29" s="14"/>
      <c r="C29" s="133">
        <v>186760</v>
      </c>
    </row>
    <row r="30" spans="1:5" ht="23.25" customHeight="1">
      <c r="A30" s="14" t="s">
        <v>277</v>
      </c>
      <c r="B30" s="15">
        <v>0</v>
      </c>
      <c r="C30" s="133">
        <v>152070</v>
      </c>
    </row>
    <row r="31" spans="1:5" ht="23.25" customHeight="1">
      <c r="A31" s="14" t="s">
        <v>278</v>
      </c>
      <c r="B31" s="15">
        <v>0</v>
      </c>
      <c r="C31" s="133">
        <v>152070</v>
      </c>
    </row>
    <row r="32" spans="1:5" ht="23.25" customHeight="1">
      <c r="A32" s="14" t="s">
        <v>279</v>
      </c>
      <c r="B32" s="25">
        <v>0</v>
      </c>
      <c r="C32" s="133">
        <f>C30-C31</f>
        <v>0</v>
      </c>
    </row>
    <row r="33" spans="1:60" ht="23.25" customHeight="1">
      <c r="A33" s="22" t="s">
        <v>280</v>
      </c>
      <c r="B33" s="117">
        <v>0.81420000000000003</v>
      </c>
      <c r="C33" s="133"/>
    </row>
    <row r="34" spans="1:60" ht="23.25" customHeight="1">
      <c r="A34" s="61" t="s">
        <v>125</v>
      </c>
      <c r="B34" s="26"/>
      <c r="C34" s="1005">
        <v>1666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2</v>
      </c>
      <c r="D71" s="147">
        <v>10000</v>
      </c>
      <c r="E71" s="148">
        <v>100</v>
      </c>
    </row>
    <row r="72" spans="1:5" ht="23.25" hidden="1" customHeight="1">
      <c r="A72" s="146">
        <v>7</v>
      </c>
      <c r="B72" s="146">
        <v>100</v>
      </c>
      <c r="C72" s="147">
        <v>14</v>
      </c>
      <c r="D72" s="147">
        <v>140000</v>
      </c>
      <c r="E72" s="148">
        <v>1400</v>
      </c>
    </row>
    <row r="73" spans="1:5" ht="23.25" hidden="1" customHeight="1">
      <c r="B73" s="78" t="s">
        <v>68</v>
      </c>
      <c r="C73" s="147">
        <v>24</v>
      </c>
      <c r="D73" s="147">
        <v>157200</v>
      </c>
      <c r="E73" s="148">
        <v>1572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4" ht="23.25" hidden="1">
      <c r="A97" s="14" t="s">
        <v>319</v>
      </c>
      <c r="B97" s="115">
        <v>0</v>
      </c>
      <c r="C97" s="26">
        <v>0</v>
      </c>
      <c r="D97" s="9"/>
    </row>
    <row r="98" spans="1:4" ht="23.25" hidden="1">
      <c r="A98" s="22"/>
      <c r="B98" s="153"/>
      <c r="C98" s="24"/>
      <c r="D98" s="24"/>
    </row>
    <row r="99" spans="1:4" ht="23.25">
      <c r="B99" s="78" t="s">
        <v>321</v>
      </c>
      <c r="C99" s="998"/>
    </row>
    <row r="100" spans="1:4" ht="15" thickBot="1"/>
    <row r="101" spans="1:4" ht="24" thickBot="1">
      <c r="B101" s="999" t="s">
        <v>136</v>
      </c>
      <c r="C101" s="1000">
        <f>+B9</f>
        <v>617</v>
      </c>
    </row>
    <row r="102" spans="1:4" hidden="1">
      <c r="C102" s="1001"/>
    </row>
    <row r="103" spans="1:4" ht="23.25">
      <c r="B103" s="61" t="s">
        <v>322</v>
      </c>
      <c r="C103" s="1002">
        <f>+B18</f>
        <v>270.10000000000002</v>
      </c>
    </row>
    <row r="104" spans="1:4" hidden="1">
      <c r="C104" s="1001"/>
    </row>
    <row r="105" spans="1:4" ht="23.25">
      <c r="B105" s="61" t="s">
        <v>323</v>
      </c>
      <c r="C105" s="1002">
        <f>+C29*0.01</f>
        <v>1867.6000000000001</v>
      </c>
    </row>
    <row r="106" spans="1:4" hidden="1">
      <c r="C106" s="1001"/>
    </row>
    <row r="107" spans="1:4" ht="23.25">
      <c r="B107" s="61" t="s">
        <v>324</v>
      </c>
      <c r="C107" s="1002">
        <f>+C34</f>
        <v>1666</v>
      </c>
    </row>
    <row r="108" spans="1:4" hidden="1">
      <c r="C108" s="1001"/>
    </row>
    <row r="109" spans="1:4" ht="23.25">
      <c r="B109" s="61" t="s">
        <v>325</v>
      </c>
      <c r="C109" s="1002">
        <v>0</v>
      </c>
    </row>
    <row r="110" spans="1:4" hidden="1">
      <c r="C110" s="1001"/>
    </row>
    <row r="111" spans="1:4" ht="23.25">
      <c r="B111" s="61" t="s">
        <v>326</v>
      </c>
      <c r="C111" s="1002">
        <v>0</v>
      </c>
    </row>
    <row r="112" spans="1:4">
      <c r="C112" s="1001"/>
    </row>
    <row r="113" spans="1:3" ht="23.25">
      <c r="A113"/>
      <c r="B113" s="61" t="s">
        <v>327</v>
      </c>
      <c r="C113" s="1003">
        <f>C103</f>
        <v>270.10000000000002</v>
      </c>
    </row>
    <row r="114" spans="1:3">
      <c r="C114" s="1001"/>
    </row>
    <row r="115" spans="1:3" ht="23.25">
      <c r="A115"/>
      <c r="B115" s="61" t="s">
        <v>328</v>
      </c>
      <c r="C115" s="1003">
        <f>C101</f>
        <v>617</v>
      </c>
    </row>
    <row r="116" spans="1:3">
      <c r="C116" s="1001"/>
    </row>
    <row r="117" spans="1:3" ht="24" thickBot="1">
      <c r="A117"/>
      <c r="B117" s="61"/>
      <c r="C117" s="1004"/>
    </row>
  </sheetData>
  <sheetProtection selectLockedCells="1" selectUnlockedCells="1"/>
  <pageMargins left="0.7" right="0.7" top="0.75" bottom="0.75" header="0.51180555555555551" footer="0.51180555555555551"/>
  <pageSetup paperSize="9" scale="96" firstPageNumber="0" orientation="portrait" horizontalDpi="300" verticalDpi="300" r:id="rId1"/>
  <headerFooter alignWithMargins="0"/>
  <rowBreaks count="1" manualBreakCount="1">
    <brk id="34" max="16383" man="1"/>
  </rowBreaks>
  <colBreaks count="1" manualBreakCount="1">
    <brk id="3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96"/>
  <sheetViews>
    <sheetView workbookViewId="0">
      <pane xSplit="3" ySplit="7" topLeftCell="D41" activePane="bottomRight" state="frozen"/>
      <selection pane="topRight" activeCell="D1" sqref="D1"/>
      <selection pane="bottomLeft" activeCell="A20" sqref="A20"/>
      <selection pane="bottomRight" activeCell="B47" sqref="B47"/>
    </sheetView>
  </sheetViews>
  <sheetFormatPr defaultColWidth="11" defaultRowHeight="14.25"/>
  <cols>
    <col min="1" max="1" width="49.28515625" style="1" customWidth="1"/>
    <col min="2" max="2" width="30.42578125" style="2" bestFit="1" customWidth="1"/>
    <col min="3" max="3" width="20.425781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15">
      <c r="A4" s="6" t="s">
        <v>4</v>
      </c>
      <c r="B4" s="10">
        <v>1</v>
      </c>
      <c r="C4" s="9"/>
    </row>
    <row r="5" spans="1:10">
      <c r="B5" s="37" t="s">
        <v>369</v>
      </c>
      <c r="C5" s="9"/>
    </row>
    <row r="6" spans="1:10" ht="23.25">
      <c r="A6" s="11" t="s">
        <v>5</v>
      </c>
      <c r="B6" s="38" t="s">
        <v>852</v>
      </c>
      <c r="C6" s="9"/>
    </row>
    <row r="7" spans="1:10" ht="18">
      <c r="A7" s="12" t="s">
        <v>6</v>
      </c>
      <c r="B7" s="507" t="s">
        <v>853</v>
      </c>
      <c r="C7" s="9"/>
    </row>
    <row r="8" spans="1:10" ht="23.25">
      <c r="A8" s="40" t="s">
        <v>76</v>
      </c>
      <c r="B8" s="41">
        <v>729.21</v>
      </c>
      <c r="C8" s="14"/>
    </row>
    <row r="9" spans="1:10" ht="23.25">
      <c r="A9" s="40" t="s">
        <v>333</v>
      </c>
      <c r="B9" s="41">
        <v>881.2</v>
      </c>
      <c r="C9" s="14"/>
    </row>
    <row r="10" spans="1:10" ht="23.25">
      <c r="A10" s="40" t="s">
        <v>334</v>
      </c>
      <c r="B10" s="41">
        <f>B9</f>
        <v>881.2</v>
      </c>
      <c r="C10" s="14"/>
    </row>
    <row r="11" spans="1:10" ht="23.25">
      <c r="A11" s="40" t="s">
        <v>90</v>
      </c>
      <c r="B11" s="41">
        <v>0</v>
      </c>
      <c r="C11" s="14"/>
    </row>
    <row r="12" spans="1:10" ht="23.25">
      <c r="A12" s="40" t="s">
        <v>335</v>
      </c>
      <c r="B12" s="41">
        <v>0</v>
      </c>
      <c r="C12" s="14"/>
    </row>
    <row r="13" spans="1:10" ht="23.25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3.25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3.25">
      <c r="A15" s="40" t="s">
        <v>338</v>
      </c>
      <c r="B15" s="45">
        <v>1129</v>
      </c>
      <c r="C15" s="9"/>
      <c r="D15" s="16"/>
      <c r="E15" s="16"/>
      <c r="F15" s="16"/>
      <c r="G15" s="16"/>
    </row>
    <row r="16" spans="1:10" ht="23.25">
      <c r="A16" s="40" t="s">
        <v>339</v>
      </c>
      <c r="B16" s="45">
        <v>365</v>
      </c>
      <c r="C16" s="9"/>
      <c r="D16" s="16"/>
      <c r="E16" s="16"/>
      <c r="F16" s="16"/>
      <c r="G16" s="16"/>
    </row>
    <row r="17" spans="1:7" ht="23.25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3.25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3.25">
      <c r="A19" s="40" t="s">
        <v>342</v>
      </c>
      <c r="B19" s="45">
        <v>0</v>
      </c>
      <c r="C19" s="9"/>
    </row>
    <row r="20" spans="1:7" ht="23.25">
      <c r="A20" s="40" t="s">
        <v>343</v>
      </c>
      <c r="B20" s="45">
        <v>470</v>
      </c>
      <c r="C20" s="9"/>
    </row>
    <row r="21" spans="1:7" ht="23.25">
      <c r="A21" s="40" t="s">
        <v>72</v>
      </c>
      <c r="B21" s="41">
        <v>0</v>
      </c>
      <c r="C21" s="9"/>
    </row>
    <row r="22" spans="1:7" ht="23.25">
      <c r="A22" s="40" t="s">
        <v>344</v>
      </c>
      <c r="B22" s="41">
        <v>0</v>
      </c>
      <c r="C22" s="9"/>
    </row>
    <row r="23" spans="1:7" ht="23.25">
      <c r="A23" s="158" t="s">
        <v>71</v>
      </c>
      <c r="B23" s="160">
        <v>800.73</v>
      </c>
      <c r="C23" s="160">
        <f>B23-B41</f>
        <v>800.73</v>
      </c>
      <c r="F23" s="43">
        <f>+B23-B41</f>
        <v>800.73</v>
      </c>
    </row>
    <row r="24" spans="1:7" ht="23.25">
      <c r="A24" s="158" t="s">
        <v>81</v>
      </c>
      <c r="B24" s="160">
        <v>952.72</v>
      </c>
      <c r="C24" s="162"/>
    </row>
    <row r="25" spans="1:7" ht="23.25">
      <c r="A25" s="40" t="s">
        <v>345</v>
      </c>
      <c r="B25" s="41">
        <v>-151.99</v>
      </c>
      <c r="C25" s="9"/>
    </row>
    <row r="26" spans="1:7" ht="23.25">
      <c r="A26" s="40" t="s">
        <v>346</v>
      </c>
      <c r="B26" s="44">
        <v>1.2083999999999999</v>
      </c>
      <c r="C26" s="9"/>
    </row>
    <row r="27" spans="1:7" ht="23.25">
      <c r="A27" s="40" t="s">
        <v>347</v>
      </c>
      <c r="B27" s="44">
        <f>B26</f>
        <v>1.2083999999999999</v>
      </c>
      <c r="C27" s="9"/>
    </row>
    <row r="28" spans="1:7" ht="23.25">
      <c r="A28" s="40" t="s">
        <v>348</v>
      </c>
      <c r="B28" s="45">
        <v>0</v>
      </c>
      <c r="C28" s="20"/>
    </row>
    <row r="29" spans="1:7" ht="23.25">
      <c r="A29" s="40" t="s">
        <v>349</v>
      </c>
      <c r="B29" s="45">
        <v>0</v>
      </c>
      <c r="C29" s="9"/>
    </row>
    <row r="30" spans="1:7" ht="23.25">
      <c r="A30" s="40" t="s">
        <v>350</v>
      </c>
      <c r="B30" s="45">
        <v>0</v>
      </c>
      <c r="C30" s="9"/>
    </row>
    <row r="31" spans="1:7" ht="23.25">
      <c r="A31" s="40" t="s">
        <v>351</v>
      </c>
      <c r="B31" s="45">
        <v>0</v>
      </c>
      <c r="C31" s="24"/>
    </row>
    <row r="32" spans="1:7" ht="23.25">
      <c r="A32" s="40" t="s">
        <v>352</v>
      </c>
      <c r="B32" s="45">
        <v>14</v>
      </c>
      <c r="C32" s="9"/>
    </row>
    <row r="33" spans="1:62" ht="23.25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3.25">
      <c r="A34" s="40" t="s">
        <v>354</v>
      </c>
      <c r="B34" s="45">
        <v>16</v>
      </c>
      <c r="C34" s="27"/>
    </row>
    <row r="35" spans="1:62" ht="23.25">
      <c r="A35" s="40" t="s">
        <v>355</v>
      </c>
      <c r="B35" s="45">
        <f>B34</f>
        <v>16</v>
      </c>
      <c r="C35" s="9"/>
    </row>
    <row r="36" spans="1:62" ht="23.25">
      <c r="A36" s="40" t="s">
        <v>356</v>
      </c>
      <c r="B36" s="45">
        <v>0</v>
      </c>
      <c r="C36" s="9"/>
    </row>
    <row r="37" spans="1:62" ht="23.25">
      <c r="A37" s="40" t="s">
        <v>357</v>
      </c>
      <c r="B37" s="44">
        <v>0</v>
      </c>
      <c r="C37" s="9"/>
    </row>
    <row r="38" spans="1:62" ht="23.25">
      <c r="A38" s="40" t="s">
        <v>358</v>
      </c>
      <c r="B38" s="41">
        <v>0</v>
      </c>
      <c r="C38" s="9"/>
    </row>
    <row r="39" spans="1:62" ht="23.25">
      <c r="A39" s="40" t="s">
        <v>359</v>
      </c>
      <c r="B39" s="41">
        <v>0</v>
      </c>
      <c r="C39" s="9"/>
    </row>
    <row r="40" spans="1:62" ht="23.25">
      <c r="A40" s="40" t="s">
        <v>360</v>
      </c>
      <c r="B40" s="44">
        <v>0</v>
      </c>
      <c r="C40" s="9"/>
    </row>
    <row r="41" spans="1:62" ht="23.25">
      <c r="A41" s="165" t="s">
        <v>361</v>
      </c>
      <c r="B41" s="166">
        <v>0</v>
      </c>
      <c r="C41" s="24"/>
    </row>
    <row r="42" spans="1:62" ht="23.25">
      <c r="A42" s="40" t="s">
        <v>362</v>
      </c>
      <c r="B42" s="133">
        <v>0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3.25">
      <c r="B43" s="167">
        <v>0</v>
      </c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3.25">
      <c r="A44" s="168"/>
      <c r="B44" s="16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168" t="s">
        <v>371</v>
      </c>
      <c r="B45" s="169"/>
    </row>
    <row r="46" spans="1:62" ht="23.25">
      <c r="A46" s="170" t="s">
        <v>372</v>
      </c>
      <c r="B46" s="169" t="s">
        <v>373</v>
      </c>
    </row>
    <row r="47" spans="1:62" ht="23.25">
      <c r="A47" s="40" t="s">
        <v>374</v>
      </c>
      <c r="B47" s="47">
        <v>0</v>
      </c>
    </row>
    <row r="48" spans="1:62" ht="23.25">
      <c r="A48" s="40" t="s">
        <v>375</v>
      </c>
      <c r="B48" s="47">
        <v>0</v>
      </c>
    </row>
    <row r="49" spans="1:3" ht="23.25">
      <c r="A49" s="171" t="s">
        <v>376</v>
      </c>
      <c r="B49" s="47">
        <v>8625.1</v>
      </c>
    </row>
    <row r="50" spans="1:3" ht="23.25">
      <c r="A50" s="40" t="s">
        <v>377</v>
      </c>
      <c r="B50" s="47">
        <v>8000</v>
      </c>
    </row>
    <row r="51" spans="1:3" ht="23.25">
      <c r="A51" s="40" t="s">
        <v>378</v>
      </c>
      <c r="B51" s="47">
        <v>0</v>
      </c>
    </row>
    <row r="52" spans="1:3" ht="23.25">
      <c r="A52" s="40" t="s">
        <v>379</v>
      </c>
      <c r="B52" s="47">
        <v>0</v>
      </c>
      <c r="C52" s="172"/>
    </row>
    <row r="53" spans="1:3" ht="23.25">
      <c r="A53" s="40" t="s">
        <v>380</v>
      </c>
      <c r="B53" s="47">
        <v>0</v>
      </c>
    </row>
    <row r="54" spans="1:3" ht="23.25">
      <c r="A54" s="40" t="s">
        <v>381</v>
      </c>
      <c r="B54" s="47">
        <v>0</v>
      </c>
    </row>
    <row r="55" spans="1:3" ht="23.25">
      <c r="A55" s="40" t="s">
        <v>382</v>
      </c>
      <c r="B55" s="47">
        <v>0</v>
      </c>
    </row>
    <row r="56" spans="1:3" ht="23.25">
      <c r="A56" s="40" t="s">
        <v>383</v>
      </c>
      <c r="B56" s="47">
        <v>0</v>
      </c>
    </row>
    <row r="57" spans="1:3" ht="23.25">
      <c r="A57" s="40" t="s">
        <v>384</v>
      </c>
      <c r="B57" s="47">
        <v>0</v>
      </c>
    </row>
    <row r="58" spans="1:3" ht="23.25">
      <c r="A58" s="173"/>
      <c r="B58" s="46"/>
    </row>
    <row r="59" spans="1:3" ht="23.25">
      <c r="A59" s="170" t="s">
        <v>385</v>
      </c>
      <c r="B59" s="174" t="s">
        <v>386</v>
      </c>
    </row>
    <row r="60" spans="1:3" ht="23.25">
      <c r="A60" s="40" t="s">
        <v>374</v>
      </c>
      <c r="B60" s="47">
        <v>6</v>
      </c>
    </row>
    <row r="61" spans="1:3" ht="23.25">
      <c r="A61" s="40" t="s">
        <v>375</v>
      </c>
      <c r="B61" s="47">
        <v>809.9</v>
      </c>
    </row>
    <row r="62" spans="1:3" ht="23.25">
      <c r="A62" s="171" t="s">
        <v>376</v>
      </c>
      <c r="B62" s="47">
        <v>126.1</v>
      </c>
    </row>
    <row r="63" spans="1:3" ht="23.25">
      <c r="A63" s="40" t="s">
        <v>377</v>
      </c>
      <c r="B63" s="47">
        <v>120</v>
      </c>
    </row>
    <row r="64" spans="1:3" ht="23.25">
      <c r="A64" s="40" t="s">
        <v>378</v>
      </c>
      <c r="B64" s="47">
        <v>0</v>
      </c>
    </row>
    <row r="65" spans="1:2" ht="23.25">
      <c r="A65" s="40" t="s">
        <v>379</v>
      </c>
      <c r="B65" s="47">
        <v>0</v>
      </c>
    </row>
    <row r="66" spans="1:2" ht="23.25">
      <c r="A66" s="40" t="s">
        <v>380</v>
      </c>
      <c r="B66" s="47">
        <v>0</v>
      </c>
    </row>
    <row r="67" spans="1:2" ht="23.25">
      <c r="A67" s="40" t="s">
        <v>381</v>
      </c>
      <c r="B67" s="47">
        <v>0</v>
      </c>
    </row>
    <row r="68" spans="1:2" ht="23.25">
      <c r="A68" s="40" t="s">
        <v>382</v>
      </c>
      <c r="B68" s="47">
        <v>0</v>
      </c>
    </row>
    <row r="69" spans="1:2" ht="23.25">
      <c r="A69" s="40" t="s">
        <v>383</v>
      </c>
      <c r="B69" s="47">
        <v>191.96</v>
      </c>
    </row>
    <row r="70" spans="1:2" ht="23.25">
      <c r="A70" s="40" t="s">
        <v>384</v>
      </c>
      <c r="B70" s="47">
        <v>120.56</v>
      </c>
    </row>
    <row r="71" spans="1:2" ht="23.25">
      <c r="A71" s="173"/>
      <c r="B71" s="46"/>
    </row>
    <row r="72" spans="1:2" ht="23.25">
      <c r="A72" s="170" t="s">
        <v>387</v>
      </c>
      <c r="B72" s="174" t="s">
        <v>388</v>
      </c>
    </row>
    <row r="73" spans="1:2" ht="23.25">
      <c r="A73" s="40" t="s">
        <v>374</v>
      </c>
      <c r="B73" s="47">
        <v>13</v>
      </c>
    </row>
    <row r="74" spans="1:2" ht="23.25">
      <c r="A74" s="40" t="s">
        <v>375</v>
      </c>
      <c r="B74" s="47">
        <v>570.84</v>
      </c>
    </row>
    <row r="75" spans="1:2" ht="23.25">
      <c r="A75" s="171" t="s">
        <v>376</v>
      </c>
      <c r="B75" s="47">
        <v>47.93</v>
      </c>
    </row>
    <row r="76" spans="1:2" ht="23.25">
      <c r="A76" s="40" t="s">
        <v>377</v>
      </c>
      <c r="B76" s="47">
        <v>36</v>
      </c>
    </row>
    <row r="77" spans="1:2" ht="23.25">
      <c r="A77" s="40" t="s">
        <v>378</v>
      </c>
      <c r="B77" s="47">
        <v>0</v>
      </c>
    </row>
    <row r="78" spans="1:2" ht="23.25">
      <c r="A78" s="40" t="s">
        <v>379</v>
      </c>
      <c r="B78" s="47">
        <v>0</v>
      </c>
    </row>
    <row r="79" spans="1:2" ht="23.25">
      <c r="A79" s="40" t="s">
        <v>380</v>
      </c>
      <c r="B79" s="47">
        <v>0</v>
      </c>
    </row>
    <row r="80" spans="1:2" ht="23.25">
      <c r="A80" s="40" t="s">
        <v>381</v>
      </c>
      <c r="B80" s="47">
        <v>0</v>
      </c>
    </row>
    <row r="81" spans="1:2" ht="23.25">
      <c r="A81" s="40" t="s">
        <v>382</v>
      </c>
      <c r="B81" s="47">
        <v>0</v>
      </c>
    </row>
    <row r="82" spans="1:2" ht="23.25">
      <c r="A82" s="40" t="s">
        <v>383</v>
      </c>
      <c r="B82" s="47">
        <v>120</v>
      </c>
    </row>
    <row r="83" spans="1:2" ht="23.25">
      <c r="A83" s="40" t="s">
        <v>384</v>
      </c>
      <c r="B83" s="47">
        <v>36.340000000000003</v>
      </c>
    </row>
    <row r="84" spans="1:2" ht="23.25">
      <c r="A84" s="173"/>
      <c r="B84" s="46"/>
    </row>
    <row r="85" spans="1:2" ht="23.25">
      <c r="A85" s="170" t="s">
        <v>389</v>
      </c>
      <c r="B85" s="174" t="s">
        <v>390</v>
      </c>
    </row>
    <row r="86" spans="1:2" ht="23.25">
      <c r="A86" s="40" t="s">
        <v>374</v>
      </c>
      <c r="B86" s="47">
        <v>35</v>
      </c>
    </row>
    <row r="87" spans="1:2" ht="23.25">
      <c r="A87" s="40" t="s">
        <v>375</v>
      </c>
      <c r="B87" s="47">
        <v>308.74</v>
      </c>
    </row>
    <row r="88" spans="1:2" ht="23.25">
      <c r="A88" s="171" t="s">
        <v>376</v>
      </c>
      <c r="B88" s="47">
        <v>6.01</v>
      </c>
    </row>
    <row r="89" spans="1:2" ht="23.25">
      <c r="A89" s="40" t="s">
        <v>377</v>
      </c>
      <c r="B89" s="47">
        <v>6</v>
      </c>
    </row>
    <row r="90" spans="1:2" ht="23.25">
      <c r="A90" s="40" t="s">
        <v>378</v>
      </c>
      <c r="B90" s="47">
        <v>0</v>
      </c>
    </row>
    <row r="91" spans="1:2" ht="23.25">
      <c r="A91" s="40" t="s">
        <v>379</v>
      </c>
      <c r="B91" s="47">
        <v>0</v>
      </c>
    </row>
    <row r="92" spans="1:2" ht="23.25">
      <c r="A92" s="40" t="s">
        <v>380</v>
      </c>
      <c r="B92" s="47">
        <v>0</v>
      </c>
    </row>
    <row r="93" spans="1:2" ht="23.25">
      <c r="A93" s="40" t="s">
        <v>381</v>
      </c>
      <c r="B93" s="47">
        <v>0</v>
      </c>
    </row>
    <row r="94" spans="1:2" ht="23.25">
      <c r="A94" s="40" t="s">
        <v>382</v>
      </c>
      <c r="B94" s="47">
        <v>0</v>
      </c>
    </row>
    <row r="95" spans="1:2" ht="23.25">
      <c r="A95" s="40" t="s">
        <v>383</v>
      </c>
      <c r="B95" s="47">
        <v>35.9</v>
      </c>
    </row>
    <row r="96" spans="1:2" ht="23.25">
      <c r="A96" s="40" t="s">
        <v>384</v>
      </c>
      <c r="B96" s="47">
        <v>6.06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96"/>
  <sheetViews>
    <sheetView workbookViewId="0">
      <pane xSplit="3" ySplit="7" topLeftCell="D38" activePane="bottomRight" state="frozen"/>
      <selection pane="topRight" activeCell="D1" sqref="D1"/>
      <selection pane="bottomLeft" activeCell="A20" sqref="A20"/>
      <selection pane="bottomRight" activeCell="B44" sqref="B44"/>
    </sheetView>
  </sheetViews>
  <sheetFormatPr defaultColWidth="11" defaultRowHeight="14.25"/>
  <cols>
    <col min="1" max="1" width="49.28515625" style="1" customWidth="1"/>
    <col min="2" max="2" width="29.5703125" style="2" bestFit="1" customWidth="1"/>
    <col min="3" max="3" width="23.1406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15">
      <c r="A4" s="6" t="s">
        <v>4</v>
      </c>
      <c r="B4" s="10">
        <v>1</v>
      </c>
      <c r="C4" s="9"/>
    </row>
    <row r="5" spans="1:10">
      <c r="B5" s="37" t="s">
        <v>855</v>
      </c>
      <c r="C5" s="9"/>
    </row>
    <row r="6" spans="1:10" ht="23.25">
      <c r="A6" s="11" t="s">
        <v>5</v>
      </c>
      <c r="B6" s="38" t="s">
        <v>854</v>
      </c>
      <c r="C6" s="9"/>
    </row>
    <row r="7" spans="1:10" ht="18">
      <c r="A7" s="12" t="s">
        <v>6</v>
      </c>
      <c r="B7" s="507" t="s">
        <v>856</v>
      </c>
      <c r="C7" s="9"/>
    </row>
    <row r="8" spans="1:10" ht="23.25">
      <c r="A8" s="40" t="s">
        <v>76</v>
      </c>
      <c r="B8" s="41">
        <v>1016.33</v>
      </c>
      <c r="C8" s="14"/>
    </row>
    <row r="9" spans="1:10" ht="23.25">
      <c r="A9" s="40" t="s">
        <v>333</v>
      </c>
      <c r="B9" s="41">
        <v>988.17</v>
      </c>
      <c r="C9" s="14"/>
    </row>
    <row r="10" spans="1:10" ht="23.25">
      <c r="A10" s="40" t="s">
        <v>334</v>
      </c>
      <c r="B10" s="41">
        <f>B9</f>
        <v>988.17</v>
      </c>
      <c r="C10" s="14"/>
    </row>
    <row r="11" spans="1:10" ht="23.25">
      <c r="A11" s="40" t="s">
        <v>90</v>
      </c>
      <c r="B11" s="41">
        <v>0</v>
      </c>
      <c r="C11" s="14"/>
    </row>
    <row r="12" spans="1:10" ht="23.25">
      <c r="A12" s="40" t="s">
        <v>335</v>
      </c>
      <c r="B12" s="41">
        <v>0</v>
      </c>
      <c r="C12" s="14"/>
    </row>
    <row r="13" spans="1:10" ht="23.25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3.25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3.25">
      <c r="A15" s="40" t="s">
        <v>338</v>
      </c>
      <c r="B15" s="45">
        <v>3533</v>
      </c>
      <c r="C15" s="9"/>
      <c r="D15" s="16"/>
      <c r="E15" s="16"/>
      <c r="F15" s="16"/>
      <c r="G15" s="16"/>
    </row>
    <row r="16" spans="1:10" ht="23.25">
      <c r="A16" s="40" t="s">
        <v>339</v>
      </c>
      <c r="B16" s="45">
        <v>978</v>
      </c>
      <c r="C16" s="9"/>
      <c r="D16" s="16"/>
      <c r="E16" s="16"/>
      <c r="F16" s="16"/>
      <c r="G16" s="16"/>
    </row>
    <row r="17" spans="1:7" ht="23.25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3.25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3.25">
      <c r="A19" s="40" t="s">
        <v>342</v>
      </c>
      <c r="B19" s="45">
        <v>0</v>
      </c>
      <c r="C19" s="9"/>
    </row>
    <row r="20" spans="1:7" ht="23.25">
      <c r="A20" s="40" t="s">
        <v>343</v>
      </c>
      <c r="B20" s="45">
        <v>980</v>
      </c>
      <c r="C20" s="9"/>
    </row>
    <row r="21" spans="1:7" ht="23.25">
      <c r="A21" s="40" t="s">
        <v>72</v>
      </c>
      <c r="B21" s="41">
        <v>0</v>
      </c>
      <c r="C21" s="9"/>
    </row>
    <row r="22" spans="1:7" ht="23.25">
      <c r="A22" s="40" t="s">
        <v>344</v>
      </c>
      <c r="B22" s="41">
        <v>0</v>
      </c>
      <c r="C22" s="9"/>
    </row>
    <row r="23" spans="1:7" ht="23.25">
      <c r="A23" s="158" t="s">
        <v>71</v>
      </c>
      <c r="B23" s="160">
        <v>904.48</v>
      </c>
      <c r="C23" s="160">
        <f>B23-B41</f>
        <v>904.48</v>
      </c>
      <c r="F23" s="43">
        <f>+B23-B41</f>
        <v>904.48</v>
      </c>
    </row>
    <row r="24" spans="1:7" ht="23.25">
      <c r="A24" s="158" t="s">
        <v>81</v>
      </c>
      <c r="B24" s="160">
        <v>876.32</v>
      </c>
      <c r="C24" s="162"/>
    </row>
    <row r="25" spans="1:7" ht="23.25">
      <c r="A25" s="40" t="s">
        <v>345</v>
      </c>
      <c r="B25" s="41">
        <v>28.16</v>
      </c>
      <c r="C25" s="9"/>
    </row>
    <row r="26" spans="1:7" ht="23.25">
      <c r="A26" s="40" t="s">
        <v>346</v>
      </c>
      <c r="B26" s="44">
        <v>0.97219999999999995</v>
      </c>
      <c r="C26" s="9"/>
    </row>
    <row r="27" spans="1:7" ht="23.25">
      <c r="A27" s="40" t="s">
        <v>347</v>
      </c>
      <c r="B27" s="44">
        <f>B26</f>
        <v>0.97219999999999995</v>
      </c>
      <c r="C27" s="9"/>
    </row>
    <row r="28" spans="1:7" ht="23.25">
      <c r="A28" s="40" t="s">
        <v>348</v>
      </c>
      <c r="B28" s="45">
        <v>0</v>
      </c>
      <c r="C28" s="20"/>
    </row>
    <row r="29" spans="1:7" ht="23.25">
      <c r="A29" s="40" t="s">
        <v>349</v>
      </c>
      <c r="B29" s="45">
        <v>0</v>
      </c>
      <c r="C29" s="9"/>
    </row>
    <row r="30" spans="1:7" ht="23.25">
      <c r="A30" s="40" t="s">
        <v>350</v>
      </c>
      <c r="B30" s="45">
        <v>52</v>
      </c>
      <c r="C30" s="9"/>
    </row>
    <row r="31" spans="1:7" ht="23.25">
      <c r="A31" s="40" t="s">
        <v>351</v>
      </c>
      <c r="B31" s="45">
        <v>11</v>
      </c>
      <c r="C31" s="24"/>
    </row>
    <row r="32" spans="1:7" ht="23.25">
      <c r="A32" s="40" t="s">
        <v>352</v>
      </c>
      <c r="B32" s="45">
        <v>5</v>
      </c>
      <c r="C32" s="9"/>
    </row>
    <row r="33" spans="1:62" ht="23.25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3.25">
      <c r="A34" s="40" t="s">
        <v>354</v>
      </c>
      <c r="B34" s="45">
        <v>34</v>
      </c>
      <c r="C34" s="27"/>
    </row>
    <row r="35" spans="1:62" ht="23.25">
      <c r="A35" s="40" t="s">
        <v>355</v>
      </c>
      <c r="B35" s="45">
        <v>34</v>
      </c>
      <c r="C35" s="9"/>
    </row>
    <row r="36" spans="1:62" ht="23.25">
      <c r="A36" s="40" t="s">
        <v>356</v>
      </c>
      <c r="B36" s="45">
        <v>3</v>
      </c>
      <c r="C36" s="9"/>
    </row>
    <row r="37" spans="1:62" ht="23.25">
      <c r="A37" s="40" t="s">
        <v>357</v>
      </c>
      <c r="B37" s="44">
        <v>0</v>
      </c>
      <c r="C37" s="9"/>
    </row>
    <row r="38" spans="1:62" ht="23.25">
      <c r="A38" s="40" t="s">
        <v>358</v>
      </c>
      <c r="B38" s="41">
        <v>0</v>
      </c>
      <c r="C38" s="9"/>
    </row>
    <row r="39" spans="1:62" ht="23.25">
      <c r="A39" s="40" t="s">
        <v>359</v>
      </c>
      <c r="B39" s="41">
        <v>0</v>
      </c>
      <c r="C39" s="9"/>
    </row>
    <row r="40" spans="1:62" ht="23.25">
      <c r="A40" s="40" t="s">
        <v>360</v>
      </c>
      <c r="B40" s="44">
        <v>0</v>
      </c>
      <c r="C40" s="9"/>
    </row>
    <row r="41" spans="1:62" ht="23.25">
      <c r="A41" s="165" t="s">
        <v>361</v>
      </c>
      <c r="B41" s="166">
        <v>0</v>
      </c>
      <c r="C41" s="24"/>
    </row>
    <row r="42" spans="1:62" ht="23.25">
      <c r="A42" s="40" t="s">
        <v>362</v>
      </c>
      <c r="B42" s="133">
        <v>0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3.25">
      <c r="B43" s="167">
        <v>0</v>
      </c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3.25">
      <c r="A44" s="168"/>
      <c r="B44" s="16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168" t="s">
        <v>371</v>
      </c>
      <c r="B45" s="169"/>
    </row>
    <row r="46" spans="1:62" ht="23.25">
      <c r="A46" s="170" t="s">
        <v>372</v>
      </c>
      <c r="B46" s="169" t="s">
        <v>373</v>
      </c>
    </row>
    <row r="47" spans="1:62" ht="23.25">
      <c r="A47" s="40" t="s">
        <v>374</v>
      </c>
      <c r="B47" s="47">
        <v>0</v>
      </c>
    </row>
    <row r="48" spans="1:62" ht="23.25">
      <c r="A48" s="40" t="s">
        <v>375</v>
      </c>
      <c r="B48" s="47">
        <v>0</v>
      </c>
    </row>
    <row r="49" spans="1:3" ht="23.25">
      <c r="A49" s="171" t="s">
        <v>376</v>
      </c>
      <c r="B49" s="47">
        <v>8625.1</v>
      </c>
    </row>
    <row r="50" spans="1:3" ht="23.25">
      <c r="A50" s="40" t="s">
        <v>377</v>
      </c>
      <c r="B50" s="47">
        <v>8000</v>
      </c>
    </row>
    <row r="51" spans="1:3" ht="23.25">
      <c r="A51" s="40" t="s">
        <v>378</v>
      </c>
      <c r="B51" s="47">
        <v>0</v>
      </c>
    </row>
    <row r="52" spans="1:3" ht="23.25">
      <c r="A52" s="40" t="s">
        <v>379</v>
      </c>
      <c r="B52" s="47">
        <v>0</v>
      </c>
      <c r="C52" s="172"/>
    </row>
    <row r="53" spans="1:3" ht="23.25">
      <c r="A53" s="40" t="s">
        <v>380</v>
      </c>
      <c r="B53" s="47">
        <v>0</v>
      </c>
    </row>
    <row r="54" spans="1:3" ht="23.25">
      <c r="A54" s="40" t="s">
        <v>381</v>
      </c>
      <c r="B54" s="47">
        <v>0</v>
      </c>
    </row>
    <row r="55" spans="1:3" ht="23.25">
      <c r="A55" s="40" t="s">
        <v>382</v>
      </c>
      <c r="B55" s="47">
        <v>0</v>
      </c>
    </row>
    <row r="56" spans="1:3" ht="23.25">
      <c r="A56" s="40" t="s">
        <v>383</v>
      </c>
      <c r="B56" s="47">
        <v>0</v>
      </c>
    </row>
    <row r="57" spans="1:3" ht="23.25">
      <c r="A57" s="40" t="s">
        <v>384</v>
      </c>
      <c r="B57" s="47">
        <v>0</v>
      </c>
    </row>
    <row r="58" spans="1:3" ht="23.25">
      <c r="A58" s="173"/>
      <c r="B58" s="46"/>
    </row>
    <row r="59" spans="1:3" ht="23.25">
      <c r="A59" s="170" t="s">
        <v>385</v>
      </c>
      <c r="B59" s="174" t="s">
        <v>386</v>
      </c>
    </row>
    <row r="60" spans="1:3" ht="23.25">
      <c r="A60" s="40" t="s">
        <v>374</v>
      </c>
      <c r="B60" s="47">
        <v>6</v>
      </c>
    </row>
    <row r="61" spans="1:3" ht="23.25">
      <c r="A61" s="40" t="s">
        <v>375</v>
      </c>
      <c r="B61" s="47">
        <v>809.9</v>
      </c>
    </row>
    <row r="62" spans="1:3" ht="23.25">
      <c r="A62" s="171" t="s">
        <v>376</v>
      </c>
      <c r="B62" s="47">
        <v>126.1</v>
      </c>
    </row>
    <row r="63" spans="1:3" ht="23.25">
      <c r="A63" s="40" t="s">
        <v>377</v>
      </c>
      <c r="B63" s="47">
        <v>120</v>
      </c>
    </row>
    <row r="64" spans="1:3" ht="23.25">
      <c r="A64" s="40" t="s">
        <v>378</v>
      </c>
      <c r="B64" s="47">
        <v>0</v>
      </c>
    </row>
    <row r="65" spans="1:2" ht="23.25">
      <c r="A65" s="40" t="s">
        <v>379</v>
      </c>
      <c r="B65" s="47">
        <v>0</v>
      </c>
    </row>
    <row r="66" spans="1:2" ht="23.25">
      <c r="A66" s="40" t="s">
        <v>380</v>
      </c>
      <c r="B66" s="47">
        <v>0</v>
      </c>
    </row>
    <row r="67" spans="1:2" ht="23.25">
      <c r="A67" s="40" t="s">
        <v>381</v>
      </c>
      <c r="B67" s="47">
        <v>0</v>
      </c>
    </row>
    <row r="68" spans="1:2" ht="23.25">
      <c r="A68" s="40" t="s">
        <v>382</v>
      </c>
      <c r="B68" s="47">
        <v>0</v>
      </c>
    </row>
    <row r="69" spans="1:2" ht="23.25">
      <c r="A69" s="40" t="s">
        <v>383</v>
      </c>
      <c r="B69" s="47">
        <v>191.96</v>
      </c>
    </row>
    <row r="70" spans="1:2" ht="23.25">
      <c r="A70" s="40" t="s">
        <v>384</v>
      </c>
      <c r="B70" s="47">
        <v>120.56</v>
      </c>
    </row>
    <row r="71" spans="1:2" ht="23.25">
      <c r="A71" s="173"/>
      <c r="B71" s="46"/>
    </row>
    <row r="72" spans="1:2" ht="23.25">
      <c r="A72" s="170" t="s">
        <v>387</v>
      </c>
      <c r="B72" s="174" t="s">
        <v>388</v>
      </c>
    </row>
    <row r="73" spans="1:2" ht="23.25">
      <c r="A73" s="40" t="s">
        <v>374</v>
      </c>
      <c r="B73" s="47">
        <v>13</v>
      </c>
    </row>
    <row r="74" spans="1:2" ht="23.25">
      <c r="A74" s="40" t="s">
        <v>375</v>
      </c>
      <c r="B74" s="47">
        <v>570.84</v>
      </c>
    </row>
    <row r="75" spans="1:2" ht="23.25">
      <c r="A75" s="171" t="s">
        <v>376</v>
      </c>
      <c r="B75" s="47">
        <v>47.93</v>
      </c>
    </row>
    <row r="76" spans="1:2" ht="23.25">
      <c r="A76" s="40" t="s">
        <v>377</v>
      </c>
      <c r="B76" s="47">
        <v>36</v>
      </c>
    </row>
    <row r="77" spans="1:2" ht="23.25">
      <c r="A77" s="40" t="s">
        <v>378</v>
      </c>
      <c r="B77" s="47">
        <v>0</v>
      </c>
    </row>
    <row r="78" spans="1:2" ht="23.25">
      <c r="A78" s="40" t="s">
        <v>379</v>
      </c>
      <c r="B78" s="47">
        <v>0</v>
      </c>
    </row>
    <row r="79" spans="1:2" ht="23.25">
      <c r="A79" s="40" t="s">
        <v>380</v>
      </c>
      <c r="B79" s="47">
        <v>0</v>
      </c>
    </row>
    <row r="80" spans="1:2" ht="23.25">
      <c r="A80" s="40" t="s">
        <v>381</v>
      </c>
      <c r="B80" s="47">
        <v>0</v>
      </c>
    </row>
    <row r="81" spans="1:2" ht="23.25">
      <c r="A81" s="40" t="s">
        <v>382</v>
      </c>
      <c r="B81" s="47">
        <v>0</v>
      </c>
    </row>
    <row r="82" spans="1:2" ht="23.25">
      <c r="A82" s="40" t="s">
        <v>383</v>
      </c>
      <c r="B82" s="47">
        <v>120</v>
      </c>
    </row>
    <row r="83" spans="1:2" ht="23.25">
      <c r="A83" s="40" t="s">
        <v>384</v>
      </c>
      <c r="B83" s="47">
        <v>36.340000000000003</v>
      </c>
    </row>
    <row r="84" spans="1:2" ht="23.25">
      <c r="A84" s="173"/>
      <c r="B84" s="46"/>
    </row>
    <row r="85" spans="1:2" ht="23.25">
      <c r="A85" s="170" t="s">
        <v>389</v>
      </c>
      <c r="B85" s="174" t="s">
        <v>390</v>
      </c>
    </row>
    <row r="86" spans="1:2" ht="23.25">
      <c r="A86" s="40" t="s">
        <v>374</v>
      </c>
      <c r="B86" s="47">
        <v>35</v>
      </c>
    </row>
    <row r="87" spans="1:2" ht="23.25">
      <c r="A87" s="40" t="s">
        <v>375</v>
      </c>
      <c r="B87" s="47">
        <v>308.74</v>
      </c>
    </row>
    <row r="88" spans="1:2" ht="23.25">
      <c r="A88" s="171" t="s">
        <v>376</v>
      </c>
      <c r="B88" s="47">
        <v>6.01</v>
      </c>
    </row>
    <row r="89" spans="1:2" ht="23.25">
      <c r="A89" s="40" t="s">
        <v>377</v>
      </c>
      <c r="B89" s="47">
        <v>6</v>
      </c>
    </row>
    <row r="90" spans="1:2" ht="23.25">
      <c r="A90" s="40" t="s">
        <v>378</v>
      </c>
      <c r="B90" s="47">
        <v>0</v>
      </c>
    </row>
    <row r="91" spans="1:2" ht="23.25">
      <c r="A91" s="40" t="s">
        <v>379</v>
      </c>
      <c r="B91" s="47">
        <v>0</v>
      </c>
    </row>
    <row r="92" spans="1:2" ht="23.25">
      <c r="A92" s="40" t="s">
        <v>380</v>
      </c>
      <c r="B92" s="47">
        <v>0</v>
      </c>
    </row>
    <row r="93" spans="1:2" ht="23.25">
      <c r="A93" s="40" t="s">
        <v>381</v>
      </c>
      <c r="B93" s="47">
        <v>0</v>
      </c>
    </row>
    <row r="94" spans="1:2" ht="23.25">
      <c r="A94" s="40" t="s">
        <v>382</v>
      </c>
      <c r="B94" s="47">
        <v>0</v>
      </c>
    </row>
    <row r="95" spans="1:2" ht="23.25">
      <c r="A95" s="40" t="s">
        <v>383</v>
      </c>
      <c r="B95" s="47">
        <v>35.9</v>
      </c>
    </row>
    <row r="96" spans="1:2" ht="23.25">
      <c r="A96" s="40" t="s">
        <v>384</v>
      </c>
      <c r="B96" s="47">
        <v>6.06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6"/>
  <sheetViews>
    <sheetView workbookViewId="0">
      <pane xSplit="3" ySplit="7" topLeftCell="D42" activePane="bottomRight" state="frozen"/>
      <selection pane="topRight" activeCell="D1" sqref="D1"/>
      <selection pane="bottomLeft" activeCell="A20" sqref="A20"/>
      <selection pane="bottomRight" activeCell="B47" sqref="B47"/>
    </sheetView>
  </sheetViews>
  <sheetFormatPr defaultColWidth="11" defaultRowHeight="14.25"/>
  <cols>
    <col min="1" max="1" width="49.28515625" style="1" customWidth="1"/>
    <col min="2" max="2" width="29.5703125" style="2" bestFit="1" customWidth="1"/>
    <col min="3" max="3" width="20.425781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15">
      <c r="A4" s="6" t="s">
        <v>4</v>
      </c>
      <c r="B4" s="10">
        <v>1</v>
      </c>
      <c r="C4" s="9"/>
    </row>
    <row r="5" spans="1:10">
      <c r="B5" s="37" t="s">
        <v>369</v>
      </c>
      <c r="C5" s="9"/>
    </row>
    <row r="6" spans="1:10" ht="23.25">
      <c r="A6" s="11" t="s">
        <v>5</v>
      </c>
      <c r="B6" s="38" t="s">
        <v>858</v>
      </c>
      <c r="C6" s="9"/>
    </row>
    <row r="7" spans="1:10" ht="36">
      <c r="A7" s="12" t="s">
        <v>6</v>
      </c>
      <c r="B7" s="507" t="s">
        <v>832</v>
      </c>
      <c r="C7" s="9"/>
    </row>
    <row r="8" spans="1:10" ht="23.25">
      <c r="A8" s="40" t="s">
        <v>76</v>
      </c>
      <c r="B8" s="41">
        <v>254</v>
      </c>
      <c r="C8" s="14"/>
    </row>
    <row r="9" spans="1:10" ht="23.25">
      <c r="A9" s="40" t="s">
        <v>333</v>
      </c>
      <c r="B9" s="41">
        <v>142.4</v>
      </c>
      <c r="C9" s="14"/>
    </row>
    <row r="10" spans="1:10" ht="23.25">
      <c r="A10" s="40" t="s">
        <v>334</v>
      </c>
      <c r="B10" s="41">
        <f>B9</f>
        <v>142.4</v>
      </c>
      <c r="C10" s="14"/>
    </row>
    <row r="11" spans="1:10" ht="23.25">
      <c r="A11" s="40" t="s">
        <v>90</v>
      </c>
      <c r="B11" s="41">
        <f>+B10</f>
        <v>142.4</v>
      </c>
      <c r="C11" s="14"/>
    </row>
    <row r="12" spans="1:10" ht="23.25">
      <c r="A12" s="40" t="s">
        <v>335</v>
      </c>
      <c r="B12" s="41">
        <v>0</v>
      </c>
      <c r="C12" s="14"/>
    </row>
    <row r="13" spans="1:10" ht="23.25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3.25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3.25">
      <c r="A15" s="40" t="s">
        <v>338</v>
      </c>
      <c r="B15" s="45">
        <v>957</v>
      </c>
      <c r="C15" s="9"/>
      <c r="D15" s="16"/>
      <c r="E15" s="16"/>
      <c r="F15" s="16"/>
      <c r="G15" s="16"/>
    </row>
    <row r="16" spans="1:10" ht="23.25">
      <c r="A16" s="40" t="s">
        <v>339</v>
      </c>
      <c r="B16" s="45">
        <v>244</v>
      </c>
      <c r="C16" s="9"/>
      <c r="D16" s="16"/>
      <c r="E16" s="16"/>
      <c r="F16" s="16"/>
      <c r="G16" s="16"/>
    </row>
    <row r="17" spans="1:7" ht="23.25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3.25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3.25">
      <c r="A19" s="40" t="s">
        <v>342</v>
      </c>
      <c r="B19" s="45">
        <v>0</v>
      </c>
      <c r="C19" s="9"/>
    </row>
    <row r="20" spans="1:7" ht="23.25">
      <c r="A20" s="40" t="s">
        <v>343</v>
      </c>
      <c r="B20" s="45">
        <v>461</v>
      </c>
      <c r="C20" s="9"/>
    </row>
    <row r="21" spans="1:7" ht="23.25">
      <c r="A21" s="40" t="s">
        <v>72</v>
      </c>
      <c r="B21" s="41">
        <v>0</v>
      </c>
      <c r="C21" s="9"/>
    </row>
    <row r="22" spans="1:7" ht="23.25">
      <c r="A22" s="40" t="s">
        <v>344</v>
      </c>
      <c r="B22" s="41">
        <v>0</v>
      </c>
      <c r="C22" s="9"/>
    </row>
    <row r="23" spans="1:7" ht="23.25">
      <c r="A23" s="158" t="s">
        <v>71</v>
      </c>
      <c r="B23" s="160">
        <v>413.58</v>
      </c>
      <c r="C23" s="160">
        <f>B23-B41</f>
        <v>413.58</v>
      </c>
      <c r="F23" s="43">
        <f>+B23-B41</f>
        <v>413.58</v>
      </c>
    </row>
    <row r="24" spans="1:7" ht="23.25">
      <c r="A24" s="158" t="s">
        <v>81</v>
      </c>
      <c r="B24" s="160">
        <v>302.02</v>
      </c>
      <c r="C24" s="162"/>
    </row>
    <row r="25" spans="1:7" ht="23.25">
      <c r="A25" s="40" t="s">
        <v>345</v>
      </c>
      <c r="B25" s="41">
        <v>111.6</v>
      </c>
      <c r="C25" s="9"/>
    </row>
    <row r="26" spans="1:7" ht="23.25">
      <c r="A26" s="40" t="s">
        <v>346</v>
      </c>
      <c r="B26" s="44">
        <v>0.56059999999999999</v>
      </c>
      <c r="C26" s="9"/>
    </row>
    <row r="27" spans="1:7" ht="23.25">
      <c r="A27" s="40" t="s">
        <v>347</v>
      </c>
      <c r="B27" s="44">
        <f>B26</f>
        <v>0.56059999999999999</v>
      </c>
      <c r="C27" s="9"/>
    </row>
    <row r="28" spans="1:7" ht="23.25">
      <c r="A28" s="40" t="s">
        <v>348</v>
      </c>
      <c r="B28" s="45">
        <v>0</v>
      </c>
      <c r="C28" s="20"/>
    </row>
    <row r="29" spans="1:7" ht="23.25">
      <c r="A29" s="40" t="s">
        <v>349</v>
      </c>
      <c r="B29" s="45">
        <v>0</v>
      </c>
      <c r="C29" s="9"/>
    </row>
    <row r="30" spans="1:7" ht="23.25">
      <c r="A30" s="40" t="s">
        <v>350</v>
      </c>
      <c r="B30" s="45">
        <v>0</v>
      </c>
      <c r="C30" s="9"/>
    </row>
    <row r="31" spans="1:7" ht="23.25">
      <c r="A31" s="40" t="s">
        <v>351</v>
      </c>
      <c r="B31" s="45">
        <v>0</v>
      </c>
      <c r="C31" s="24"/>
    </row>
    <row r="32" spans="1:7" ht="23.25">
      <c r="A32" s="40" t="s">
        <v>352</v>
      </c>
      <c r="B32" s="45">
        <v>7</v>
      </c>
      <c r="C32" s="9"/>
    </row>
    <row r="33" spans="1:62" ht="23.25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3.25">
      <c r="A34" s="40" t="s">
        <v>354</v>
      </c>
      <c r="B34" s="45">
        <v>207</v>
      </c>
      <c r="C34" s="27"/>
    </row>
    <row r="35" spans="1:62" ht="23.25">
      <c r="A35" s="40" t="s">
        <v>355</v>
      </c>
      <c r="B35" s="45">
        <v>87</v>
      </c>
      <c r="C35" s="9"/>
    </row>
    <row r="36" spans="1:62" ht="23.25">
      <c r="A36" s="40" t="s">
        <v>356</v>
      </c>
      <c r="B36" s="45">
        <v>294</v>
      </c>
      <c r="C36" s="9"/>
    </row>
    <row r="37" spans="1:62" ht="23.25">
      <c r="A37" s="40" t="s">
        <v>357</v>
      </c>
      <c r="B37" s="44">
        <v>0</v>
      </c>
      <c r="C37" s="9"/>
    </row>
    <row r="38" spans="1:62" ht="23.25">
      <c r="A38" s="40" t="s">
        <v>358</v>
      </c>
      <c r="B38" s="41">
        <v>0</v>
      </c>
      <c r="C38" s="9"/>
    </row>
    <row r="39" spans="1:62" ht="23.25">
      <c r="A39" s="40" t="s">
        <v>359</v>
      </c>
      <c r="B39" s="41">
        <v>0</v>
      </c>
      <c r="C39" s="9"/>
    </row>
    <row r="40" spans="1:62" ht="23.25">
      <c r="A40" s="40" t="s">
        <v>360</v>
      </c>
      <c r="B40" s="44">
        <v>0</v>
      </c>
      <c r="C40" s="9"/>
    </row>
    <row r="41" spans="1:62" ht="23.25">
      <c r="A41" s="165" t="s">
        <v>361</v>
      </c>
      <c r="B41" s="166">
        <v>0</v>
      </c>
      <c r="C41" s="24"/>
    </row>
    <row r="42" spans="1:62" ht="23.25">
      <c r="A42" s="40" t="s">
        <v>362</v>
      </c>
      <c r="B42" s="133">
        <v>0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3.25">
      <c r="B43" s="167">
        <v>0</v>
      </c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3.25">
      <c r="A44" s="168"/>
      <c r="B44" s="16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168" t="s">
        <v>371</v>
      </c>
      <c r="B45" s="169"/>
    </row>
    <row r="46" spans="1:62" ht="23.25">
      <c r="A46" s="170" t="s">
        <v>372</v>
      </c>
      <c r="B46" s="169" t="s">
        <v>373</v>
      </c>
    </row>
    <row r="47" spans="1:62" ht="23.25">
      <c r="A47" s="40" t="s">
        <v>374</v>
      </c>
      <c r="B47" s="47">
        <v>0</v>
      </c>
    </row>
    <row r="48" spans="1:62" ht="23.25">
      <c r="A48" s="40" t="s">
        <v>375</v>
      </c>
      <c r="B48" s="47">
        <v>0</v>
      </c>
    </row>
    <row r="49" spans="1:3" ht="23.25">
      <c r="A49" s="171" t="s">
        <v>376</v>
      </c>
      <c r="B49" s="47">
        <v>8625.1</v>
      </c>
    </row>
    <row r="50" spans="1:3" ht="23.25">
      <c r="A50" s="40" t="s">
        <v>377</v>
      </c>
      <c r="B50" s="47">
        <v>8000</v>
      </c>
    </row>
    <row r="51" spans="1:3" ht="23.25">
      <c r="A51" s="40" t="s">
        <v>378</v>
      </c>
      <c r="B51" s="47">
        <v>0</v>
      </c>
    </row>
    <row r="52" spans="1:3" ht="23.25">
      <c r="A52" s="40" t="s">
        <v>379</v>
      </c>
      <c r="B52" s="47">
        <v>0</v>
      </c>
      <c r="C52" s="172"/>
    </row>
    <row r="53" spans="1:3" ht="23.25">
      <c r="A53" s="40" t="s">
        <v>380</v>
      </c>
      <c r="B53" s="47">
        <v>0</v>
      </c>
    </row>
    <row r="54" spans="1:3" ht="23.25">
      <c r="A54" s="40" t="s">
        <v>381</v>
      </c>
      <c r="B54" s="47">
        <v>0</v>
      </c>
    </row>
    <row r="55" spans="1:3" ht="23.25">
      <c r="A55" s="40" t="s">
        <v>382</v>
      </c>
      <c r="B55" s="47">
        <v>0</v>
      </c>
    </row>
    <row r="56" spans="1:3" ht="23.25">
      <c r="A56" s="40" t="s">
        <v>383</v>
      </c>
      <c r="B56" s="47">
        <v>0</v>
      </c>
    </row>
    <row r="57" spans="1:3" ht="23.25">
      <c r="A57" s="40" t="s">
        <v>384</v>
      </c>
      <c r="B57" s="47">
        <v>0</v>
      </c>
    </row>
    <row r="58" spans="1:3" ht="23.25">
      <c r="A58" s="173"/>
      <c r="B58" s="46"/>
    </row>
    <row r="59" spans="1:3" ht="23.25">
      <c r="A59" s="170" t="s">
        <v>385</v>
      </c>
      <c r="B59" s="174" t="s">
        <v>386</v>
      </c>
    </row>
    <row r="60" spans="1:3" ht="23.25">
      <c r="A60" s="40" t="s">
        <v>374</v>
      </c>
      <c r="B60" s="47">
        <v>6</v>
      </c>
    </row>
    <row r="61" spans="1:3" ht="23.25">
      <c r="A61" s="40" t="s">
        <v>375</v>
      </c>
      <c r="B61" s="47">
        <v>809.9</v>
      </c>
    </row>
    <row r="62" spans="1:3" ht="23.25">
      <c r="A62" s="171" t="s">
        <v>376</v>
      </c>
      <c r="B62" s="47">
        <v>126.1</v>
      </c>
    </row>
    <row r="63" spans="1:3" ht="23.25">
      <c r="A63" s="40" t="s">
        <v>377</v>
      </c>
      <c r="B63" s="47">
        <v>120</v>
      </c>
    </row>
    <row r="64" spans="1:3" ht="23.25">
      <c r="A64" s="40" t="s">
        <v>378</v>
      </c>
      <c r="B64" s="47">
        <v>0</v>
      </c>
    </row>
    <row r="65" spans="1:2" ht="23.25">
      <c r="A65" s="40" t="s">
        <v>379</v>
      </c>
      <c r="B65" s="47">
        <v>0</v>
      </c>
    </row>
    <row r="66" spans="1:2" ht="23.25">
      <c r="A66" s="40" t="s">
        <v>380</v>
      </c>
      <c r="B66" s="47">
        <v>0</v>
      </c>
    </row>
    <row r="67" spans="1:2" ht="23.25">
      <c r="A67" s="40" t="s">
        <v>381</v>
      </c>
      <c r="B67" s="47">
        <v>0</v>
      </c>
    </row>
    <row r="68" spans="1:2" ht="23.25">
      <c r="A68" s="40" t="s">
        <v>382</v>
      </c>
      <c r="B68" s="47">
        <v>0</v>
      </c>
    </row>
    <row r="69" spans="1:2" ht="23.25">
      <c r="A69" s="40" t="s">
        <v>383</v>
      </c>
      <c r="B69" s="47">
        <v>191.96</v>
      </c>
    </row>
    <row r="70" spans="1:2" ht="23.25">
      <c r="A70" s="40" t="s">
        <v>384</v>
      </c>
      <c r="B70" s="47">
        <v>120.56</v>
      </c>
    </row>
    <row r="71" spans="1:2" ht="23.25">
      <c r="A71" s="173"/>
      <c r="B71" s="46"/>
    </row>
    <row r="72" spans="1:2" ht="23.25">
      <c r="A72" s="170" t="s">
        <v>387</v>
      </c>
      <c r="B72" s="174" t="s">
        <v>388</v>
      </c>
    </row>
    <row r="73" spans="1:2" ht="23.25">
      <c r="A73" s="40" t="s">
        <v>374</v>
      </c>
      <c r="B73" s="47">
        <v>13</v>
      </c>
    </row>
    <row r="74" spans="1:2" ht="23.25">
      <c r="A74" s="40" t="s">
        <v>375</v>
      </c>
      <c r="B74" s="47">
        <v>2.4</v>
      </c>
    </row>
    <row r="75" spans="1:2" ht="23.25">
      <c r="A75" s="171" t="s">
        <v>376</v>
      </c>
      <c r="B75" s="47">
        <v>0.3</v>
      </c>
    </row>
    <row r="76" spans="1:2" ht="23.25">
      <c r="A76" s="40" t="s">
        <v>377</v>
      </c>
      <c r="B76" s="47">
        <v>0.3</v>
      </c>
    </row>
    <row r="77" spans="1:2" ht="23.25">
      <c r="A77" s="40" t="s">
        <v>378</v>
      </c>
      <c r="B77" s="47">
        <v>0</v>
      </c>
    </row>
    <row r="78" spans="1:2" ht="23.25">
      <c r="A78" s="40" t="s">
        <v>379</v>
      </c>
      <c r="B78" s="47">
        <v>0</v>
      </c>
    </row>
    <row r="79" spans="1:2" ht="23.25">
      <c r="A79" s="40" t="s">
        <v>380</v>
      </c>
      <c r="B79" s="47">
        <v>0</v>
      </c>
    </row>
    <row r="80" spans="1:2" ht="23.25">
      <c r="A80" s="40" t="s">
        <v>381</v>
      </c>
      <c r="B80" s="47">
        <v>0</v>
      </c>
    </row>
    <row r="81" spans="1:2" ht="23.25">
      <c r="A81" s="40" t="s">
        <v>382</v>
      </c>
      <c r="B81" s="47">
        <v>0</v>
      </c>
    </row>
    <row r="82" spans="1:2" ht="23.25">
      <c r="A82" s="40" t="s">
        <v>383</v>
      </c>
      <c r="B82" s="47">
        <v>16</v>
      </c>
    </row>
    <row r="83" spans="1:2" ht="23.25">
      <c r="A83" s="40" t="s">
        <v>384</v>
      </c>
      <c r="B83" s="47">
        <v>36.340000000000003</v>
      </c>
    </row>
    <row r="84" spans="1:2" ht="23.25">
      <c r="A84" s="173"/>
      <c r="B84" s="46">
        <v>0</v>
      </c>
    </row>
    <row r="85" spans="1:2" ht="23.25">
      <c r="A85" s="170" t="s">
        <v>389</v>
      </c>
      <c r="B85" s="174" t="s">
        <v>390</v>
      </c>
    </row>
    <row r="86" spans="1:2" ht="23.25">
      <c r="A86" s="40" t="s">
        <v>374</v>
      </c>
      <c r="B86" s="47">
        <v>35</v>
      </c>
    </row>
    <row r="87" spans="1:2" ht="23.25">
      <c r="A87" s="40" t="s">
        <v>375</v>
      </c>
      <c r="B87" s="47">
        <v>308.74</v>
      </c>
    </row>
    <row r="88" spans="1:2" ht="23.25">
      <c r="A88" s="171" t="s">
        <v>376</v>
      </c>
      <c r="B88" s="47">
        <v>6.01</v>
      </c>
    </row>
    <row r="89" spans="1:2" ht="23.25">
      <c r="A89" s="40" t="s">
        <v>377</v>
      </c>
      <c r="B89" s="47">
        <v>6</v>
      </c>
    </row>
    <row r="90" spans="1:2" ht="23.25">
      <c r="A90" s="40" t="s">
        <v>378</v>
      </c>
      <c r="B90" s="47">
        <v>0</v>
      </c>
    </row>
    <row r="91" spans="1:2" ht="23.25">
      <c r="A91" s="40" t="s">
        <v>379</v>
      </c>
      <c r="B91" s="47">
        <v>0</v>
      </c>
    </row>
    <row r="92" spans="1:2" ht="23.25">
      <c r="A92" s="40" t="s">
        <v>380</v>
      </c>
      <c r="B92" s="47">
        <v>0</v>
      </c>
    </row>
    <row r="93" spans="1:2" ht="23.25">
      <c r="A93" s="40" t="s">
        <v>381</v>
      </c>
      <c r="B93" s="47">
        <v>0</v>
      </c>
    </row>
    <row r="94" spans="1:2" ht="23.25">
      <c r="A94" s="40" t="s">
        <v>382</v>
      </c>
      <c r="B94" s="47">
        <v>0</v>
      </c>
    </row>
    <row r="95" spans="1:2" ht="23.25">
      <c r="A95" s="40" t="s">
        <v>383</v>
      </c>
      <c r="B95" s="47">
        <v>35.9</v>
      </c>
    </row>
    <row r="96" spans="1:2" ht="23.25">
      <c r="A96" s="40" t="s">
        <v>384</v>
      </c>
      <c r="B96" s="47">
        <v>6.06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J43"/>
  <sheetViews>
    <sheetView workbookViewId="0">
      <pane xSplit="2" ySplit="7" topLeftCell="C39" activePane="bottomRight" state="frozen"/>
      <selection pane="topRight" activeCell="C1" sqref="C1"/>
      <selection pane="bottomLeft" activeCell="A18" sqref="A18"/>
      <selection pane="bottomRight" activeCell="B44" sqref="B44"/>
    </sheetView>
  </sheetViews>
  <sheetFormatPr defaultColWidth="11" defaultRowHeight="14.25"/>
  <cols>
    <col min="1" max="1" width="49.28515625" style="1" customWidth="1"/>
    <col min="2" max="2" width="25.42578125" style="2" customWidth="1"/>
    <col min="3" max="5" width="19.8554687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/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B5" s="37" t="s">
        <v>331</v>
      </c>
      <c r="C5" s="9"/>
    </row>
    <row r="6" spans="1:10" ht="24" customHeight="1">
      <c r="A6" s="11" t="s">
        <v>5</v>
      </c>
      <c r="B6" s="38">
        <v>57</v>
      </c>
      <c r="C6" s="9"/>
    </row>
    <row r="7" spans="1:10" ht="24" customHeight="1">
      <c r="A7" s="12" t="s">
        <v>6</v>
      </c>
      <c r="B7" s="13" t="s">
        <v>332</v>
      </c>
      <c r="C7" s="9"/>
    </row>
    <row r="8" spans="1:10" ht="24" customHeight="1">
      <c r="A8" s="40" t="s">
        <v>76</v>
      </c>
      <c r="B8" s="41">
        <v>1079.78</v>
      </c>
      <c r="C8" s="14"/>
    </row>
    <row r="9" spans="1:10" ht="24" customHeight="1">
      <c r="A9" s="40" t="s">
        <v>333</v>
      </c>
      <c r="B9" s="41">
        <v>1008.05</v>
      </c>
      <c r="C9" s="14"/>
    </row>
    <row r="10" spans="1:10" ht="24" customHeight="1">
      <c r="A10" s="40" t="s">
        <v>334</v>
      </c>
      <c r="B10" s="41">
        <f>B9</f>
        <v>1008.05</v>
      </c>
      <c r="C10" s="14"/>
    </row>
    <row r="11" spans="1:10" ht="24" customHeight="1">
      <c r="A11" s="40" t="s">
        <v>90</v>
      </c>
      <c r="B11" s="41">
        <v>0</v>
      </c>
      <c r="C11" s="14"/>
    </row>
    <row r="12" spans="1:10" ht="24" customHeight="1">
      <c r="A12" s="40" t="s">
        <v>335</v>
      </c>
      <c r="B12" s="41">
        <v>0</v>
      </c>
      <c r="C12" s="14"/>
    </row>
    <row r="13" spans="1:10" ht="24" customHeight="1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4" customHeight="1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4" customHeight="1">
      <c r="A15" s="40" t="s">
        <v>338</v>
      </c>
      <c r="B15" s="157">
        <v>1709</v>
      </c>
      <c r="C15" s="9"/>
      <c r="D15" s="16"/>
      <c r="E15" s="16"/>
      <c r="F15" s="16"/>
      <c r="G15" s="16"/>
    </row>
    <row r="16" spans="1:10" ht="24" customHeight="1">
      <c r="A16" s="40" t="s">
        <v>339</v>
      </c>
      <c r="B16" s="157">
        <v>512</v>
      </c>
      <c r="C16" s="9"/>
      <c r="D16" s="16"/>
      <c r="E16" s="16"/>
      <c r="F16" s="16"/>
      <c r="G16" s="16"/>
    </row>
    <row r="17" spans="1:7" ht="24" customHeight="1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4" customHeight="1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4" customHeight="1">
      <c r="A19" s="40" t="s">
        <v>342</v>
      </c>
      <c r="B19" s="45">
        <v>0</v>
      </c>
      <c r="C19" s="9"/>
    </row>
    <row r="20" spans="1:7" ht="24" customHeight="1">
      <c r="A20" s="40" t="s">
        <v>343</v>
      </c>
      <c r="B20" s="45">
        <v>579</v>
      </c>
      <c r="C20" s="9"/>
    </row>
    <row r="21" spans="1:7" ht="24" customHeight="1">
      <c r="A21" s="40" t="s">
        <v>72</v>
      </c>
      <c r="B21" s="41">
        <v>0</v>
      </c>
      <c r="C21" s="9"/>
    </row>
    <row r="22" spans="1:7" ht="24" customHeight="1">
      <c r="A22" s="40" t="s">
        <v>344</v>
      </c>
      <c r="B22" s="42">
        <v>0</v>
      </c>
      <c r="C22" s="9"/>
    </row>
    <row r="23" spans="1:7" ht="24" customHeight="1">
      <c r="A23" s="158" t="s">
        <v>71</v>
      </c>
      <c r="B23" s="159">
        <v>1481.57</v>
      </c>
      <c r="C23" s="160">
        <f>B23-B41</f>
        <v>1481.57</v>
      </c>
      <c r="F23" s="43">
        <f>+B23-B41</f>
        <v>1481.57</v>
      </c>
    </row>
    <row r="24" spans="1:7" ht="24" customHeight="1">
      <c r="A24" s="158" t="s">
        <v>81</v>
      </c>
      <c r="B24" s="161">
        <v>1409.84</v>
      </c>
      <c r="C24" s="162"/>
    </row>
    <row r="25" spans="1:7" ht="24" customHeight="1">
      <c r="A25" s="40" t="s">
        <v>345</v>
      </c>
      <c r="B25" s="41">
        <v>71.73</v>
      </c>
      <c r="C25" s="9"/>
    </row>
    <row r="26" spans="1:7" ht="24" customHeight="1">
      <c r="A26" s="40" t="s">
        <v>346</v>
      </c>
      <c r="B26" s="44">
        <v>0.9335</v>
      </c>
      <c r="C26" s="9"/>
    </row>
    <row r="27" spans="1:7" ht="24" customHeight="1">
      <c r="A27" s="40" t="s">
        <v>347</v>
      </c>
      <c r="B27" s="44">
        <f>B26</f>
        <v>0.9335</v>
      </c>
      <c r="C27" s="9"/>
    </row>
    <row r="28" spans="1:7" ht="24" customHeight="1">
      <c r="A28" s="40" t="s">
        <v>348</v>
      </c>
      <c r="B28" s="45">
        <v>0</v>
      </c>
      <c r="C28" s="20"/>
    </row>
    <row r="29" spans="1:7" ht="24" customHeight="1">
      <c r="A29" s="40" t="s">
        <v>349</v>
      </c>
      <c r="B29" s="45">
        <v>0</v>
      </c>
      <c r="C29" s="9"/>
    </row>
    <row r="30" spans="1:7" ht="24" customHeight="1">
      <c r="A30" s="40" t="s">
        <v>350</v>
      </c>
      <c r="B30" s="45">
        <v>0</v>
      </c>
      <c r="C30" s="9"/>
    </row>
    <row r="31" spans="1:7" ht="24" customHeight="1">
      <c r="A31" s="40" t="s">
        <v>351</v>
      </c>
      <c r="B31" s="45">
        <v>0</v>
      </c>
      <c r="C31" s="24"/>
    </row>
    <row r="32" spans="1:7" ht="24" customHeight="1">
      <c r="A32" s="40" t="s">
        <v>352</v>
      </c>
      <c r="B32" s="45">
        <v>2</v>
      </c>
      <c r="C32" s="9"/>
    </row>
    <row r="33" spans="1:62" ht="24" customHeight="1">
      <c r="A33" s="40" t="s">
        <v>353</v>
      </c>
      <c r="B33" s="45">
        <v>1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40" t="s">
        <v>354</v>
      </c>
      <c r="B34" s="45">
        <v>66</v>
      </c>
      <c r="C34" s="27"/>
    </row>
    <row r="35" spans="1:62" ht="24" customHeight="1">
      <c r="A35" s="40" t="s">
        <v>355</v>
      </c>
      <c r="B35" s="45">
        <v>67</v>
      </c>
      <c r="C35" s="9"/>
    </row>
    <row r="36" spans="1:62" ht="24" customHeight="1">
      <c r="A36" s="40" t="s">
        <v>356</v>
      </c>
      <c r="B36" s="45">
        <v>2</v>
      </c>
      <c r="C36" s="9"/>
    </row>
    <row r="37" spans="1:62" ht="24" customHeight="1">
      <c r="A37" s="40" t="s">
        <v>357</v>
      </c>
      <c r="B37" s="44">
        <v>0</v>
      </c>
      <c r="C37" s="9"/>
    </row>
    <row r="38" spans="1:62" ht="24" customHeight="1">
      <c r="A38" s="40" t="s">
        <v>358</v>
      </c>
      <c r="B38" s="41">
        <v>0</v>
      </c>
      <c r="C38" s="9"/>
    </row>
    <row r="39" spans="1:62" ht="24" customHeight="1">
      <c r="A39" s="40" t="s">
        <v>359</v>
      </c>
      <c r="B39" s="41">
        <v>0</v>
      </c>
      <c r="C39" s="9"/>
    </row>
    <row r="40" spans="1:62" ht="24" customHeight="1">
      <c r="A40" s="40" t="s">
        <v>360</v>
      </c>
      <c r="B40" s="44">
        <v>0</v>
      </c>
      <c r="C40" s="9"/>
    </row>
    <row r="41" spans="1:62" ht="24" customHeight="1">
      <c r="A41" s="40" t="s">
        <v>361</v>
      </c>
      <c r="B41" s="51">
        <v>0</v>
      </c>
      <c r="C41" s="24"/>
    </row>
    <row r="42" spans="1:62" ht="24" customHeight="1">
      <c r="A42" s="40" t="s">
        <v>362</v>
      </c>
      <c r="B42" s="45">
        <v>0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>
      <c r="B43" s="2" t="s">
        <v>36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BJ43"/>
  <sheetViews>
    <sheetView topLeftCell="A33" workbookViewId="0">
      <selection activeCell="B43" sqref="B43"/>
    </sheetView>
  </sheetViews>
  <sheetFormatPr defaultColWidth="11" defaultRowHeight="14.25"/>
  <cols>
    <col min="1" max="1" width="49.28515625" style="1" customWidth="1"/>
    <col min="2" max="2" width="40.85546875" style="2" customWidth="1"/>
    <col min="3" max="5" width="22.4257812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/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58</v>
      </c>
      <c r="C6" s="9"/>
    </row>
    <row r="7" spans="1:10" ht="24" customHeight="1">
      <c r="A7" s="12" t="s">
        <v>6</v>
      </c>
      <c r="B7" s="128" t="s">
        <v>476</v>
      </c>
      <c r="C7" s="9"/>
    </row>
    <row r="8" spans="1:10" ht="24" customHeight="1">
      <c r="A8" s="40" t="s">
        <v>76</v>
      </c>
      <c r="B8" s="41">
        <v>8426.18</v>
      </c>
      <c r="C8" s="14"/>
    </row>
    <row r="9" spans="1:10" ht="24" customHeight="1">
      <c r="A9" s="40" t="s">
        <v>446</v>
      </c>
      <c r="B9" s="41">
        <v>7826.14</v>
      </c>
      <c r="C9" s="14"/>
    </row>
    <row r="10" spans="1:10" ht="24" customHeight="1">
      <c r="A10" s="40" t="s">
        <v>333</v>
      </c>
      <c r="B10" s="41">
        <f>B9</f>
        <v>7826.14</v>
      </c>
      <c r="C10" s="14"/>
    </row>
    <row r="11" spans="1:10" ht="24" customHeight="1">
      <c r="A11" s="40" t="s">
        <v>334</v>
      </c>
      <c r="B11" s="41">
        <f>B10</f>
        <v>7826.14</v>
      </c>
      <c r="C11" s="14"/>
    </row>
    <row r="12" spans="1:10" ht="24" customHeight="1">
      <c r="A12" s="40" t="s">
        <v>90</v>
      </c>
      <c r="B12" s="41">
        <v>0</v>
      </c>
      <c r="C12" s="14"/>
    </row>
    <row r="13" spans="1:10" ht="24" customHeight="1">
      <c r="A13" s="40" t="s">
        <v>335</v>
      </c>
      <c r="B13" s="41">
        <v>0</v>
      </c>
      <c r="C13" s="14"/>
    </row>
    <row r="14" spans="1:10" ht="24" customHeight="1">
      <c r="A14" s="40" t="s">
        <v>336</v>
      </c>
      <c r="B14" s="41">
        <v>0</v>
      </c>
      <c r="C14" s="9"/>
      <c r="D14" s="16"/>
      <c r="E14" s="16"/>
      <c r="F14" s="16"/>
      <c r="G14" s="16"/>
    </row>
    <row r="15" spans="1:10" ht="24" customHeight="1">
      <c r="A15" s="40" t="s">
        <v>337</v>
      </c>
      <c r="B15" s="41">
        <v>0</v>
      </c>
      <c r="C15" s="9"/>
      <c r="D15" s="16"/>
      <c r="E15" s="16"/>
      <c r="F15" s="16"/>
      <c r="G15" s="16"/>
    </row>
    <row r="16" spans="1:10" ht="24" customHeight="1">
      <c r="A16" s="40" t="s">
        <v>338</v>
      </c>
      <c r="B16" s="45">
        <v>2531</v>
      </c>
      <c r="C16" s="9"/>
      <c r="D16" s="16"/>
      <c r="E16" s="16"/>
      <c r="F16" s="16"/>
      <c r="G16" s="16"/>
    </row>
    <row r="17" spans="1:7" ht="24" customHeight="1">
      <c r="A17" s="40" t="s">
        <v>339</v>
      </c>
      <c r="B17" s="45">
        <v>686</v>
      </c>
      <c r="C17" s="9"/>
      <c r="D17" s="16"/>
      <c r="E17" s="16"/>
      <c r="F17" s="16"/>
      <c r="G17" s="16"/>
    </row>
    <row r="18" spans="1:7" ht="24" customHeight="1">
      <c r="A18" s="40" t="s">
        <v>340</v>
      </c>
      <c r="B18" s="41">
        <v>0</v>
      </c>
      <c r="C18" s="9"/>
      <c r="D18" s="16"/>
      <c r="E18" s="16"/>
      <c r="F18" s="16"/>
      <c r="G18" s="16"/>
    </row>
    <row r="19" spans="1:7" ht="24" customHeight="1">
      <c r="A19" s="40" t="s">
        <v>341</v>
      </c>
      <c r="B19" s="41">
        <v>0</v>
      </c>
      <c r="C19" s="9"/>
      <c r="D19" s="16"/>
      <c r="E19" s="16"/>
      <c r="F19" s="16"/>
      <c r="G19" s="16"/>
    </row>
    <row r="20" spans="1:7" ht="24" customHeight="1">
      <c r="A20" s="40" t="s">
        <v>342</v>
      </c>
      <c r="B20" s="45">
        <v>0</v>
      </c>
      <c r="C20" s="9"/>
    </row>
    <row r="21" spans="1:7" ht="24" customHeight="1">
      <c r="A21" s="40" t="s">
        <v>343</v>
      </c>
      <c r="B21" s="45">
        <v>556</v>
      </c>
      <c r="C21" s="9"/>
    </row>
    <row r="22" spans="1:7" ht="24" customHeight="1">
      <c r="A22" s="40" t="s">
        <v>72</v>
      </c>
      <c r="B22" s="41">
        <v>0</v>
      </c>
      <c r="C22" s="9"/>
    </row>
    <row r="23" spans="1:7" ht="24" customHeight="1">
      <c r="A23" s="40" t="s">
        <v>344</v>
      </c>
      <c r="B23" s="41">
        <v>0</v>
      </c>
      <c r="C23" s="9"/>
      <c r="D23">
        <v>3</v>
      </c>
    </row>
    <row r="24" spans="1:7" ht="24" customHeight="1">
      <c r="A24" s="158" t="s">
        <v>71</v>
      </c>
      <c r="B24" s="160">
        <v>3139.21</v>
      </c>
      <c r="C24" s="160">
        <f>B24-B42</f>
        <v>3139.21</v>
      </c>
      <c r="F24" s="43">
        <f>+B24-B42</f>
        <v>3139.21</v>
      </c>
    </row>
    <row r="25" spans="1:7" ht="24" customHeight="1">
      <c r="A25" s="158" t="s">
        <v>81</v>
      </c>
      <c r="B25" s="160">
        <v>2539.17</v>
      </c>
      <c r="C25" s="162"/>
    </row>
    <row r="26" spans="1:7" ht="24" customHeight="1">
      <c r="A26" s="40" t="s">
        <v>345</v>
      </c>
      <c r="B26" s="41">
        <v>600.04</v>
      </c>
      <c r="C26" s="9"/>
    </row>
    <row r="27" spans="1:7" ht="24" customHeight="1">
      <c r="A27" s="40" t="s">
        <v>346</v>
      </c>
      <c r="B27" s="44">
        <v>0.92869999999999997</v>
      </c>
      <c r="C27" s="9"/>
    </row>
    <row r="28" spans="1:7" ht="24" customHeight="1">
      <c r="A28" s="40" t="s">
        <v>347</v>
      </c>
      <c r="B28" s="44">
        <f>B27</f>
        <v>0.92869999999999997</v>
      </c>
      <c r="C28" s="9"/>
    </row>
    <row r="29" spans="1:7" ht="24" customHeight="1">
      <c r="A29" s="40" t="s">
        <v>348</v>
      </c>
      <c r="B29" s="45">
        <v>0</v>
      </c>
      <c r="C29" s="20"/>
    </row>
    <row r="30" spans="1:7" ht="24" customHeight="1">
      <c r="A30" s="40" t="s">
        <v>349</v>
      </c>
      <c r="B30" s="45">
        <v>0</v>
      </c>
      <c r="C30" s="9"/>
    </row>
    <row r="31" spans="1:7" ht="24" customHeight="1">
      <c r="A31" s="40" t="s">
        <v>350</v>
      </c>
      <c r="B31" s="45">
        <v>0</v>
      </c>
      <c r="C31" s="9"/>
    </row>
    <row r="32" spans="1:7" ht="24" customHeight="1">
      <c r="A32" s="40" t="s">
        <v>351</v>
      </c>
      <c r="B32" s="45">
        <v>1</v>
      </c>
      <c r="C32" s="24"/>
    </row>
    <row r="33" spans="1:62" ht="24" customHeight="1">
      <c r="A33" s="40" t="s">
        <v>352</v>
      </c>
      <c r="B33" s="45">
        <v>8</v>
      </c>
      <c r="C33" s="9"/>
    </row>
    <row r="34" spans="1:62" ht="24" customHeight="1">
      <c r="A34" s="40" t="s">
        <v>353</v>
      </c>
      <c r="B34" s="45">
        <v>0</v>
      </c>
      <c r="C34" s="9"/>
      <c r="BB34" s="28"/>
      <c r="BC34" s="16"/>
      <c r="BD34" s="16"/>
      <c r="BE34" s="16"/>
      <c r="BF34" s="16"/>
      <c r="BG34" s="16"/>
      <c r="BH34" s="16"/>
      <c r="BI34" s="16"/>
      <c r="BJ34" s="16"/>
    </row>
    <row r="35" spans="1:62" ht="24" customHeight="1">
      <c r="A35" s="40" t="s">
        <v>354</v>
      </c>
      <c r="B35" s="45">
        <v>1</v>
      </c>
      <c r="C35" s="27"/>
    </row>
    <row r="36" spans="1:62" ht="24" customHeight="1">
      <c r="A36" s="40" t="s">
        <v>355</v>
      </c>
      <c r="B36" s="45">
        <f>B35</f>
        <v>1</v>
      </c>
      <c r="C36" s="9"/>
    </row>
    <row r="37" spans="1:62" ht="24" customHeight="1">
      <c r="A37" s="40" t="s">
        <v>356</v>
      </c>
      <c r="B37" s="45">
        <v>11</v>
      </c>
      <c r="C37" s="9"/>
    </row>
    <row r="38" spans="1:62" ht="24" customHeight="1">
      <c r="A38" s="40" t="s">
        <v>357</v>
      </c>
      <c r="B38" s="44">
        <v>0</v>
      </c>
      <c r="C38" s="9"/>
    </row>
    <row r="39" spans="1:62" ht="24" customHeight="1">
      <c r="A39" s="40" t="s">
        <v>358</v>
      </c>
      <c r="B39" s="41">
        <v>0</v>
      </c>
      <c r="C39" s="9"/>
    </row>
    <row r="40" spans="1:62" ht="24" customHeight="1">
      <c r="A40" s="40" t="s">
        <v>359</v>
      </c>
      <c r="B40" s="41">
        <v>0</v>
      </c>
      <c r="C40" s="9"/>
    </row>
    <row r="41" spans="1:62" ht="24" customHeight="1">
      <c r="A41" s="40" t="s">
        <v>360</v>
      </c>
      <c r="B41" s="44">
        <v>0</v>
      </c>
      <c r="C41" s="9"/>
    </row>
    <row r="42" spans="1:62" ht="24" customHeight="1">
      <c r="A42" s="40" t="s">
        <v>361</v>
      </c>
      <c r="B42" s="51">
        <f>B12</f>
        <v>0</v>
      </c>
      <c r="C42" s="24"/>
    </row>
    <row r="43" spans="1:62" ht="24" customHeight="1">
      <c r="A43" s="40" t="s">
        <v>362</v>
      </c>
      <c r="B43" s="45">
        <v>0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BJ43"/>
  <sheetViews>
    <sheetView workbookViewId="0">
      <pane ySplit="7" topLeftCell="A30" activePane="bottomLeft" state="frozen"/>
      <selection activeCell="A8" sqref="A8"/>
      <selection pane="bottomLeft" activeCell="B32" sqref="B32"/>
    </sheetView>
  </sheetViews>
  <sheetFormatPr defaultColWidth="11" defaultRowHeight="14.25"/>
  <cols>
    <col min="1" max="1" width="49.28515625" style="1" customWidth="1"/>
    <col min="2" max="2" width="22.42578125" style="2" customWidth="1"/>
    <col min="3" max="5" width="22.4257812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/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59</v>
      </c>
      <c r="C6" s="9"/>
    </row>
    <row r="7" spans="1:10" ht="24" customHeight="1">
      <c r="A7" s="12" t="s">
        <v>6</v>
      </c>
      <c r="B7" s="13" t="s">
        <v>440</v>
      </c>
      <c r="C7" s="9"/>
    </row>
    <row r="8" spans="1:10" ht="24" customHeight="1">
      <c r="A8" s="40" t="s">
        <v>76</v>
      </c>
      <c r="B8" s="41">
        <v>3424.44</v>
      </c>
      <c r="C8" s="14"/>
    </row>
    <row r="9" spans="1:10" ht="24" customHeight="1">
      <c r="A9" s="40" t="s">
        <v>446</v>
      </c>
      <c r="B9" s="41">
        <v>2920.62</v>
      </c>
      <c r="C9" s="14"/>
    </row>
    <row r="10" spans="1:10" ht="24" customHeight="1">
      <c r="A10" s="40" t="s">
        <v>333</v>
      </c>
      <c r="B10" s="41">
        <f>+B9</f>
        <v>2920.62</v>
      </c>
      <c r="C10" s="14"/>
    </row>
    <row r="11" spans="1:10" ht="24" customHeight="1">
      <c r="A11" s="40" t="s">
        <v>334</v>
      </c>
      <c r="B11" s="41">
        <f>+B9</f>
        <v>2920.62</v>
      </c>
      <c r="C11" s="14"/>
    </row>
    <row r="12" spans="1:10" ht="24" customHeight="1">
      <c r="A12" s="40" t="s">
        <v>90</v>
      </c>
      <c r="B12" s="41">
        <v>0</v>
      </c>
      <c r="C12" s="14"/>
    </row>
    <row r="13" spans="1:10" ht="24" customHeight="1">
      <c r="A13" s="40" t="s">
        <v>335</v>
      </c>
      <c r="B13" s="41">
        <v>0</v>
      </c>
      <c r="C13" s="14"/>
    </row>
    <row r="14" spans="1:10" ht="24" customHeight="1">
      <c r="A14" s="40" t="s">
        <v>336</v>
      </c>
      <c r="B14" s="41">
        <v>0</v>
      </c>
      <c r="C14" s="9"/>
      <c r="D14" s="16"/>
      <c r="E14" s="16"/>
      <c r="F14" s="16"/>
      <c r="G14" s="16"/>
    </row>
    <row r="15" spans="1:10" ht="24" customHeight="1">
      <c r="A15" s="40" t="s">
        <v>337</v>
      </c>
      <c r="B15" s="41">
        <v>0</v>
      </c>
      <c r="C15" s="9"/>
      <c r="D15" s="16"/>
      <c r="E15" s="16"/>
      <c r="F15" s="16"/>
      <c r="G15" s="16"/>
    </row>
    <row r="16" spans="1:10" ht="24" customHeight="1">
      <c r="A16" s="40" t="s">
        <v>338</v>
      </c>
      <c r="B16" s="45">
        <v>5271</v>
      </c>
      <c r="C16" s="9"/>
      <c r="D16" s="16"/>
      <c r="E16" s="16"/>
      <c r="F16" s="16"/>
      <c r="G16" s="16"/>
    </row>
    <row r="17" spans="1:7" ht="24" customHeight="1">
      <c r="A17" s="40" t="s">
        <v>339</v>
      </c>
      <c r="B17" s="45">
        <v>1703</v>
      </c>
      <c r="C17" s="9"/>
      <c r="D17" s="16"/>
      <c r="E17" s="16"/>
      <c r="F17" s="16"/>
      <c r="G17" s="16"/>
    </row>
    <row r="18" spans="1:7" ht="24" customHeight="1">
      <c r="A18" s="40" t="s">
        <v>340</v>
      </c>
      <c r="B18" s="41">
        <v>0</v>
      </c>
      <c r="C18" s="9"/>
      <c r="D18" s="16"/>
      <c r="E18" s="16"/>
      <c r="F18" s="16"/>
      <c r="G18" s="16"/>
    </row>
    <row r="19" spans="1:7" ht="24" customHeight="1">
      <c r="A19" s="40" t="s">
        <v>341</v>
      </c>
      <c r="B19" s="41">
        <v>0</v>
      </c>
      <c r="C19" s="9"/>
      <c r="D19" s="16"/>
      <c r="E19" s="16"/>
      <c r="F19" s="16"/>
      <c r="G19" s="16"/>
    </row>
    <row r="20" spans="1:7" ht="24" customHeight="1">
      <c r="A20" s="40" t="s">
        <v>342</v>
      </c>
      <c r="B20" s="45">
        <v>0</v>
      </c>
      <c r="C20" s="9"/>
    </row>
    <row r="21" spans="1:7" ht="24" customHeight="1">
      <c r="A21" s="40" t="s">
        <v>343</v>
      </c>
      <c r="B21" s="45">
        <v>608</v>
      </c>
      <c r="C21" s="9"/>
    </row>
    <row r="22" spans="1:7" ht="24" customHeight="1">
      <c r="A22" s="40" t="s">
        <v>72</v>
      </c>
      <c r="B22" s="41">
        <v>0</v>
      </c>
      <c r="C22" s="9"/>
    </row>
    <row r="23" spans="1:7" ht="24" customHeight="1">
      <c r="A23" s="40" t="s">
        <v>344</v>
      </c>
      <c r="B23" s="41">
        <v>0</v>
      </c>
      <c r="C23" s="9"/>
    </row>
    <row r="24" spans="1:7" ht="24" customHeight="1">
      <c r="A24" s="158" t="s">
        <v>71</v>
      </c>
      <c r="B24" s="160">
        <v>3204.92</v>
      </c>
      <c r="C24" s="160">
        <f>B24-B42</f>
        <v>3204.92</v>
      </c>
      <c r="F24" s="43">
        <f>+B24-B42</f>
        <v>3204.92</v>
      </c>
    </row>
    <row r="25" spans="1:7" ht="24" customHeight="1">
      <c r="A25" s="158" t="s">
        <v>81</v>
      </c>
      <c r="B25" s="160">
        <v>2701.1</v>
      </c>
      <c r="C25" s="162"/>
    </row>
    <row r="26" spans="1:7" ht="24" customHeight="1">
      <c r="A26" s="40" t="s">
        <v>345</v>
      </c>
      <c r="B26" s="41">
        <v>503.82</v>
      </c>
      <c r="C26" s="9"/>
    </row>
    <row r="27" spans="1:7" ht="24" customHeight="1">
      <c r="A27" s="40" t="s">
        <v>346</v>
      </c>
      <c r="B27" s="44">
        <v>0.8528</v>
      </c>
      <c r="C27" s="9"/>
    </row>
    <row r="28" spans="1:7" ht="24" customHeight="1">
      <c r="A28" s="40" t="s">
        <v>347</v>
      </c>
      <c r="B28" s="44">
        <f>B27</f>
        <v>0.8528</v>
      </c>
      <c r="C28" s="9"/>
    </row>
    <row r="29" spans="1:7" ht="24" customHeight="1">
      <c r="A29" s="40" t="s">
        <v>348</v>
      </c>
      <c r="B29" s="45">
        <v>0</v>
      </c>
      <c r="C29" s="20"/>
    </row>
    <row r="30" spans="1:7" ht="24" customHeight="1">
      <c r="A30" s="40" t="s">
        <v>349</v>
      </c>
      <c r="B30" s="45">
        <v>0</v>
      </c>
      <c r="C30" s="9"/>
    </row>
    <row r="31" spans="1:7" ht="24" customHeight="1">
      <c r="A31" s="40" t="s">
        <v>350</v>
      </c>
      <c r="B31" s="45">
        <v>152</v>
      </c>
      <c r="C31" s="9"/>
    </row>
    <row r="32" spans="1:7" ht="24" customHeight="1">
      <c r="A32" s="40" t="s">
        <v>351</v>
      </c>
      <c r="B32" s="45">
        <v>0</v>
      </c>
      <c r="C32" s="24"/>
    </row>
    <row r="33" spans="1:62" ht="24" customHeight="1">
      <c r="A33" s="40" t="s">
        <v>352</v>
      </c>
      <c r="B33" s="45">
        <v>2</v>
      </c>
      <c r="C33" s="9"/>
    </row>
    <row r="34" spans="1:62" ht="24" customHeight="1">
      <c r="A34" s="40" t="s">
        <v>353</v>
      </c>
      <c r="B34" s="45">
        <v>0</v>
      </c>
      <c r="C34" s="9"/>
      <c r="BB34" s="28"/>
      <c r="BC34" s="16"/>
      <c r="BD34" s="16"/>
      <c r="BE34" s="16"/>
      <c r="BF34" s="16"/>
      <c r="BG34" s="16"/>
      <c r="BH34" s="16"/>
      <c r="BI34" s="16"/>
      <c r="BJ34" s="16"/>
    </row>
    <row r="35" spans="1:62" ht="24" customHeight="1">
      <c r="A35" s="40" t="s">
        <v>354</v>
      </c>
      <c r="B35" s="45">
        <v>0</v>
      </c>
      <c r="C35" s="27"/>
    </row>
    <row r="36" spans="1:62" ht="24" customHeight="1">
      <c r="A36" s="40" t="s">
        <v>355</v>
      </c>
      <c r="B36" s="45">
        <v>0</v>
      </c>
      <c r="C36" s="9"/>
    </row>
    <row r="37" spans="1:62" ht="24" customHeight="1">
      <c r="A37" s="40" t="s">
        <v>356</v>
      </c>
      <c r="B37" s="45">
        <v>9</v>
      </c>
      <c r="C37" s="9"/>
    </row>
    <row r="38" spans="1:62" ht="24" customHeight="1">
      <c r="A38" s="40" t="s">
        <v>357</v>
      </c>
      <c r="B38" s="44">
        <v>0</v>
      </c>
      <c r="C38" s="9"/>
    </row>
    <row r="39" spans="1:62" ht="24" customHeight="1">
      <c r="A39" s="40" t="s">
        <v>358</v>
      </c>
      <c r="B39" s="41">
        <v>0</v>
      </c>
      <c r="C39" s="9"/>
    </row>
    <row r="40" spans="1:62" ht="24" customHeight="1">
      <c r="A40" s="40" t="s">
        <v>359</v>
      </c>
      <c r="B40" s="41">
        <v>0</v>
      </c>
      <c r="C40" s="9"/>
    </row>
    <row r="41" spans="1:62" ht="24" customHeight="1">
      <c r="A41" s="40" t="s">
        <v>360</v>
      </c>
      <c r="B41" s="44">
        <v>0</v>
      </c>
      <c r="C41" s="9"/>
    </row>
    <row r="42" spans="1:62" ht="24" customHeight="1">
      <c r="A42" s="40" t="s">
        <v>361</v>
      </c>
      <c r="B42" s="51">
        <f>B12</f>
        <v>0</v>
      </c>
      <c r="C42" s="24"/>
    </row>
    <row r="43" spans="1:62" ht="24" customHeight="1">
      <c r="A43" s="40" t="s">
        <v>362</v>
      </c>
      <c r="B43" s="45">
        <v>0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J96"/>
  <sheetViews>
    <sheetView workbookViewId="0">
      <pane xSplit="3" ySplit="7" topLeftCell="D38" activePane="bottomRight" state="frozen"/>
      <selection pane="topRight" activeCell="D1" sqref="D1"/>
      <selection pane="bottomLeft" activeCell="A20" sqref="A20"/>
      <selection pane="bottomRight" activeCell="B43" sqref="B43"/>
    </sheetView>
  </sheetViews>
  <sheetFormatPr defaultColWidth="11" defaultRowHeight="14.25"/>
  <cols>
    <col min="1" max="1" width="49.28515625" style="1" customWidth="1"/>
    <col min="2" max="2" width="29.5703125" style="2" bestFit="1" customWidth="1"/>
    <col min="3" max="3" width="20.425781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15">
      <c r="A4" s="6" t="s">
        <v>4</v>
      </c>
      <c r="B4" s="10">
        <v>1</v>
      </c>
      <c r="C4" s="9"/>
    </row>
    <row r="5" spans="1:10">
      <c r="B5" s="37" t="s">
        <v>369</v>
      </c>
      <c r="C5" s="9"/>
    </row>
    <row r="6" spans="1:10" ht="23.25">
      <c r="A6" s="11" t="s">
        <v>5</v>
      </c>
      <c r="B6" s="38">
        <v>48</v>
      </c>
      <c r="C6" s="9"/>
    </row>
    <row r="7" spans="1:10" ht="36">
      <c r="A7" s="12" t="s">
        <v>6</v>
      </c>
      <c r="B7" s="507" t="s">
        <v>832</v>
      </c>
      <c r="C7" s="9"/>
    </row>
    <row r="8" spans="1:10" ht="23.25">
      <c r="A8" s="40" t="s">
        <v>76</v>
      </c>
      <c r="B8" s="41">
        <v>3248.62</v>
      </c>
      <c r="C8" s="14"/>
    </row>
    <row r="9" spans="1:10" ht="23.25">
      <c r="A9" s="40" t="s">
        <v>333</v>
      </c>
      <c r="B9" s="41">
        <v>2914.63</v>
      </c>
      <c r="C9" s="14"/>
    </row>
    <row r="10" spans="1:10" ht="23.25">
      <c r="A10" s="40" t="s">
        <v>334</v>
      </c>
      <c r="B10" s="41">
        <f>B9</f>
        <v>2914.63</v>
      </c>
      <c r="C10" s="14"/>
    </row>
    <row r="11" spans="1:10" ht="23.25">
      <c r="A11" s="40" t="s">
        <v>90</v>
      </c>
      <c r="B11" s="41">
        <v>286</v>
      </c>
      <c r="C11" s="14"/>
    </row>
    <row r="12" spans="1:10" ht="23.25">
      <c r="A12" s="40" t="s">
        <v>335</v>
      </c>
      <c r="B12" s="41">
        <v>0</v>
      </c>
      <c r="C12" s="14"/>
    </row>
    <row r="13" spans="1:10" ht="23.25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3.25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3.25">
      <c r="A15" s="40" t="s">
        <v>338</v>
      </c>
      <c r="B15" s="45">
        <v>21849</v>
      </c>
      <c r="C15" s="9"/>
      <c r="D15" s="16"/>
      <c r="E15" s="16"/>
      <c r="F15" s="16"/>
      <c r="G15" s="16"/>
    </row>
    <row r="16" spans="1:10" ht="23.25">
      <c r="A16" s="40" t="s">
        <v>339</v>
      </c>
      <c r="B16" s="45">
        <v>4901</v>
      </c>
      <c r="C16" s="9"/>
      <c r="D16" s="16"/>
      <c r="E16" s="16"/>
      <c r="F16" s="16"/>
      <c r="G16" s="16"/>
    </row>
    <row r="17" spans="1:7" ht="23.25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3.25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3.25">
      <c r="A19" s="40" t="s">
        <v>342</v>
      </c>
      <c r="B19" s="45">
        <v>39</v>
      </c>
      <c r="C19" s="9"/>
    </row>
    <row r="20" spans="1:7" ht="23.25">
      <c r="A20" s="40" t="s">
        <v>343</v>
      </c>
      <c r="B20" s="45">
        <v>220</v>
      </c>
      <c r="C20" s="9"/>
    </row>
    <row r="21" spans="1:7" ht="23.25">
      <c r="A21" s="40" t="s">
        <v>72</v>
      </c>
      <c r="B21" s="41">
        <v>0</v>
      </c>
      <c r="C21" s="9"/>
    </row>
    <row r="22" spans="1:7" ht="23.25">
      <c r="A22" s="40" t="s">
        <v>344</v>
      </c>
      <c r="B22" s="41">
        <v>0</v>
      </c>
      <c r="C22" s="9"/>
    </row>
    <row r="23" spans="1:7" ht="23.25">
      <c r="A23" s="158" t="s">
        <v>71</v>
      </c>
      <c r="B23" s="160">
        <v>2300.14</v>
      </c>
      <c r="C23" s="160">
        <f>B23-B41</f>
        <v>2014.1399999999999</v>
      </c>
      <c r="F23" s="43">
        <f>+B23-B41</f>
        <v>2014.1399999999999</v>
      </c>
    </row>
    <row r="24" spans="1:7" ht="23.25">
      <c r="A24" s="158" t="s">
        <v>81</v>
      </c>
      <c r="B24" s="160">
        <v>1966.15</v>
      </c>
      <c r="C24" s="162"/>
    </row>
    <row r="25" spans="1:7" ht="23.25">
      <c r="A25" s="40" t="s">
        <v>345</v>
      </c>
      <c r="B25" s="41">
        <v>541.29</v>
      </c>
      <c r="C25" s="9"/>
    </row>
    <row r="26" spans="1:7" ht="23.25">
      <c r="A26" s="40" t="s">
        <v>346</v>
      </c>
      <c r="B26" s="44">
        <v>0.83330000000000004</v>
      </c>
      <c r="C26" s="9"/>
    </row>
    <row r="27" spans="1:7" ht="23.25">
      <c r="A27" s="40" t="s">
        <v>347</v>
      </c>
      <c r="B27" s="44">
        <f>B26</f>
        <v>0.83330000000000004</v>
      </c>
      <c r="C27" s="9"/>
    </row>
    <row r="28" spans="1:7" ht="23.25">
      <c r="A28" s="40" t="s">
        <v>348</v>
      </c>
      <c r="B28" s="45">
        <v>0</v>
      </c>
      <c r="C28" s="20"/>
    </row>
    <row r="29" spans="1:7" ht="23.25">
      <c r="A29" s="40" t="s">
        <v>349</v>
      </c>
      <c r="B29" s="45">
        <v>0</v>
      </c>
      <c r="C29" s="9"/>
    </row>
    <row r="30" spans="1:7" ht="23.25">
      <c r="A30" s="40" t="s">
        <v>350</v>
      </c>
      <c r="B30" s="45">
        <v>2795</v>
      </c>
      <c r="C30" s="9"/>
    </row>
    <row r="31" spans="1:7" ht="23.25">
      <c r="A31" s="40" t="s">
        <v>351</v>
      </c>
      <c r="B31" s="45">
        <v>0</v>
      </c>
      <c r="C31" s="24"/>
    </row>
    <row r="32" spans="1:7" ht="23.25">
      <c r="A32" s="40" t="s">
        <v>352</v>
      </c>
      <c r="B32" s="45">
        <v>14</v>
      </c>
      <c r="C32" s="9"/>
    </row>
    <row r="33" spans="1:62" ht="23.25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3.25">
      <c r="A34" s="40" t="s">
        <v>354</v>
      </c>
      <c r="B34" s="45">
        <v>0</v>
      </c>
      <c r="C34" s="27"/>
    </row>
    <row r="35" spans="1:62" ht="23.25">
      <c r="A35" s="40" t="s">
        <v>355</v>
      </c>
      <c r="B35" s="45">
        <f>B34</f>
        <v>0</v>
      </c>
      <c r="C35" s="9"/>
    </row>
    <row r="36" spans="1:62" ht="23.25">
      <c r="A36" s="40" t="s">
        <v>356</v>
      </c>
      <c r="B36" s="45">
        <v>84</v>
      </c>
      <c r="C36" s="9"/>
    </row>
    <row r="37" spans="1:62" ht="23.25">
      <c r="A37" s="40" t="s">
        <v>357</v>
      </c>
      <c r="B37" s="44">
        <v>0</v>
      </c>
      <c r="C37" s="9"/>
    </row>
    <row r="38" spans="1:62" ht="23.25">
      <c r="A38" s="40" t="s">
        <v>358</v>
      </c>
      <c r="B38" s="41">
        <v>0</v>
      </c>
      <c r="C38" s="9"/>
    </row>
    <row r="39" spans="1:62" ht="23.25">
      <c r="A39" s="40" t="s">
        <v>359</v>
      </c>
      <c r="B39" s="41">
        <v>0</v>
      </c>
      <c r="C39" s="9"/>
    </row>
    <row r="40" spans="1:62" ht="23.25">
      <c r="A40" s="40" t="s">
        <v>360</v>
      </c>
      <c r="B40" s="44">
        <v>0</v>
      </c>
      <c r="C40" s="9"/>
    </row>
    <row r="41" spans="1:62" ht="23.25">
      <c r="A41" s="165" t="s">
        <v>361</v>
      </c>
      <c r="B41" s="166">
        <v>286</v>
      </c>
      <c r="C41" s="24"/>
    </row>
    <row r="42" spans="1:62" ht="23.25">
      <c r="A42" s="40" t="s">
        <v>362</v>
      </c>
      <c r="B42" s="133">
        <v>15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3.25">
      <c r="B43" s="167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3.25">
      <c r="A44" s="168"/>
      <c r="B44" s="16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168" t="s">
        <v>371</v>
      </c>
      <c r="B45" s="169"/>
    </row>
    <row r="46" spans="1:62" ht="23.25">
      <c r="A46" s="170" t="s">
        <v>372</v>
      </c>
      <c r="B46" s="169" t="s">
        <v>373</v>
      </c>
    </row>
    <row r="47" spans="1:62" ht="23.25">
      <c r="A47" s="40" t="s">
        <v>374</v>
      </c>
      <c r="B47" s="47">
        <v>0</v>
      </c>
    </row>
    <row r="48" spans="1:62" ht="23.25">
      <c r="A48" s="40" t="s">
        <v>375</v>
      </c>
      <c r="B48" s="47">
        <v>0</v>
      </c>
    </row>
    <row r="49" spans="1:3" ht="23.25">
      <c r="A49" s="171" t="s">
        <v>376</v>
      </c>
      <c r="B49" s="47">
        <v>8625.1</v>
      </c>
    </row>
    <row r="50" spans="1:3" ht="23.25">
      <c r="A50" s="40" t="s">
        <v>377</v>
      </c>
      <c r="B50" s="47">
        <v>8000</v>
      </c>
    </row>
    <row r="51" spans="1:3" ht="23.25">
      <c r="A51" s="40" t="s">
        <v>378</v>
      </c>
      <c r="B51" s="47">
        <v>0</v>
      </c>
    </row>
    <row r="52" spans="1:3" ht="23.25">
      <c r="A52" s="40" t="s">
        <v>379</v>
      </c>
      <c r="B52" s="47">
        <v>0</v>
      </c>
      <c r="C52" s="172"/>
    </row>
    <row r="53" spans="1:3" ht="23.25">
      <c r="A53" s="40" t="s">
        <v>380</v>
      </c>
      <c r="B53" s="47">
        <v>0</v>
      </c>
    </row>
    <row r="54" spans="1:3" ht="23.25">
      <c r="A54" s="40" t="s">
        <v>381</v>
      </c>
      <c r="B54" s="47">
        <v>0</v>
      </c>
    </row>
    <row r="55" spans="1:3" ht="23.25">
      <c r="A55" s="40" t="s">
        <v>382</v>
      </c>
      <c r="B55" s="47">
        <v>0</v>
      </c>
    </row>
    <row r="56" spans="1:3" ht="23.25">
      <c r="A56" s="40" t="s">
        <v>383</v>
      </c>
      <c r="B56" s="47">
        <v>0</v>
      </c>
    </row>
    <row r="57" spans="1:3" ht="23.25">
      <c r="A57" s="40" t="s">
        <v>384</v>
      </c>
      <c r="B57" s="47">
        <v>0</v>
      </c>
    </row>
    <row r="58" spans="1:3" ht="23.25">
      <c r="A58" s="173"/>
      <c r="B58" s="46"/>
    </row>
    <row r="59" spans="1:3" ht="23.25">
      <c r="A59" s="170" t="s">
        <v>385</v>
      </c>
      <c r="B59" s="174" t="s">
        <v>386</v>
      </c>
    </row>
    <row r="60" spans="1:3" ht="23.25">
      <c r="A60" s="40" t="s">
        <v>374</v>
      </c>
      <c r="B60" s="47">
        <v>6</v>
      </c>
    </row>
    <row r="61" spans="1:3" ht="23.25">
      <c r="A61" s="40" t="s">
        <v>375</v>
      </c>
      <c r="B61" s="47">
        <v>809.9</v>
      </c>
    </row>
    <row r="62" spans="1:3" ht="23.25">
      <c r="A62" s="171" t="s">
        <v>376</v>
      </c>
      <c r="B62" s="47">
        <v>126.1</v>
      </c>
    </row>
    <row r="63" spans="1:3" ht="23.25">
      <c r="A63" s="40" t="s">
        <v>377</v>
      </c>
      <c r="B63" s="47">
        <v>120</v>
      </c>
    </row>
    <row r="64" spans="1:3" ht="23.25">
      <c r="A64" s="40" t="s">
        <v>378</v>
      </c>
      <c r="B64" s="47">
        <v>0</v>
      </c>
    </row>
    <row r="65" spans="1:2" ht="23.25">
      <c r="A65" s="40" t="s">
        <v>379</v>
      </c>
      <c r="B65" s="47">
        <v>0</v>
      </c>
    </row>
    <row r="66" spans="1:2" ht="23.25">
      <c r="A66" s="40" t="s">
        <v>380</v>
      </c>
      <c r="B66" s="47">
        <v>0</v>
      </c>
    </row>
    <row r="67" spans="1:2" ht="23.25">
      <c r="A67" s="40" t="s">
        <v>381</v>
      </c>
      <c r="B67" s="47">
        <v>0</v>
      </c>
    </row>
    <row r="68" spans="1:2" ht="23.25">
      <c r="A68" s="40" t="s">
        <v>382</v>
      </c>
      <c r="B68" s="47">
        <v>0</v>
      </c>
    </row>
    <row r="69" spans="1:2" ht="23.25">
      <c r="A69" s="40" t="s">
        <v>383</v>
      </c>
      <c r="B69" s="47">
        <v>191.96</v>
      </c>
    </row>
    <row r="70" spans="1:2" ht="23.25">
      <c r="A70" s="40" t="s">
        <v>384</v>
      </c>
      <c r="B70" s="47">
        <v>120.56</v>
      </c>
    </row>
    <row r="71" spans="1:2" ht="23.25">
      <c r="A71" s="173"/>
      <c r="B71" s="46"/>
    </row>
    <row r="72" spans="1:2" ht="23.25">
      <c r="A72" s="170" t="s">
        <v>387</v>
      </c>
      <c r="B72" s="174" t="s">
        <v>388</v>
      </c>
    </row>
    <row r="73" spans="1:2" ht="23.25">
      <c r="A73" s="40" t="s">
        <v>374</v>
      </c>
      <c r="B73" s="47">
        <v>13</v>
      </c>
    </row>
    <row r="74" spans="1:2" ht="23.25">
      <c r="A74" s="40" t="s">
        <v>375</v>
      </c>
      <c r="B74" s="47">
        <v>570.84</v>
      </c>
    </row>
    <row r="75" spans="1:2" ht="23.25">
      <c r="A75" s="171" t="s">
        <v>376</v>
      </c>
      <c r="B75" s="47">
        <v>47.93</v>
      </c>
    </row>
    <row r="76" spans="1:2" ht="23.25">
      <c r="A76" s="40" t="s">
        <v>377</v>
      </c>
      <c r="B76" s="47">
        <v>36</v>
      </c>
    </row>
    <row r="77" spans="1:2" ht="23.25">
      <c r="A77" s="40" t="s">
        <v>378</v>
      </c>
      <c r="B77" s="47">
        <v>0</v>
      </c>
    </row>
    <row r="78" spans="1:2" ht="23.25">
      <c r="A78" s="40" t="s">
        <v>379</v>
      </c>
      <c r="B78" s="47">
        <v>0</v>
      </c>
    </row>
    <row r="79" spans="1:2" ht="23.25">
      <c r="A79" s="40" t="s">
        <v>380</v>
      </c>
      <c r="B79" s="47">
        <v>0</v>
      </c>
    </row>
    <row r="80" spans="1:2" ht="23.25">
      <c r="A80" s="40" t="s">
        <v>381</v>
      </c>
      <c r="B80" s="47">
        <v>0</v>
      </c>
    </row>
    <row r="81" spans="1:2" ht="23.25">
      <c r="A81" s="40" t="s">
        <v>382</v>
      </c>
      <c r="B81" s="47">
        <v>0</v>
      </c>
    </row>
    <row r="82" spans="1:2" ht="23.25">
      <c r="A82" s="40" t="s">
        <v>383</v>
      </c>
      <c r="B82" s="47">
        <v>120</v>
      </c>
    </row>
    <row r="83" spans="1:2" ht="23.25">
      <c r="A83" s="40" t="s">
        <v>384</v>
      </c>
      <c r="B83" s="47">
        <v>36.340000000000003</v>
      </c>
    </row>
    <row r="84" spans="1:2" ht="23.25">
      <c r="A84" s="173"/>
      <c r="B84" s="46"/>
    </row>
    <row r="85" spans="1:2" ht="23.25">
      <c r="A85" s="170" t="s">
        <v>389</v>
      </c>
      <c r="B85" s="174" t="s">
        <v>390</v>
      </c>
    </row>
    <row r="86" spans="1:2" ht="23.25">
      <c r="A86" s="40" t="s">
        <v>374</v>
      </c>
      <c r="B86" s="47">
        <v>35</v>
      </c>
    </row>
    <row r="87" spans="1:2" ht="23.25">
      <c r="A87" s="40" t="s">
        <v>375</v>
      </c>
      <c r="B87" s="47">
        <v>308.74</v>
      </c>
    </row>
    <row r="88" spans="1:2" ht="23.25">
      <c r="A88" s="171" t="s">
        <v>376</v>
      </c>
      <c r="B88" s="47">
        <v>6.01</v>
      </c>
    </row>
    <row r="89" spans="1:2" ht="23.25">
      <c r="A89" s="40" t="s">
        <v>377</v>
      </c>
      <c r="B89" s="47">
        <v>6</v>
      </c>
    </row>
    <row r="90" spans="1:2" ht="23.25">
      <c r="A90" s="40" t="s">
        <v>378</v>
      </c>
      <c r="B90" s="47">
        <v>0</v>
      </c>
    </row>
    <row r="91" spans="1:2" ht="23.25">
      <c r="A91" s="40" t="s">
        <v>379</v>
      </c>
      <c r="B91" s="47">
        <v>0</v>
      </c>
    </row>
    <row r="92" spans="1:2" ht="23.25">
      <c r="A92" s="40" t="s">
        <v>380</v>
      </c>
      <c r="B92" s="47">
        <v>0</v>
      </c>
    </row>
    <row r="93" spans="1:2" ht="23.25">
      <c r="A93" s="40" t="s">
        <v>381</v>
      </c>
      <c r="B93" s="47">
        <v>0</v>
      </c>
    </row>
    <row r="94" spans="1:2" ht="23.25">
      <c r="A94" s="40" t="s">
        <v>382</v>
      </c>
      <c r="B94" s="47">
        <v>0</v>
      </c>
    </row>
    <row r="95" spans="1:2" ht="23.25">
      <c r="A95" s="40" t="s">
        <v>383</v>
      </c>
      <c r="B95" s="47">
        <v>35.9</v>
      </c>
    </row>
    <row r="96" spans="1:2" ht="23.25">
      <c r="A96" s="40" t="s">
        <v>384</v>
      </c>
      <c r="B96" s="47">
        <v>6.06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indexed="11"/>
  </sheetPr>
  <dimension ref="A1:BJ95"/>
  <sheetViews>
    <sheetView workbookViewId="0">
      <pane xSplit="1" ySplit="7" topLeftCell="B18" activePane="bottomRight" state="frozen"/>
      <selection activeCell="A8" sqref="A8"/>
      <selection pane="topRight" activeCell="A8" sqref="A8"/>
      <selection pane="bottomLeft" activeCell="A8" sqref="A8"/>
      <selection pane="bottomRight" activeCell="B43" sqref="B43"/>
    </sheetView>
  </sheetViews>
  <sheetFormatPr defaultColWidth="11" defaultRowHeight="14.25"/>
  <cols>
    <col min="1" max="1" width="49.28515625" style="1" customWidth="1"/>
    <col min="2" max="2" width="39.140625" style="2" customWidth="1"/>
    <col min="3" max="3" width="20.425781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50</v>
      </c>
      <c r="C6" s="9"/>
    </row>
    <row r="7" spans="1:10" ht="24" customHeight="1">
      <c r="A7" s="12" t="s">
        <v>6</v>
      </c>
      <c r="B7" s="13" t="s">
        <v>370</v>
      </c>
      <c r="C7" s="9"/>
      <c r="E7" t="s">
        <v>36</v>
      </c>
    </row>
    <row r="8" spans="1:10" ht="24" customHeight="1">
      <c r="A8" s="40" t="s">
        <v>76</v>
      </c>
      <c r="B8" s="41">
        <v>64312.98</v>
      </c>
      <c r="C8" s="14"/>
    </row>
    <row r="9" spans="1:10" ht="24" customHeight="1">
      <c r="A9" s="40" t="s">
        <v>333</v>
      </c>
      <c r="B9" s="41">
        <v>62353.25</v>
      </c>
      <c r="C9" s="14"/>
      <c r="E9">
        <v>13359</v>
      </c>
    </row>
    <row r="10" spans="1:10" ht="24" customHeight="1">
      <c r="A10" s="40" t="s">
        <v>334</v>
      </c>
      <c r="B10" s="41">
        <v>62353.25</v>
      </c>
      <c r="C10" s="14"/>
    </row>
    <row r="11" spans="1:10" ht="24" customHeight="1">
      <c r="A11" s="40" t="s">
        <v>90</v>
      </c>
      <c r="B11" s="41">
        <v>19031</v>
      </c>
      <c r="C11" s="14"/>
    </row>
    <row r="12" spans="1:10" ht="24" customHeight="1">
      <c r="A12" s="40" t="s">
        <v>335</v>
      </c>
      <c r="B12" s="41">
        <v>0</v>
      </c>
      <c r="C12" s="14"/>
    </row>
    <row r="13" spans="1:10" ht="24" customHeight="1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4" customHeight="1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4" customHeight="1">
      <c r="A15" s="40" t="s">
        <v>338</v>
      </c>
      <c r="B15" s="45">
        <v>87021</v>
      </c>
      <c r="C15" s="9"/>
      <c r="D15" s="16"/>
      <c r="E15" s="16"/>
      <c r="F15" s="16"/>
      <c r="G15" s="16"/>
    </row>
    <row r="16" spans="1:10" ht="24" customHeight="1">
      <c r="A16" s="40" t="s">
        <v>339</v>
      </c>
      <c r="B16" s="45">
        <v>22453</v>
      </c>
      <c r="C16" s="9"/>
      <c r="D16" s="16"/>
      <c r="E16" s="16"/>
      <c r="F16" s="16"/>
      <c r="G16" s="16"/>
    </row>
    <row r="17" spans="1:7" ht="24" customHeight="1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4" customHeight="1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4" customHeight="1">
      <c r="A19" s="40" t="s">
        <v>342</v>
      </c>
      <c r="B19" s="45">
        <v>201</v>
      </c>
      <c r="C19" s="9"/>
      <c r="F19">
        <v>985</v>
      </c>
    </row>
    <row r="20" spans="1:7" ht="24" customHeight="1">
      <c r="A20" s="40" t="s">
        <v>343</v>
      </c>
      <c r="B20" s="45">
        <v>1022</v>
      </c>
      <c r="C20" s="9"/>
    </row>
    <row r="21" spans="1:7" ht="24" customHeight="1">
      <c r="A21" s="40" t="s">
        <v>72</v>
      </c>
      <c r="B21" s="41">
        <v>0</v>
      </c>
      <c r="C21" s="9"/>
    </row>
    <row r="22" spans="1:7" ht="24" customHeight="1">
      <c r="A22" s="40" t="s">
        <v>344</v>
      </c>
      <c r="B22" s="41">
        <v>0</v>
      </c>
      <c r="C22" s="9"/>
    </row>
    <row r="23" spans="1:7" ht="24" customHeight="1">
      <c r="A23" s="158" t="s">
        <v>71</v>
      </c>
      <c r="B23" s="160">
        <v>51812.639999999999</v>
      </c>
      <c r="C23" s="160">
        <f>B23-B41</f>
        <v>32781.64</v>
      </c>
      <c r="F23" s="43">
        <f>+B23-B41</f>
        <v>32781.64</v>
      </c>
    </row>
    <row r="24" spans="1:7" ht="24" customHeight="1">
      <c r="A24" s="158" t="s">
        <v>81</v>
      </c>
      <c r="B24" s="160">
        <v>49852.91</v>
      </c>
      <c r="C24" s="162"/>
    </row>
    <row r="25" spans="1:7" ht="24" customHeight="1">
      <c r="A25" s="40" t="s">
        <v>345</v>
      </c>
      <c r="B25" s="41">
        <v>7332.51</v>
      </c>
      <c r="C25" s="9"/>
    </row>
    <row r="26" spans="1:7" ht="24" customHeight="1">
      <c r="A26" s="40" t="s">
        <v>346</v>
      </c>
      <c r="B26" s="44">
        <v>0.88590000000000002</v>
      </c>
      <c r="C26" s="9"/>
    </row>
    <row r="27" spans="1:7" ht="24" customHeight="1">
      <c r="A27" s="40" t="s">
        <v>347</v>
      </c>
      <c r="B27" s="44">
        <f>B26</f>
        <v>0.88590000000000002</v>
      </c>
      <c r="C27" s="9"/>
    </row>
    <row r="28" spans="1:7" ht="24" customHeight="1">
      <c r="A28" s="40" t="s">
        <v>348</v>
      </c>
      <c r="B28" s="45">
        <v>0</v>
      </c>
      <c r="C28" s="20"/>
    </row>
    <row r="29" spans="1:7" ht="24" customHeight="1">
      <c r="A29" s="40" t="s">
        <v>349</v>
      </c>
      <c r="B29" s="45">
        <v>0</v>
      </c>
      <c r="C29" s="9"/>
    </row>
    <row r="30" spans="1:7" ht="24" customHeight="1">
      <c r="A30" s="40" t="s">
        <v>350</v>
      </c>
      <c r="B30" s="45">
        <v>5933</v>
      </c>
      <c r="C30" s="9"/>
    </row>
    <row r="31" spans="1:7" ht="24" customHeight="1">
      <c r="A31" s="40" t="s">
        <v>351</v>
      </c>
      <c r="B31" s="45">
        <v>0</v>
      </c>
      <c r="C31" s="24"/>
    </row>
    <row r="32" spans="1:7" ht="24" customHeight="1">
      <c r="A32" s="40" t="s">
        <v>352</v>
      </c>
      <c r="B32" s="45">
        <v>31</v>
      </c>
      <c r="C32" s="9"/>
    </row>
    <row r="33" spans="1:62" ht="24" customHeight="1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40" t="s">
        <v>354</v>
      </c>
      <c r="B34" s="45">
        <v>472</v>
      </c>
      <c r="C34" s="27"/>
    </row>
    <row r="35" spans="1:62" ht="24" customHeight="1">
      <c r="A35" s="40" t="s">
        <v>355</v>
      </c>
      <c r="B35" s="45">
        <f>B34</f>
        <v>472</v>
      </c>
      <c r="C35" s="9"/>
    </row>
    <row r="36" spans="1:62" ht="24" customHeight="1">
      <c r="A36" s="40" t="s">
        <v>356</v>
      </c>
      <c r="B36" s="45">
        <v>282</v>
      </c>
      <c r="C36" s="9"/>
    </row>
    <row r="37" spans="1:62" ht="24" customHeight="1">
      <c r="A37" s="40" t="s">
        <v>357</v>
      </c>
      <c r="B37" s="44">
        <v>0</v>
      </c>
      <c r="C37" s="9"/>
    </row>
    <row r="38" spans="1:62" ht="24" customHeight="1">
      <c r="A38" s="40" t="s">
        <v>358</v>
      </c>
      <c r="B38" s="41">
        <v>0</v>
      </c>
      <c r="C38" s="9"/>
    </row>
    <row r="39" spans="1:62" ht="24" customHeight="1">
      <c r="A39" s="40" t="s">
        <v>359</v>
      </c>
      <c r="B39" s="41">
        <v>0</v>
      </c>
      <c r="C39" s="9"/>
    </row>
    <row r="40" spans="1:62" ht="24" customHeight="1">
      <c r="A40" s="40" t="s">
        <v>360</v>
      </c>
      <c r="B40" s="44">
        <v>0</v>
      </c>
      <c r="C40" s="9"/>
    </row>
    <row r="41" spans="1:62" ht="24" customHeight="1">
      <c r="A41" s="40" t="s">
        <v>361</v>
      </c>
      <c r="B41" s="51">
        <v>19031</v>
      </c>
      <c r="C41" s="24"/>
    </row>
    <row r="42" spans="1:62" ht="24" customHeight="1">
      <c r="A42" s="40" t="s">
        <v>362</v>
      </c>
      <c r="B42" s="45">
        <v>503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4" customHeight="1">
      <c r="B43" s="167"/>
      <c r="C43" s="9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68" t="s">
        <v>455</v>
      </c>
      <c r="B44" s="169"/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4" customHeight="1">
      <c r="A45" s="170" t="s">
        <v>372</v>
      </c>
      <c r="B45" s="169" t="s">
        <v>373</v>
      </c>
      <c r="C45" s="33"/>
    </row>
    <row r="46" spans="1:62" ht="24" customHeight="1">
      <c r="A46" s="40" t="s">
        <v>374</v>
      </c>
      <c r="B46" s="47">
        <v>18</v>
      </c>
      <c r="C46" s="9"/>
    </row>
    <row r="47" spans="1:62" ht="24" customHeight="1">
      <c r="A47" s="40" t="s">
        <v>375</v>
      </c>
      <c r="B47" s="47">
        <v>92673.78</v>
      </c>
      <c r="C47" s="9"/>
    </row>
    <row r="48" spans="1:62" ht="24" customHeight="1">
      <c r="A48" s="171" t="s">
        <v>376</v>
      </c>
      <c r="B48" s="47">
        <v>4898</v>
      </c>
      <c r="C48" s="9"/>
    </row>
    <row r="49" spans="1:3" ht="24" customHeight="1">
      <c r="A49" s="40" t="s">
        <v>377</v>
      </c>
      <c r="B49" s="47">
        <v>4000</v>
      </c>
      <c r="C49" s="9"/>
    </row>
    <row r="50" spans="1:3" ht="24" customHeight="1">
      <c r="A50" s="40" t="s">
        <v>378</v>
      </c>
      <c r="B50" s="47">
        <v>0</v>
      </c>
      <c r="C50" s="9"/>
    </row>
    <row r="51" spans="1:3" ht="24" customHeight="1">
      <c r="A51" s="40" t="s">
        <v>379</v>
      </c>
      <c r="B51" s="47">
        <v>0</v>
      </c>
      <c r="C51" s="9"/>
    </row>
    <row r="52" spans="1:3" ht="24" customHeight="1">
      <c r="A52" s="40" t="s">
        <v>380</v>
      </c>
      <c r="B52" s="47">
        <v>0</v>
      </c>
      <c r="C52" s="20"/>
    </row>
    <row r="53" spans="1:3" ht="24" customHeight="1">
      <c r="A53" s="40" t="s">
        <v>381</v>
      </c>
      <c r="B53" s="47">
        <v>0</v>
      </c>
      <c r="C53" s="9"/>
    </row>
    <row r="54" spans="1:3" ht="24" customHeight="1">
      <c r="A54" s="40" t="s">
        <v>382</v>
      </c>
      <c r="B54" s="47">
        <v>0</v>
      </c>
      <c r="C54" s="9"/>
    </row>
    <row r="55" spans="1:3" ht="24" customHeight="1">
      <c r="A55" s="40" t="s">
        <v>383</v>
      </c>
      <c r="B55" s="47">
        <v>8098.36</v>
      </c>
      <c r="C55" s="9"/>
    </row>
    <row r="56" spans="1:3" ht="24" customHeight="1">
      <c r="A56" s="40" t="s">
        <v>384</v>
      </c>
      <c r="B56" s="47">
        <v>4075.75</v>
      </c>
      <c r="C56" s="9"/>
    </row>
    <row r="57" spans="1:3" ht="24" customHeight="1">
      <c r="A57" s="173"/>
      <c r="B57" s="46"/>
      <c r="C57" s="9"/>
    </row>
    <row r="58" spans="1:3" ht="24" customHeight="1">
      <c r="A58" s="170" t="s">
        <v>385</v>
      </c>
      <c r="B58" s="174" t="s">
        <v>386</v>
      </c>
      <c r="C58" s="9"/>
    </row>
    <row r="59" spans="1:3" ht="24" customHeight="1">
      <c r="A59" s="40" t="s">
        <v>374</v>
      </c>
      <c r="B59" s="47">
        <v>84</v>
      </c>
      <c r="C59" s="9"/>
    </row>
    <row r="60" spans="1:3" ht="24" customHeight="1">
      <c r="A60" s="40" t="s">
        <v>375</v>
      </c>
      <c r="B60" s="47">
        <v>180615.73</v>
      </c>
      <c r="C60" s="9"/>
    </row>
    <row r="61" spans="1:3" ht="24" customHeight="1">
      <c r="A61" s="171" t="s">
        <v>376</v>
      </c>
      <c r="B61" s="47">
        <v>60.71</v>
      </c>
      <c r="C61" s="9"/>
    </row>
    <row r="62" spans="1:3" ht="24" customHeight="1">
      <c r="A62" s="40" t="s">
        <v>377</v>
      </c>
      <c r="B62" s="47">
        <v>60</v>
      </c>
      <c r="C62" s="9"/>
    </row>
    <row r="63" spans="1:3" ht="24" customHeight="1">
      <c r="A63" s="40" t="s">
        <v>378</v>
      </c>
      <c r="B63" s="47">
        <v>0</v>
      </c>
      <c r="C63" s="9"/>
    </row>
    <row r="64" spans="1:3" ht="24" customHeight="1">
      <c r="A64" s="40" t="s">
        <v>379</v>
      </c>
      <c r="B64" s="47">
        <v>0</v>
      </c>
      <c r="C64" s="9"/>
    </row>
    <row r="65" spans="1:3" ht="24" customHeight="1">
      <c r="A65" s="40" t="s">
        <v>380</v>
      </c>
      <c r="B65" s="47">
        <v>0</v>
      </c>
      <c r="C65" s="9"/>
    </row>
    <row r="66" spans="1:3" ht="24" customHeight="1">
      <c r="A66" s="40" t="s">
        <v>381</v>
      </c>
      <c r="B66" s="47">
        <v>0</v>
      </c>
      <c r="C66" s="9"/>
    </row>
    <row r="67" spans="1:3" ht="24" customHeight="1">
      <c r="A67" s="40" t="s">
        <v>382</v>
      </c>
      <c r="B67" s="47">
        <v>0</v>
      </c>
      <c r="C67" s="9"/>
    </row>
    <row r="68" spans="1:3" ht="24" customHeight="1">
      <c r="A68" s="40" t="s">
        <v>383</v>
      </c>
      <c r="B68" s="47">
        <v>124.57</v>
      </c>
      <c r="C68" s="9"/>
    </row>
    <row r="69" spans="1:3" ht="24" customHeight="1">
      <c r="A69" s="40" t="s">
        <v>384</v>
      </c>
      <c r="B69" s="47">
        <v>60</v>
      </c>
      <c r="C69" s="9"/>
    </row>
    <row r="70" spans="1:3" ht="24" customHeight="1">
      <c r="A70" s="173"/>
      <c r="B70" s="46"/>
      <c r="C70" s="9"/>
    </row>
    <row r="71" spans="1:3" ht="24" customHeight="1">
      <c r="A71" s="170" t="s">
        <v>387</v>
      </c>
      <c r="B71" s="174" t="s">
        <v>388</v>
      </c>
      <c r="C71" s="9"/>
    </row>
    <row r="72" spans="1:3" ht="24" customHeight="1">
      <c r="A72" s="40" t="s">
        <v>374</v>
      </c>
      <c r="B72" s="47">
        <v>198</v>
      </c>
      <c r="C72" s="9"/>
    </row>
    <row r="73" spans="1:3" ht="24" customHeight="1">
      <c r="A73" s="40" t="s">
        <v>375</v>
      </c>
      <c r="B73" s="47">
        <v>86700.27</v>
      </c>
      <c r="C73" s="9"/>
    </row>
    <row r="74" spans="1:3" ht="24" customHeight="1">
      <c r="A74" s="171" t="s">
        <v>376</v>
      </c>
      <c r="B74" s="47">
        <v>24.56</v>
      </c>
      <c r="C74" s="9"/>
    </row>
    <row r="75" spans="1:3" ht="24" customHeight="1">
      <c r="A75" s="40" t="s">
        <v>377</v>
      </c>
      <c r="B75" s="47">
        <v>18</v>
      </c>
      <c r="C75" s="9"/>
    </row>
    <row r="76" spans="1:3" ht="24" customHeight="1">
      <c r="A76" s="40" t="s">
        <v>378</v>
      </c>
      <c r="B76" s="47">
        <v>0</v>
      </c>
      <c r="C76" s="9"/>
    </row>
    <row r="77" spans="1:3" ht="24" customHeight="1">
      <c r="A77" s="40" t="s">
        <v>379</v>
      </c>
      <c r="B77" s="47">
        <v>0</v>
      </c>
      <c r="C77" s="9"/>
    </row>
    <row r="78" spans="1:3" ht="24" customHeight="1">
      <c r="A78" s="40" t="s">
        <v>380</v>
      </c>
      <c r="B78" s="47">
        <v>0</v>
      </c>
    </row>
    <row r="79" spans="1:3" ht="24" customHeight="1">
      <c r="A79" s="40" t="s">
        <v>381</v>
      </c>
      <c r="B79" s="47">
        <v>0</v>
      </c>
    </row>
    <row r="80" spans="1:3" ht="24" customHeight="1">
      <c r="A80" s="40" t="s">
        <v>382</v>
      </c>
      <c r="B80" s="47">
        <v>0</v>
      </c>
    </row>
    <row r="81" spans="1:2" ht="24" customHeight="1">
      <c r="A81" s="40" t="s">
        <v>383</v>
      </c>
      <c r="B81" s="47">
        <v>59.97</v>
      </c>
    </row>
    <row r="82" spans="1:2" ht="24" customHeight="1">
      <c r="A82" s="40" t="s">
        <v>384</v>
      </c>
      <c r="B82" s="47">
        <v>18</v>
      </c>
    </row>
    <row r="83" spans="1:2" ht="24" customHeight="1">
      <c r="A83" s="173"/>
      <c r="B83" s="46"/>
    </row>
    <row r="84" spans="1:2" ht="24" customHeight="1">
      <c r="A84" s="170" t="s">
        <v>389</v>
      </c>
      <c r="B84" s="174" t="s">
        <v>390</v>
      </c>
    </row>
    <row r="85" spans="1:2" ht="24" customHeight="1">
      <c r="A85" s="40" t="s">
        <v>374</v>
      </c>
      <c r="B85" s="47">
        <v>67</v>
      </c>
    </row>
    <row r="86" spans="1:2" ht="24" customHeight="1">
      <c r="A86" s="40" t="s">
        <v>375</v>
      </c>
      <c r="B86" s="47">
        <v>40099.15</v>
      </c>
    </row>
    <row r="87" spans="1:2" ht="24" customHeight="1">
      <c r="A87" s="171" t="s">
        <v>376</v>
      </c>
      <c r="B87" s="47">
        <v>5.8</v>
      </c>
    </row>
    <row r="88" spans="1:2" ht="24" customHeight="1">
      <c r="A88" s="40" t="s">
        <v>377</v>
      </c>
      <c r="B88" s="47">
        <v>3</v>
      </c>
    </row>
    <row r="89" spans="1:2" ht="24" customHeight="1">
      <c r="A89" s="40" t="s">
        <v>378</v>
      </c>
      <c r="B89" s="47">
        <v>0</v>
      </c>
    </row>
    <row r="90" spans="1:2" ht="24" customHeight="1">
      <c r="A90" s="40" t="s">
        <v>379</v>
      </c>
      <c r="B90" s="47">
        <v>0</v>
      </c>
    </row>
    <row r="91" spans="1:2" ht="24" customHeight="1">
      <c r="A91" s="40" t="s">
        <v>380</v>
      </c>
      <c r="B91" s="47">
        <v>0</v>
      </c>
    </row>
    <row r="92" spans="1:2" ht="24" customHeight="1">
      <c r="A92" s="40" t="s">
        <v>381</v>
      </c>
      <c r="B92" s="47">
        <v>0</v>
      </c>
    </row>
    <row r="93" spans="1:2" ht="23.25">
      <c r="A93" s="40" t="s">
        <v>382</v>
      </c>
      <c r="B93" s="47">
        <v>0</v>
      </c>
    </row>
    <row r="94" spans="1:2" ht="24" customHeight="1">
      <c r="A94" s="40" t="s">
        <v>383</v>
      </c>
      <c r="B94" s="47">
        <v>18</v>
      </c>
    </row>
    <row r="95" spans="1:2" ht="24" customHeight="1">
      <c r="A95" s="40" t="s">
        <v>384</v>
      </c>
      <c r="B95" s="47">
        <v>3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indexed="11"/>
  </sheetPr>
  <dimension ref="A1:BJ95"/>
  <sheetViews>
    <sheetView workbookViewId="0">
      <pane xSplit="1" ySplit="7" topLeftCell="B37" activePane="bottomRight" state="frozen"/>
      <selection activeCell="A8" sqref="A8"/>
      <selection pane="topRight" activeCell="A8" sqref="A8"/>
      <selection pane="bottomLeft" activeCell="A8" sqref="A8"/>
      <selection pane="bottomRight" activeCell="B42" sqref="B42"/>
    </sheetView>
  </sheetViews>
  <sheetFormatPr defaultColWidth="11" defaultRowHeight="14.25"/>
  <cols>
    <col min="1" max="1" width="49.28515625" style="1" customWidth="1"/>
    <col min="2" max="2" width="39.140625" style="2" customWidth="1"/>
    <col min="3" max="3" width="20.425781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49</v>
      </c>
      <c r="C6" s="9"/>
    </row>
    <row r="7" spans="1:10" ht="24" customHeight="1">
      <c r="A7" s="12" t="s">
        <v>6</v>
      </c>
      <c r="B7" s="13" t="s">
        <v>370</v>
      </c>
      <c r="C7" s="9"/>
      <c r="E7" t="s">
        <v>36</v>
      </c>
    </row>
    <row r="8" spans="1:10" ht="24" customHeight="1">
      <c r="A8" s="40" t="s">
        <v>76</v>
      </c>
      <c r="B8" s="41">
        <v>91267.12</v>
      </c>
      <c r="C8" s="14"/>
    </row>
    <row r="9" spans="1:10" ht="24" customHeight="1">
      <c r="A9" s="40" t="s">
        <v>333</v>
      </c>
      <c r="B9" s="41">
        <v>74861.17</v>
      </c>
      <c r="C9" s="14"/>
      <c r="E9">
        <v>13359</v>
      </c>
    </row>
    <row r="10" spans="1:10" ht="24" customHeight="1">
      <c r="A10" s="40" t="s">
        <v>334</v>
      </c>
      <c r="B10" s="41">
        <v>86195.64</v>
      </c>
      <c r="C10" s="14"/>
    </row>
    <row r="11" spans="1:10" ht="24" customHeight="1">
      <c r="A11" s="40" t="s">
        <v>90</v>
      </c>
      <c r="B11" s="41">
        <v>35339</v>
      </c>
      <c r="C11" s="14"/>
    </row>
    <row r="12" spans="1:10" ht="24" customHeight="1">
      <c r="A12" s="40" t="s">
        <v>335</v>
      </c>
      <c r="B12" s="41">
        <v>0</v>
      </c>
      <c r="C12" s="14"/>
    </row>
    <row r="13" spans="1:10" ht="24" customHeight="1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4" customHeight="1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4" customHeight="1">
      <c r="A15" s="40" t="s">
        <v>338</v>
      </c>
      <c r="B15" s="45">
        <v>195039</v>
      </c>
      <c r="C15" s="9"/>
      <c r="D15" s="16"/>
      <c r="E15" s="16"/>
      <c r="F15" s="16"/>
      <c r="G15" s="16"/>
    </row>
    <row r="16" spans="1:10" ht="24" customHeight="1">
      <c r="A16" s="40" t="s">
        <v>339</v>
      </c>
      <c r="B16" s="45">
        <v>48783</v>
      </c>
      <c r="C16" s="9"/>
      <c r="D16" s="16"/>
      <c r="E16" s="16"/>
      <c r="F16" s="16"/>
      <c r="G16" s="16"/>
    </row>
    <row r="17" spans="1:7" ht="24" customHeight="1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4" customHeight="1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4" customHeight="1">
      <c r="A19" s="40" t="s">
        <v>342</v>
      </c>
      <c r="B19" s="45">
        <v>434</v>
      </c>
      <c r="C19" s="9"/>
      <c r="F19">
        <v>985</v>
      </c>
    </row>
    <row r="20" spans="1:7" ht="24" customHeight="1">
      <c r="A20" s="40" t="s">
        <v>343</v>
      </c>
      <c r="B20" s="45">
        <v>2215</v>
      </c>
      <c r="C20" s="9"/>
    </row>
    <row r="21" spans="1:7" ht="24" customHeight="1">
      <c r="A21" s="40" t="s">
        <v>72</v>
      </c>
      <c r="B21" s="41">
        <v>0</v>
      </c>
      <c r="C21" s="9"/>
    </row>
    <row r="22" spans="1:7" ht="24" customHeight="1">
      <c r="A22" s="40" t="s">
        <v>344</v>
      </c>
      <c r="B22" s="41">
        <v>0</v>
      </c>
      <c r="C22" s="9"/>
    </row>
    <row r="23" spans="1:7" ht="24" customHeight="1">
      <c r="A23" s="158" t="s">
        <v>71</v>
      </c>
      <c r="B23" s="160">
        <v>62113.88</v>
      </c>
      <c r="C23" s="160">
        <f>B23-B41</f>
        <v>26774.879999999997</v>
      </c>
      <c r="F23" s="43">
        <f>+B23-B41</f>
        <v>26774.879999999997</v>
      </c>
    </row>
    <row r="24" spans="1:7" ht="24" customHeight="1">
      <c r="A24" s="158" t="s">
        <v>81</v>
      </c>
      <c r="B24" s="160">
        <v>57042.400000000001</v>
      </c>
      <c r="C24" s="162"/>
    </row>
    <row r="25" spans="1:7" ht="24" customHeight="1">
      <c r="A25" s="40" t="s">
        <v>345</v>
      </c>
      <c r="B25" s="41">
        <v>16405.95</v>
      </c>
      <c r="C25" s="9"/>
    </row>
    <row r="26" spans="1:7" ht="24" customHeight="1">
      <c r="A26" s="40" t="s">
        <v>346</v>
      </c>
      <c r="B26" s="44">
        <v>0.82020000000000004</v>
      </c>
      <c r="C26" s="9"/>
    </row>
    <row r="27" spans="1:7" ht="24" customHeight="1">
      <c r="A27" s="40" t="s">
        <v>347</v>
      </c>
      <c r="B27" s="44">
        <f>B26</f>
        <v>0.82020000000000004</v>
      </c>
      <c r="C27" s="9"/>
    </row>
    <row r="28" spans="1:7" ht="24" customHeight="1">
      <c r="A28" s="40" t="s">
        <v>348</v>
      </c>
      <c r="B28" s="45">
        <v>0</v>
      </c>
      <c r="C28" s="20"/>
    </row>
    <row r="29" spans="1:7" ht="24" customHeight="1">
      <c r="A29" s="40" t="s">
        <v>349</v>
      </c>
      <c r="B29" s="45">
        <v>0</v>
      </c>
      <c r="C29" s="9"/>
    </row>
    <row r="30" spans="1:7" ht="24" customHeight="1">
      <c r="A30" s="40" t="s">
        <v>350</v>
      </c>
      <c r="B30" s="45">
        <v>6765</v>
      </c>
      <c r="C30" s="9"/>
    </row>
    <row r="31" spans="1:7" ht="24" customHeight="1">
      <c r="A31" s="40" t="s">
        <v>351</v>
      </c>
      <c r="B31" s="45">
        <v>0</v>
      </c>
      <c r="C31" s="24"/>
    </row>
    <row r="32" spans="1:7" ht="24" customHeight="1">
      <c r="A32" s="40" t="s">
        <v>352</v>
      </c>
      <c r="B32" s="45">
        <v>41</v>
      </c>
      <c r="C32" s="9"/>
    </row>
    <row r="33" spans="1:62" ht="24" customHeight="1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40" t="s">
        <v>354</v>
      </c>
      <c r="B34" s="45">
        <v>707</v>
      </c>
      <c r="C34" s="27"/>
    </row>
    <row r="35" spans="1:62" ht="24" customHeight="1">
      <c r="A35" s="40" t="s">
        <v>355</v>
      </c>
      <c r="B35" s="45">
        <f>B34</f>
        <v>707</v>
      </c>
      <c r="C35" s="9"/>
    </row>
    <row r="36" spans="1:62" ht="24" customHeight="1">
      <c r="A36" s="40" t="s">
        <v>356</v>
      </c>
      <c r="B36" s="45">
        <v>656</v>
      </c>
      <c r="C36" s="9"/>
    </row>
    <row r="37" spans="1:62" ht="24" customHeight="1">
      <c r="A37" s="40" t="s">
        <v>357</v>
      </c>
      <c r="B37" s="44">
        <v>0</v>
      </c>
      <c r="C37" s="9"/>
    </row>
    <row r="38" spans="1:62" ht="24" customHeight="1">
      <c r="A38" s="40" t="s">
        <v>358</v>
      </c>
      <c r="B38" s="41">
        <v>0</v>
      </c>
      <c r="C38" s="9"/>
    </row>
    <row r="39" spans="1:62" ht="24" customHeight="1">
      <c r="A39" s="40" t="s">
        <v>359</v>
      </c>
      <c r="B39" s="41">
        <v>0</v>
      </c>
      <c r="C39" s="9"/>
    </row>
    <row r="40" spans="1:62" ht="24" customHeight="1">
      <c r="A40" s="40" t="s">
        <v>360</v>
      </c>
      <c r="B40" s="44">
        <v>0</v>
      </c>
      <c r="C40" s="9"/>
    </row>
    <row r="41" spans="1:62" ht="24" customHeight="1">
      <c r="A41" s="40" t="s">
        <v>361</v>
      </c>
      <c r="B41" s="51">
        <v>35339</v>
      </c>
      <c r="C41" s="24"/>
    </row>
    <row r="42" spans="1:62" ht="24" customHeight="1">
      <c r="A42" s="40" t="s">
        <v>362</v>
      </c>
      <c r="B42" s="45">
        <v>1085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4" customHeight="1">
      <c r="B43" s="167"/>
      <c r="C43" s="9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68" t="s">
        <v>455</v>
      </c>
      <c r="B44" s="169"/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4" customHeight="1">
      <c r="A45" s="170" t="s">
        <v>372</v>
      </c>
      <c r="B45" s="169" t="s">
        <v>373</v>
      </c>
      <c r="C45" s="33"/>
    </row>
    <row r="46" spans="1:62" ht="24" customHeight="1">
      <c r="A46" s="40" t="s">
        <v>374</v>
      </c>
      <c r="B46" s="47">
        <v>18</v>
      </c>
      <c r="C46" s="9"/>
    </row>
    <row r="47" spans="1:62" ht="24" customHeight="1">
      <c r="A47" s="40" t="s">
        <v>375</v>
      </c>
      <c r="B47" s="47">
        <v>92673.78</v>
      </c>
      <c r="C47" s="9"/>
    </row>
    <row r="48" spans="1:62" ht="24" customHeight="1">
      <c r="A48" s="171" t="s">
        <v>376</v>
      </c>
      <c r="B48" s="47">
        <v>4898</v>
      </c>
      <c r="C48" s="9"/>
    </row>
    <row r="49" spans="1:3" ht="24" customHeight="1">
      <c r="A49" s="40" t="s">
        <v>377</v>
      </c>
      <c r="B49" s="47">
        <v>4000</v>
      </c>
      <c r="C49" s="9"/>
    </row>
    <row r="50" spans="1:3" ht="24" customHeight="1">
      <c r="A50" s="40" t="s">
        <v>378</v>
      </c>
      <c r="B50" s="47">
        <v>0</v>
      </c>
      <c r="C50" s="9"/>
    </row>
    <row r="51" spans="1:3" ht="24" customHeight="1">
      <c r="A51" s="40" t="s">
        <v>379</v>
      </c>
      <c r="B51" s="47">
        <v>0</v>
      </c>
      <c r="C51" s="9"/>
    </row>
    <row r="52" spans="1:3" ht="24" customHeight="1">
      <c r="A52" s="40" t="s">
        <v>380</v>
      </c>
      <c r="B52" s="47">
        <v>0</v>
      </c>
      <c r="C52" s="20"/>
    </row>
    <row r="53" spans="1:3" ht="24" customHeight="1">
      <c r="A53" s="40" t="s">
        <v>381</v>
      </c>
      <c r="B53" s="47">
        <v>0</v>
      </c>
      <c r="C53" s="9"/>
    </row>
    <row r="54" spans="1:3" ht="24" customHeight="1">
      <c r="A54" s="40" t="s">
        <v>382</v>
      </c>
      <c r="B54" s="47">
        <v>0</v>
      </c>
      <c r="C54" s="9"/>
    </row>
    <row r="55" spans="1:3" ht="24" customHeight="1">
      <c r="A55" s="40" t="s">
        <v>383</v>
      </c>
      <c r="B55" s="47">
        <v>8098.36</v>
      </c>
      <c r="C55" s="9"/>
    </row>
    <row r="56" spans="1:3" ht="24" customHeight="1">
      <c r="A56" s="40" t="s">
        <v>384</v>
      </c>
      <c r="B56" s="47">
        <v>4075.75</v>
      </c>
      <c r="C56" s="9"/>
    </row>
    <row r="57" spans="1:3" ht="24" customHeight="1">
      <c r="A57" s="173"/>
      <c r="B57" s="46"/>
      <c r="C57" s="9"/>
    </row>
    <row r="58" spans="1:3" ht="24" customHeight="1">
      <c r="A58" s="170" t="s">
        <v>385</v>
      </c>
      <c r="B58" s="174" t="s">
        <v>386</v>
      </c>
      <c r="C58" s="9"/>
    </row>
    <row r="59" spans="1:3" ht="24" customHeight="1">
      <c r="A59" s="40" t="s">
        <v>374</v>
      </c>
      <c r="B59" s="47">
        <v>84</v>
      </c>
      <c r="C59" s="9"/>
    </row>
    <row r="60" spans="1:3" ht="24" customHeight="1">
      <c r="A60" s="40" t="s">
        <v>375</v>
      </c>
      <c r="B60" s="47">
        <v>180615.73</v>
      </c>
      <c r="C60" s="9"/>
    </row>
    <row r="61" spans="1:3" ht="24" customHeight="1">
      <c r="A61" s="171" t="s">
        <v>376</v>
      </c>
      <c r="B61" s="47">
        <v>60.71</v>
      </c>
      <c r="C61" s="9"/>
    </row>
    <row r="62" spans="1:3" ht="24" customHeight="1">
      <c r="A62" s="40" t="s">
        <v>377</v>
      </c>
      <c r="B62" s="47">
        <v>60</v>
      </c>
      <c r="C62" s="9"/>
    </row>
    <row r="63" spans="1:3" ht="24" customHeight="1">
      <c r="A63" s="40" t="s">
        <v>378</v>
      </c>
      <c r="B63" s="47">
        <v>0</v>
      </c>
      <c r="C63" s="9"/>
    </row>
    <row r="64" spans="1:3" ht="24" customHeight="1">
      <c r="A64" s="40" t="s">
        <v>379</v>
      </c>
      <c r="B64" s="47">
        <v>0</v>
      </c>
      <c r="C64" s="9"/>
    </row>
    <row r="65" spans="1:3" ht="24" customHeight="1">
      <c r="A65" s="40" t="s">
        <v>380</v>
      </c>
      <c r="B65" s="47">
        <v>0</v>
      </c>
      <c r="C65" s="9"/>
    </row>
    <row r="66" spans="1:3" ht="24" customHeight="1">
      <c r="A66" s="40" t="s">
        <v>381</v>
      </c>
      <c r="B66" s="47">
        <v>0</v>
      </c>
      <c r="C66" s="9"/>
    </row>
    <row r="67" spans="1:3" ht="24" customHeight="1">
      <c r="A67" s="40" t="s">
        <v>382</v>
      </c>
      <c r="B67" s="47">
        <v>0</v>
      </c>
      <c r="C67" s="9"/>
    </row>
    <row r="68" spans="1:3" ht="24" customHeight="1">
      <c r="A68" s="40" t="s">
        <v>383</v>
      </c>
      <c r="B68" s="47">
        <v>124.57</v>
      </c>
      <c r="C68" s="9"/>
    </row>
    <row r="69" spans="1:3" ht="24" customHeight="1">
      <c r="A69" s="40" t="s">
        <v>384</v>
      </c>
      <c r="B69" s="47">
        <v>60</v>
      </c>
      <c r="C69" s="9"/>
    </row>
    <row r="70" spans="1:3" ht="24" customHeight="1">
      <c r="A70" s="173"/>
      <c r="B70" s="46"/>
      <c r="C70" s="9"/>
    </row>
    <row r="71" spans="1:3" ht="24" customHeight="1">
      <c r="A71" s="170" t="s">
        <v>387</v>
      </c>
      <c r="B71" s="174" t="s">
        <v>388</v>
      </c>
      <c r="C71" s="9"/>
    </row>
    <row r="72" spans="1:3" ht="24" customHeight="1">
      <c r="A72" s="40" t="s">
        <v>374</v>
      </c>
      <c r="B72" s="47">
        <v>198</v>
      </c>
      <c r="C72" s="9"/>
    </row>
    <row r="73" spans="1:3" ht="24" customHeight="1">
      <c r="A73" s="40" t="s">
        <v>375</v>
      </c>
      <c r="B73" s="47">
        <v>86700.27</v>
      </c>
      <c r="C73" s="9"/>
    </row>
    <row r="74" spans="1:3" ht="24" customHeight="1">
      <c r="A74" s="171" t="s">
        <v>376</v>
      </c>
      <c r="B74" s="47">
        <v>24.56</v>
      </c>
      <c r="C74" s="9"/>
    </row>
    <row r="75" spans="1:3" ht="24" customHeight="1">
      <c r="A75" s="40" t="s">
        <v>377</v>
      </c>
      <c r="B75" s="47">
        <v>18</v>
      </c>
      <c r="C75" s="9"/>
    </row>
    <row r="76" spans="1:3" ht="24" customHeight="1">
      <c r="A76" s="40" t="s">
        <v>378</v>
      </c>
      <c r="B76" s="47">
        <v>0</v>
      </c>
      <c r="C76" s="9"/>
    </row>
    <row r="77" spans="1:3" ht="24" customHeight="1">
      <c r="A77" s="40" t="s">
        <v>379</v>
      </c>
      <c r="B77" s="47">
        <v>0</v>
      </c>
      <c r="C77" s="9"/>
    </row>
    <row r="78" spans="1:3" ht="24" customHeight="1">
      <c r="A78" s="40" t="s">
        <v>380</v>
      </c>
      <c r="B78" s="47">
        <v>0</v>
      </c>
    </row>
    <row r="79" spans="1:3" ht="24" customHeight="1">
      <c r="A79" s="40" t="s">
        <v>381</v>
      </c>
      <c r="B79" s="47">
        <v>0</v>
      </c>
    </row>
    <row r="80" spans="1:3" ht="24" customHeight="1">
      <c r="A80" s="40" t="s">
        <v>382</v>
      </c>
      <c r="B80" s="47">
        <v>0</v>
      </c>
    </row>
    <row r="81" spans="1:2" ht="24" customHeight="1">
      <c r="A81" s="40" t="s">
        <v>383</v>
      </c>
      <c r="B81" s="47">
        <v>59.97</v>
      </c>
    </row>
    <row r="82" spans="1:2" ht="24" customHeight="1">
      <c r="A82" s="40" t="s">
        <v>384</v>
      </c>
      <c r="B82" s="47">
        <v>18</v>
      </c>
    </row>
    <row r="83" spans="1:2" ht="24" customHeight="1">
      <c r="A83" s="173"/>
      <c r="B83" s="46"/>
    </row>
    <row r="84" spans="1:2" ht="24" customHeight="1">
      <c r="A84" s="170" t="s">
        <v>389</v>
      </c>
      <c r="B84" s="174" t="s">
        <v>390</v>
      </c>
    </row>
    <row r="85" spans="1:2" ht="24" customHeight="1">
      <c r="A85" s="40" t="s">
        <v>374</v>
      </c>
      <c r="B85" s="47">
        <v>67</v>
      </c>
    </row>
    <row r="86" spans="1:2" ht="24" customHeight="1">
      <c r="A86" s="40" t="s">
        <v>375</v>
      </c>
      <c r="B86" s="47">
        <v>40099.15</v>
      </c>
    </row>
    <row r="87" spans="1:2" ht="24" customHeight="1">
      <c r="A87" s="171" t="s">
        <v>376</v>
      </c>
      <c r="B87" s="47">
        <v>5.8</v>
      </c>
    </row>
    <row r="88" spans="1:2" ht="24" customHeight="1">
      <c r="A88" s="40" t="s">
        <v>377</v>
      </c>
      <c r="B88" s="47">
        <v>3</v>
      </c>
    </row>
    <row r="89" spans="1:2" ht="24" customHeight="1">
      <c r="A89" s="40" t="s">
        <v>378</v>
      </c>
      <c r="B89" s="47">
        <v>0</v>
      </c>
    </row>
    <row r="90" spans="1:2" ht="24" customHeight="1">
      <c r="A90" s="40" t="s">
        <v>379</v>
      </c>
      <c r="B90" s="47">
        <v>0</v>
      </c>
    </row>
    <row r="91" spans="1:2" ht="24" customHeight="1">
      <c r="A91" s="40" t="s">
        <v>380</v>
      </c>
      <c r="B91" s="47">
        <v>0</v>
      </c>
    </row>
    <row r="92" spans="1:2" ht="24" customHeight="1">
      <c r="A92" s="40" t="s">
        <v>381</v>
      </c>
      <c r="B92" s="47">
        <v>0</v>
      </c>
    </row>
    <row r="93" spans="1:2" ht="23.25">
      <c r="A93" s="40" t="s">
        <v>382</v>
      </c>
      <c r="B93" s="47">
        <v>0</v>
      </c>
    </row>
    <row r="94" spans="1:2" ht="24" customHeight="1">
      <c r="A94" s="40" t="s">
        <v>383</v>
      </c>
      <c r="B94" s="47">
        <v>18</v>
      </c>
    </row>
    <row r="95" spans="1:2" ht="24" customHeight="1">
      <c r="A95" s="40" t="s">
        <v>384</v>
      </c>
      <c r="B95" s="47">
        <v>3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J95"/>
  <sheetViews>
    <sheetView workbookViewId="0">
      <pane xSplit="2" ySplit="7" topLeftCell="C40" activePane="bottomRight" state="frozen"/>
      <selection pane="topRight" activeCell="C1" sqref="C1"/>
      <selection pane="bottomLeft" activeCell="A20" sqref="A20"/>
      <selection pane="bottomRight" activeCell="B45" sqref="B45"/>
    </sheetView>
  </sheetViews>
  <sheetFormatPr defaultColWidth="11" defaultRowHeight="14.25"/>
  <cols>
    <col min="1" max="1" width="49.28515625" style="1" customWidth="1"/>
    <col min="2" max="2" width="29.5703125" style="2" bestFit="1" customWidth="1"/>
    <col min="3" max="3" width="20.425781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15">
      <c r="A4" s="6" t="s">
        <v>4</v>
      </c>
      <c r="B4" s="10">
        <v>1</v>
      </c>
      <c r="C4" s="9"/>
    </row>
    <row r="5" spans="1:10">
      <c r="B5" s="37" t="s">
        <v>369</v>
      </c>
      <c r="C5" s="9"/>
    </row>
    <row r="6" spans="1:10" ht="23.25">
      <c r="A6" s="11" t="s">
        <v>5</v>
      </c>
      <c r="B6" s="38">
        <v>103</v>
      </c>
      <c r="C6" s="9"/>
    </row>
    <row r="7" spans="1:10" ht="36">
      <c r="A7" s="12" t="s">
        <v>6</v>
      </c>
      <c r="B7" s="507" t="s">
        <v>832</v>
      </c>
      <c r="C7" s="9"/>
    </row>
    <row r="8" spans="1:10" ht="23.25">
      <c r="A8" s="40" t="s">
        <v>76</v>
      </c>
      <c r="B8" s="41">
        <v>15326.74</v>
      </c>
      <c r="C8" s="14"/>
    </row>
    <row r="9" spans="1:10" ht="23.25">
      <c r="A9" s="40" t="s">
        <v>333</v>
      </c>
      <c r="B9" s="41">
        <v>13279.5</v>
      </c>
      <c r="C9" s="14"/>
    </row>
    <row r="10" spans="1:10" ht="23.25">
      <c r="A10" s="40" t="s">
        <v>334</v>
      </c>
      <c r="B10" s="41">
        <v>13279.5</v>
      </c>
      <c r="C10" s="14"/>
    </row>
    <row r="11" spans="1:10" ht="23.25">
      <c r="A11" s="40" t="s">
        <v>90</v>
      </c>
      <c r="B11" s="41">
        <v>5111</v>
      </c>
      <c r="C11" s="14"/>
    </row>
    <row r="12" spans="1:10" ht="23.25">
      <c r="A12" s="40" t="s">
        <v>335</v>
      </c>
      <c r="B12" s="41">
        <v>0</v>
      </c>
      <c r="C12" s="14"/>
    </row>
    <row r="13" spans="1:10" ht="23.25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3.25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3.25">
      <c r="A15" s="40" t="s">
        <v>338</v>
      </c>
      <c r="B15" s="41">
        <v>28628</v>
      </c>
      <c r="C15" s="9"/>
      <c r="D15" s="16"/>
      <c r="E15" s="16"/>
      <c r="F15" s="16"/>
      <c r="G15" s="16"/>
    </row>
    <row r="16" spans="1:10" ht="23.25">
      <c r="A16" s="40" t="s">
        <v>339</v>
      </c>
      <c r="B16" s="41">
        <v>8263</v>
      </c>
      <c r="C16" s="9"/>
      <c r="D16" s="16"/>
      <c r="E16" s="16"/>
      <c r="F16" s="16"/>
      <c r="G16" s="16"/>
    </row>
    <row r="17" spans="1:7" ht="23.25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3.25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3.25">
      <c r="A19" s="40" t="s">
        <v>342</v>
      </c>
      <c r="B19" s="553">
        <v>67</v>
      </c>
      <c r="C19" s="9"/>
    </row>
    <row r="20" spans="1:7" ht="23.25">
      <c r="A20" s="40" t="s">
        <v>343</v>
      </c>
      <c r="B20" s="553">
        <v>414</v>
      </c>
      <c r="C20" s="9"/>
    </row>
    <row r="21" spans="1:7" ht="23.25">
      <c r="A21" s="40" t="s">
        <v>72</v>
      </c>
      <c r="B21" s="41">
        <v>0</v>
      </c>
      <c r="C21" s="9"/>
    </row>
    <row r="22" spans="1:7" ht="23.25">
      <c r="A22" s="40" t="s">
        <v>344</v>
      </c>
      <c r="B22" s="41">
        <v>0</v>
      </c>
      <c r="C22" s="9"/>
    </row>
    <row r="23" spans="1:7" ht="23.25">
      <c r="A23" s="158" t="s">
        <v>71</v>
      </c>
      <c r="B23" s="160">
        <v>9354.67</v>
      </c>
      <c r="C23" s="160">
        <f>B23-B41</f>
        <v>4243.67</v>
      </c>
      <c r="F23" s="43">
        <f>+B23-B41</f>
        <v>4243.67</v>
      </c>
    </row>
    <row r="24" spans="1:7" ht="23.25">
      <c r="A24" s="158" t="s">
        <v>81</v>
      </c>
      <c r="B24" s="160">
        <v>7307.43</v>
      </c>
      <c r="C24" s="162"/>
    </row>
    <row r="25" spans="1:7" ht="23.25">
      <c r="A25" s="40" t="s">
        <v>345</v>
      </c>
      <c r="B25" s="41">
        <v>3272.9</v>
      </c>
      <c r="C25" s="9"/>
    </row>
    <row r="26" spans="1:7" ht="23.25">
      <c r="A26" s="40" t="s">
        <v>346</v>
      </c>
      <c r="B26" s="41">
        <v>78.64</v>
      </c>
      <c r="C26" s="9"/>
    </row>
    <row r="27" spans="1:7" ht="23.25">
      <c r="A27" s="40" t="s">
        <v>347</v>
      </c>
      <c r="B27" s="41">
        <v>78.64</v>
      </c>
      <c r="C27" s="9"/>
    </row>
    <row r="28" spans="1:7" ht="23.25">
      <c r="A28" s="40" t="s">
        <v>348</v>
      </c>
      <c r="B28" s="45">
        <v>0</v>
      </c>
      <c r="C28" s="20"/>
    </row>
    <row r="29" spans="1:7" ht="23.25">
      <c r="A29" s="40" t="s">
        <v>349</v>
      </c>
      <c r="B29" s="45">
        <v>0</v>
      </c>
      <c r="C29" s="9"/>
    </row>
    <row r="30" spans="1:7" ht="23.25">
      <c r="A30" s="40" t="s">
        <v>350</v>
      </c>
      <c r="B30" s="45">
        <v>286</v>
      </c>
      <c r="C30" s="9"/>
    </row>
    <row r="31" spans="1:7" ht="23.25">
      <c r="A31" s="40" t="s">
        <v>351</v>
      </c>
      <c r="B31" s="45">
        <v>0</v>
      </c>
      <c r="C31" s="24"/>
    </row>
    <row r="32" spans="1:7" ht="23.25">
      <c r="A32" s="40" t="s">
        <v>352</v>
      </c>
      <c r="B32" s="45">
        <v>17</v>
      </c>
      <c r="C32" s="9"/>
    </row>
    <row r="33" spans="1:62" ht="23.25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3.25">
      <c r="A34" s="40" t="s">
        <v>354</v>
      </c>
      <c r="B34" s="45">
        <v>213</v>
      </c>
      <c r="C34" s="27"/>
    </row>
    <row r="35" spans="1:62" ht="23.25">
      <c r="A35" s="40" t="s">
        <v>355</v>
      </c>
      <c r="B35" s="45">
        <f>B34</f>
        <v>213</v>
      </c>
      <c r="C35" s="9"/>
    </row>
    <row r="36" spans="1:62" ht="23.25">
      <c r="A36" s="40" t="s">
        <v>356</v>
      </c>
      <c r="B36" s="45">
        <v>172</v>
      </c>
      <c r="C36" s="9"/>
    </row>
    <row r="37" spans="1:62" ht="23.25">
      <c r="A37" s="40" t="s">
        <v>357</v>
      </c>
      <c r="B37" s="44">
        <v>0</v>
      </c>
      <c r="C37" s="9"/>
    </row>
    <row r="38" spans="1:62" ht="23.25">
      <c r="A38" s="40" t="s">
        <v>358</v>
      </c>
      <c r="B38" s="41">
        <v>0</v>
      </c>
      <c r="C38" s="9"/>
    </row>
    <row r="39" spans="1:62" ht="23.25">
      <c r="A39" s="40" t="s">
        <v>359</v>
      </c>
      <c r="B39" s="41">
        <v>0</v>
      </c>
      <c r="C39" s="9"/>
    </row>
    <row r="40" spans="1:62" ht="23.25">
      <c r="A40" s="40" t="s">
        <v>360</v>
      </c>
      <c r="B40" s="44">
        <v>0</v>
      </c>
      <c r="C40" s="9"/>
    </row>
    <row r="41" spans="1:62" ht="23.25">
      <c r="A41" s="165" t="s">
        <v>361</v>
      </c>
      <c r="B41" s="166">
        <v>5111</v>
      </c>
      <c r="C41" s="24"/>
    </row>
    <row r="42" spans="1:62" ht="23.25">
      <c r="A42" s="40" t="s">
        <v>362</v>
      </c>
      <c r="B42" s="133">
        <v>184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3.25">
      <c r="B43" s="167">
        <v>0</v>
      </c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3.25">
      <c r="A44" s="168"/>
      <c r="B44" s="16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170"/>
      <c r="B45" s="169"/>
    </row>
    <row r="46" spans="1:62" ht="23.25">
      <c r="A46" s="173"/>
      <c r="B46" s="46"/>
    </row>
    <row r="47" spans="1:62" ht="23.25">
      <c r="A47" s="173"/>
      <c r="B47" s="46"/>
    </row>
    <row r="48" spans="1:62" ht="23.25">
      <c r="A48" s="175"/>
      <c r="B48" s="46"/>
    </row>
    <row r="49" spans="1:3" ht="23.25">
      <c r="A49" s="173"/>
      <c r="B49" s="46"/>
    </row>
    <row r="50" spans="1:3" ht="23.25">
      <c r="A50" s="173"/>
      <c r="B50" s="46"/>
    </row>
    <row r="51" spans="1:3" ht="23.25">
      <c r="A51" s="173"/>
      <c r="B51" s="46"/>
    </row>
    <row r="52" spans="1:3" ht="23.25">
      <c r="A52" s="173"/>
      <c r="B52" s="46"/>
      <c r="C52" s="172"/>
    </row>
    <row r="53" spans="1:3" ht="23.25">
      <c r="A53" s="173"/>
      <c r="B53" s="46"/>
    </row>
    <row r="54" spans="1:3" ht="23.25">
      <c r="A54" s="173"/>
      <c r="B54" s="46"/>
    </row>
    <row r="55" spans="1:3" ht="23.25">
      <c r="A55" s="173"/>
      <c r="B55" s="46"/>
    </row>
    <row r="56" spans="1:3" ht="23.25">
      <c r="A56" s="173"/>
      <c r="B56" s="46"/>
    </row>
    <row r="57" spans="1:3" ht="23.25">
      <c r="A57" s="173"/>
      <c r="B57" s="46"/>
    </row>
    <row r="58" spans="1:3" ht="23.25">
      <c r="A58" s="170"/>
      <c r="B58" s="174"/>
    </row>
    <row r="59" spans="1:3" ht="23.25">
      <c r="A59" s="173"/>
      <c r="B59" s="46"/>
    </row>
    <row r="60" spans="1:3" ht="23.25">
      <c r="A60" s="173"/>
      <c r="B60" s="46"/>
    </row>
    <row r="61" spans="1:3" ht="23.25">
      <c r="A61" s="175"/>
      <c r="B61" s="46"/>
    </row>
    <row r="62" spans="1:3" ht="23.25">
      <c r="A62" s="173"/>
      <c r="B62" s="46"/>
    </row>
    <row r="63" spans="1:3" ht="23.25">
      <c r="A63" s="173"/>
      <c r="B63" s="46"/>
    </row>
    <row r="64" spans="1:3" ht="23.25">
      <c r="A64" s="173"/>
      <c r="B64" s="46"/>
    </row>
    <row r="65" spans="1:2" ht="23.25">
      <c r="A65" s="173"/>
      <c r="B65" s="46"/>
    </row>
    <row r="66" spans="1:2" ht="23.25">
      <c r="A66" s="173"/>
      <c r="B66" s="46"/>
    </row>
    <row r="67" spans="1:2" ht="23.25">
      <c r="A67" s="173"/>
      <c r="B67" s="46"/>
    </row>
    <row r="68" spans="1:2" ht="23.25">
      <c r="A68" s="173"/>
      <c r="B68" s="46"/>
    </row>
    <row r="69" spans="1:2" ht="23.25">
      <c r="A69" s="173"/>
      <c r="B69" s="46"/>
    </row>
    <row r="70" spans="1:2" ht="23.25">
      <c r="A70" s="173"/>
      <c r="B70" s="46"/>
    </row>
    <row r="71" spans="1:2" ht="23.25">
      <c r="A71" s="170"/>
      <c r="B71" s="174"/>
    </row>
    <row r="72" spans="1:2" ht="23.25">
      <c r="A72" s="173"/>
      <c r="B72" s="46"/>
    </row>
    <row r="73" spans="1:2" ht="23.25">
      <c r="A73" s="173"/>
      <c r="B73" s="46"/>
    </row>
    <row r="74" spans="1:2" ht="23.25">
      <c r="A74" s="175"/>
      <c r="B74" s="46"/>
    </row>
    <row r="75" spans="1:2" ht="23.25">
      <c r="A75" s="173"/>
      <c r="B75" s="46"/>
    </row>
    <row r="76" spans="1:2" ht="23.25">
      <c r="A76" s="173"/>
      <c r="B76" s="46"/>
    </row>
    <row r="77" spans="1:2" ht="23.25">
      <c r="A77" s="173"/>
      <c r="B77" s="46"/>
    </row>
    <row r="78" spans="1:2" ht="23.25">
      <c r="A78" s="173"/>
      <c r="B78" s="46"/>
    </row>
    <row r="79" spans="1:2" ht="23.25">
      <c r="A79" s="173"/>
      <c r="B79" s="46"/>
    </row>
    <row r="80" spans="1:2" ht="23.25">
      <c r="A80" s="173"/>
      <c r="B80" s="46"/>
    </row>
    <row r="81" spans="1:2" ht="23.25">
      <c r="A81" s="173"/>
      <c r="B81" s="46"/>
    </row>
    <row r="82" spans="1:2" ht="23.25">
      <c r="A82" s="173"/>
      <c r="B82" s="46"/>
    </row>
    <row r="83" spans="1:2" ht="23.25">
      <c r="A83" s="173"/>
      <c r="B83" s="46"/>
    </row>
    <row r="84" spans="1:2" ht="23.25">
      <c r="A84" s="170"/>
      <c r="B84" s="174"/>
    </row>
    <row r="85" spans="1:2" ht="23.25">
      <c r="A85" s="173"/>
      <c r="B85" s="46"/>
    </row>
    <row r="86" spans="1:2" ht="23.25">
      <c r="A86" s="173"/>
      <c r="B86" s="46"/>
    </row>
    <row r="87" spans="1:2" ht="23.25">
      <c r="A87" s="175"/>
      <c r="B87" s="46"/>
    </row>
    <row r="88" spans="1:2" ht="23.25">
      <c r="A88" s="173"/>
      <c r="B88" s="46"/>
    </row>
    <row r="89" spans="1:2" ht="23.25">
      <c r="A89" s="173"/>
      <c r="B89" s="46"/>
    </row>
    <row r="90" spans="1:2" ht="23.25">
      <c r="A90" s="173"/>
      <c r="B90" s="46"/>
    </row>
    <row r="91" spans="1:2" ht="23.25">
      <c r="A91" s="173"/>
      <c r="B91" s="46"/>
    </row>
    <row r="92" spans="1:2" ht="23.25">
      <c r="A92" s="173"/>
      <c r="B92" s="46"/>
    </row>
    <row r="93" spans="1:2" ht="23.25">
      <c r="A93" s="173"/>
      <c r="B93" s="46"/>
    </row>
    <row r="94" spans="1:2" ht="23.25">
      <c r="A94" s="173"/>
      <c r="B94" s="46"/>
    </row>
    <row r="95" spans="1:2" ht="23.25">
      <c r="A95" s="173"/>
      <c r="B95" s="4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J95"/>
  <sheetViews>
    <sheetView workbookViewId="0">
      <pane xSplit="3" ySplit="7" topLeftCell="D38" activePane="bottomRight" state="frozen"/>
      <selection pane="topRight" activeCell="D1" sqref="D1"/>
      <selection pane="bottomLeft" activeCell="A20" sqref="A20"/>
      <selection pane="bottomRight" activeCell="B43" sqref="B43"/>
    </sheetView>
  </sheetViews>
  <sheetFormatPr defaultColWidth="11" defaultRowHeight="14.25"/>
  <cols>
    <col min="1" max="1" width="49.28515625" style="1" customWidth="1"/>
    <col min="2" max="2" width="29.5703125" style="2" bestFit="1" customWidth="1"/>
    <col min="3" max="3" width="20.425781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15">
      <c r="A4" s="6" t="s">
        <v>4</v>
      </c>
      <c r="B4" s="10">
        <v>1</v>
      </c>
      <c r="C4" s="9"/>
    </row>
    <row r="5" spans="1:10">
      <c r="B5" s="37" t="s">
        <v>369</v>
      </c>
      <c r="C5" s="9"/>
    </row>
    <row r="6" spans="1:10" ht="23.25">
      <c r="A6" s="11" t="s">
        <v>5</v>
      </c>
      <c r="B6" s="38">
        <v>102</v>
      </c>
      <c r="C6" s="9"/>
    </row>
    <row r="7" spans="1:10" ht="36">
      <c r="A7" s="12" t="s">
        <v>6</v>
      </c>
      <c r="B7" s="507" t="s">
        <v>833</v>
      </c>
      <c r="C7" s="9"/>
    </row>
    <row r="8" spans="1:10" ht="23.25">
      <c r="A8" s="40" t="s">
        <v>76</v>
      </c>
      <c r="B8" s="41">
        <v>262883.34000000003</v>
      </c>
      <c r="C8" s="14"/>
    </row>
    <row r="9" spans="1:10" ht="23.25">
      <c r="A9" s="40" t="s">
        <v>333</v>
      </c>
      <c r="B9" s="41">
        <v>241402.82</v>
      </c>
      <c r="C9" s="14"/>
    </row>
    <row r="10" spans="1:10" ht="23.25">
      <c r="A10" s="40" t="s">
        <v>334</v>
      </c>
      <c r="B10" s="41">
        <v>249557.36</v>
      </c>
      <c r="C10" s="14"/>
    </row>
    <row r="11" spans="1:10" ht="23.25">
      <c r="A11" s="40" t="s">
        <v>90</v>
      </c>
      <c r="B11" s="41">
        <v>51660</v>
      </c>
      <c r="C11" s="14"/>
    </row>
    <row r="12" spans="1:10" ht="23.25">
      <c r="A12" s="40" t="s">
        <v>335</v>
      </c>
      <c r="B12" s="41">
        <v>0</v>
      </c>
      <c r="C12" s="14"/>
    </row>
    <row r="13" spans="1:10" ht="23.25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3.25">
      <c r="A14" s="40" t="s">
        <v>337</v>
      </c>
      <c r="B14" s="41">
        <v>8154.54</v>
      </c>
      <c r="C14" s="9"/>
      <c r="D14" s="16"/>
      <c r="E14" s="16"/>
      <c r="F14" s="16"/>
      <c r="G14" s="16"/>
    </row>
    <row r="15" spans="1:10" ht="23.25">
      <c r="A15" s="40" t="s">
        <v>338</v>
      </c>
      <c r="B15" s="45">
        <v>242545</v>
      </c>
      <c r="C15" s="9"/>
      <c r="D15" s="16"/>
      <c r="E15" s="16"/>
      <c r="F15" s="16"/>
      <c r="G15" s="16"/>
    </row>
    <row r="16" spans="1:10" ht="23.25">
      <c r="A16" s="40" t="s">
        <v>339</v>
      </c>
      <c r="B16" s="45">
        <v>62445</v>
      </c>
      <c r="C16" s="9"/>
      <c r="D16" s="16"/>
      <c r="E16" s="16"/>
      <c r="F16" s="16"/>
      <c r="G16" s="16"/>
    </row>
    <row r="17" spans="1:7" ht="23.25">
      <c r="A17" s="40" t="s">
        <v>340</v>
      </c>
      <c r="B17" s="41">
        <v>80.540000000000006</v>
      </c>
      <c r="C17" s="9"/>
      <c r="D17" s="16"/>
      <c r="E17" s="16"/>
      <c r="F17" s="16"/>
      <c r="G17" s="16"/>
    </row>
    <row r="18" spans="1:7" ht="23.25">
      <c r="A18" s="40" t="s">
        <v>341</v>
      </c>
      <c r="B18" s="41">
        <v>8154.54</v>
      </c>
      <c r="C18" s="9"/>
      <c r="D18" s="16"/>
      <c r="E18" s="16"/>
      <c r="F18" s="16"/>
      <c r="G18" s="16"/>
    </row>
    <row r="19" spans="1:7" ht="23.25">
      <c r="A19" s="40" t="s">
        <v>342</v>
      </c>
      <c r="B19" s="45">
        <v>602</v>
      </c>
      <c r="C19" s="9"/>
    </row>
    <row r="20" spans="1:7" ht="23.25">
      <c r="A20" s="40" t="s">
        <v>343</v>
      </c>
      <c r="B20" s="45">
        <v>1872</v>
      </c>
      <c r="C20" s="9"/>
    </row>
    <row r="21" spans="1:7" ht="23.25">
      <c r="A21" s="40" t="s">
        <v>72</v>
      </c>
      <c r="B21" s="41">
        <v>0</v>
      </c>
      <c r="C21" s="9"/>
    </row>
    <row r="22" spans="1:7" ht="23.25">
      <c r="A22" s="40" t="s">
        <v>344</v>
      </c>
      <c r="B22" s="41">
        <v>0</v>
      </c>
      <c r="C22" s="9"/>
    </row>
    <row r="23" spans="1:7" ht="23.25">
      <c r="A23" s="158" t="s">
        <v>71</v>
      </c>
      <c r="B23" s="160">
        <v>103367.12</v>
      </c>
      <c r="C23" s="160">
        <f>B23-B41</f>
        <v>51707.119999999995</v>
      </c>
      <c r="F23" s="43">
        <f>+B23-B41</f>
        <v>51707.119999999995</v>
      </c>
    </row>
    <row r="24" spans="1:7" ht="23.25">
      <c r="A24" s="158" t="s">
        <v>81</v>
      </c>
      <c r="B24" s="160">
        <v>90041.14</v>
      </c>
      <c r="C24" s="162"/>
    </row>
    <row r="25" spans="1:7" ht="23.25">
      <c r="A25" s="40" t="s">
        <v>345</v>
      </c>
      <c r="B25" s="41">
        <v>45973.82</v>
      </c>
      <c r="C25" s="9"/>
    </row>
    <row r="26" spans="1:7" ht="23.25">
      <c r="A26" s="40" t="s">
        <v>346</v>
      </c>
      <c r="B26" s="41">
        <v>82.51</v>
      </c>
      <c r="C26" s="9"/>
    </row>
    <row r="27" spans="1:7" ht="23.25">
      <c r="A27" s="40" t="s">
        <v>347</v>
      </c>
      <c r="B27" s="41">
        <f>B26</f>
        <v>82.51</v>
      </c>
      <c r="C27" s="9"/>
    </row>
    <row r="28" spans="1:7" ht="23.25">
      <c r="A28" s="40" t="s">
        <v>348</v>
      </c>
      <c r="B28" s="45">
        <v>0</v>
      </c>
      <c r="C28" s="20"/>
    </row>
    <row r="29" spans="1:7" ht="23.25">
      <c r="A29" s="40" t="s">
        <v>349</v>
      </c>
      <c r="B29" s="45">
        <v>0</v>
      </c>
      <c r="C29" s="9"/>
    </row>
    <row r="30" spans="1:7" ht="23.25">
      <c r="A30" s="40" t="s">
        <v>350</v>
      </c>
      <c r="B30" s="45">
        <v>480</v>
      </c>
      <c r="C30" s="9"/>
    </row>
    <row r="31" spans="1:7" ht="23.25">
      <c r="A31" s="40" t="s">
        <v>351</v>
      </c>
      <c r="B31" s="45">
        <v>0</v>
      </c>
      <c r="C31" s="24"/>
    </row>
    <row r="32" spans="1:7" ht="23.25">
      <c r="A32" s="40" t="s">
        <v>352</v>
      </c>
      <c r="B32" s="45">
        <v>220</v>
      </c>
      <c r="C32" s="9"/>
    </row>
    <row r="33" spans="1:62" ht="23.25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3.25">
      <c r="A34" s="40" t="s">
        <v>354</v>
      </c>
      <c r="B34" s="45">
        <v>12</v>
      </c>
      <c r="C34" s="27"/>
    </row>
    <row r="35" spans="1:62" ht="23.25">
      <c r="A35" s="40" t="s">
        <v>355</v>
      </c>
      <c r="B35" s="45">
        <v>12</v>
      </c>
      <c r="C35" s="9"/>
    </row>
    <row r="36" spans="1:62" ht="23.25">
      <c r="A36" s="40" t="s">
        <v>356</v>
      </c>
      <c r="B36" s="45">
        <v>539</v>
      </c>
      <c r="C36" s="9"/>
    </row>
    <row r="37" spans="1:62" ht="23.25">
      <c r="A37" s="40" t="s">
        <v>357</v>
      </c>
      <c r="B37" s="44">
        <v>0</v>
      </c>
      <c r="C37" s="9"/>
    </row>
    <row r="38" spans="1:62" ht="23.25">
      <c r="A38" s="40" t="s">
        <v>358</v>
      </c>
      <c r="B38" s="41">
        <v>1.1599999999999999</v>
      </c>
      <c r="C38" s="9"/>
    </row>
    <row r="39" spans="1:62" ht="23.25">
      <c r="A39" s="40" t="s">
        <v>359</v>
      </c>
      <c r="B39" s="41">
        <v>0.4</v>
      </c>
      <c r="C39" s="9"/>
    </row>
    <row r="40" spans="1:62" ht="23.25">
      <c r="A40" s="40" t="s">
        <v>360</v>
      </c>
      <c r="B40" s="44">
        <v>0.3448</v>
      </c>
      <c r="C40" s="9"/>
    </row>
    <row r="41" spans="1:62" ht="23.25">
      <c r="A41" s="165" t="s">
        <v>361</v>
      </c>
      <c r="B41" s="166">
        <v>51660</v>
      </c>
      <c r="C41" s="24"/>
    </row>
    <row r="42" spans="1:62" ht="23.25">
      <c r="A42" s="40" t="s">
        <v>362</v>
      </c>
      <c r="B42" s="133">
        <v>1467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3.25">
      <c r="B43" s="167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3.25">
      <c r="A44" s="168"/>
      <c r="B44" s="16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170"/>
      <c r="B45" s="169"/>
    </row>
    <row r="46" spans="1:62" ht="23.25">
      <c r="A46" s="173"/>
      <c r="B46" s="46"/>
    </row>
    <row r="47" spans="1:62" ht="23.25">
      <c r="A47" s="173"/>
      <c r="B47" s="46"/>
    </row>
    <row r="48" spans="1:62" ht="23.25">
      <c r="A48" s="175"/>
      <c r="B48" s="46"/>
    </row>
    <row r="49" spans="1:3" ht="23.25">
      <c r="A49" s="173"/>
      <c r="B49" s="46"/>
    </row>
    <row r="50" spans="1:3" ht="23.25">
      <c r="A50" s="173"/>
      <c r="B50" s="46"/>
    </row>
    <row r="51" spans="1:3" ht="23.25">
      <c r="A51" s="173"/>
      <c r="B51" s="46"/>
    </row>
    <row r="52" spans="1:3" ht="23.25">
      <c r="A52" s="173"/>
      <c r="B52" s="46"/>
      <c r="C52" s="172"/>
    </row>
    <row r="53" spans="1:3" ht="23.25">
      <c r="A53" s="173"/>
      <c r="B53" s="46"/>
    </row>
    <row r="54" spans="1:3" ht="23.25">
      <c r="A54" s="173"/>
      <c r="B54" s="46"/>
    </row>
    <row r="55" spans="1:3" ht="23.25">
      <c r="A55" s="173"/>
      <c r="B55" s="46"/>
    </row>
    <row r="56" spans="1:3" ht="23.25">
      <c r="A56" s="173"/>
      <c r="B56" s="46"/>
    </row>
    <row r="57" spans="1:3" ht="23.25">
      <c r="A57" s="173"/>
      <c r="B57" s="46"/>
    </row>
    <row r="58" spans="1:3" ht="23.25">
      <c r="A58" s="170"/>
      <c r="B58" s="174"/>
    </row>
    <row r="59" spans="1:3" ht="23.25">
      <c r="A59" s="173"/>
      <c r="B59" s="46"/>
    </row>
    <row r="60" spans="1:3" ht="23.25">
      <c r="A60" s="173"/>
      <c r="B60" s="46"/>
    </row>
    <row r="61" spans="1:3" ht="23.25">
      <c r="A61" s="175"/>
      <c r="B61" s="46"/>
    </row>
    <row r="62" spans="1:3" ht="23.25">
      <c r="A62" s="173"/>
      <c r="B62" s="46"/>
    </row>
    <row r="63" spans="1:3" ht="23.25">
      <c r="A63" s="173"/>
      <c r="B63" s="46"/>
    </row>
    <row r="64" spans="1:3" ht="23.25">
      <c r="A64" s="173"/>
      <c r="B64" s="46"/>
    </row>
    <row r="65" spans="1:2" ht="23.25">
      <c r="A65" s="173"/>
      <c r="B65" s="46"/>
    </row>
    <row r="66" spans="1:2" ht="23.25">
      <c r="A66" s="173"/>
      <c r="B66" s="46"/>
    </row>
    <row r="67" spans="1:2" ht="23.25">
      <c r="A67" s="173"/>
      <c r="B67" s="46"/>
    </row>
    <row r="68" spans="1:2" ht="23.25">
      <c r="A68" s="173"/>
      <c r="B68" s="46"/>
    </row>
    <row r="69" spans="1:2" ht="23.25">
      <c r="A69" s="173"/>
      <c r="B69" s="46"/>
    </row>
    <row r="70" spans="1:2" ht="23.25">
      <c r="A70" s="173"/>
      <c r="B70" s="46"/>
    </row>
    <row r="71" spans="1:2" ht="23.25">
      <c r="A71" s="170"/>
      <c r="B71" s="174"/>
    </row>
    <row r="72" spans="1:2" ht="23.25">
      <c r="A72" s="173"/>
      <c r="B72" s="46"/>
    </row>
    <row r="73" spans="1:2" ht="23.25">
      <c r="A73" s="173"/>
      <c r="B73" s="46"/>
    </row>
    <row r="74" spans="1:2" ht="23.25">
      <c r="A74" s="175"/>
      <c r="B74" s="46"/>
    </row>
    <row r="75" spans="1:2" ht="23.25">
      <c r="A75" s="173"/>
      <c r="B75" s="46"/>
    </row>
    <row r="76" spans="1:2" ht="23.25">
      <c r="A76" s="173"/>
      <c r="B76" s="46"/>
    </row>
    <row r="77" spans="1:2" ht="23.25">
      <c r="A77" s="173"/>
      <c r="B77" s="46"/>
    </row>
    <row r="78" spans="1:2" ht="23.25">
      <c r="A78" s="173"/>
      <c r="B78" s="46"/>
    </row>
    <row r="79" spans="1:2" ht="23.25">
      <c r="A79" s="173"/>
      <c r="B79" s="46"/>
    </row>
    <row r="80" spans="1:2" ht="23.25">
      <c r="A80" s="173"/>
      <c r="B80" s="46"/>
    </row>
    <row r="81" spans="1:2" ht="23.25">
      <c r="A81" s="173"/>
      <c r="B81" s="46"/>
    </row>
    <row r="82" spans="1:2" ht="23.25">
      <c r="A82" s="173"/>
      <c r="B82" s="46"/>
    </row>
    <row r="83" spans="1:2" ht="23.25">
      <c r="A83" s="173"/>
      <c r="B83" s="46"/>
    </row>
    <row r="84" spans="1:2" ht="23.25">
      <c r="A84" s="170"/>
      <c r="B84" s="174"/>
    </row>
    <row r="85" spans="1:2" ht="23.25">
      <c r="A85" s="173"/>
      <c r="B85" s="46"/>
    </row>
    <row r="86" spans="1:2" ht="23.25">
      <c r="A86" s="173"/>
      <c r="B86" s="46"/>
    </row>
    <row r="87" spans="1:2" ht="23.25">
      <c r="A87" s="175"/>
      <c r="B87" s="46"/>
    </row>
    <row r="88" spans="1:2" ht="23.25">
      <c r="A88" s="173"/>
      <c r="B88" s="46"/>
    </row>
    <row r="89" spans="1:2" ht="23.25">
      <c r="A89" s="173"/>
      <c r="B89" s="46"/>
    </row>
    <row r="90" spans="1:2" ht="23.25">
      <c r="A90" s="173"/>
      <c r="B90" s="46"/>
    </row>
    <row r="91" spans="1:2" ht="23.25">
      <c r="A91" s="173"/>
      <c r="B91" s="46"/>
    </row>
    <row r="92" spans="1:2" ht="23.25">
      <c r="A92" s="173"/>
      <c r="B92" s="46"/>
    </row>
    <row r="93" spans="1:2" ht="23.25">
      <c r="A93" s="173"/>
      <c r="B93" s="46"/>
    </row>
    <row r="94" spans="1:2" ht="23.25">
      <c r="A94" s="173"/>
      <c r="B94" s="46"/>
    </row>
    <row r="95" spans="1:2" ht="23.25">
      <c r="A95" s="173"/>
      <c r="B95" s="4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J96"/>
  <sheetViews>
    <sheetView workbookViewId="0">
      <pane xSplit="3" ySplit="7" topLeftCell="D39" activePane="bottomRight" state="frozen"/>
      <selection pane="topRight" activeCell="D1" sqref="D1"/>
      <selection pane="bottomLeft" activeCell="A20" sqref="A20"/>
      <selection pane="bottomRight" activeCell="B42" sqref="B42"/>
    </sheetView>
  </sheetViews>
  <sheetFormatPr defaultColWidth="11" defaultRowHeight="14.25"/>
  <cols>
    <col min="1" max="1" width="49.28515625" style="1" customWidth="1"/>
    <col min="2" max="2" width="29.5703125" style="2" bestFit="1" customWidth="1"/>
    <col min="3" max="3" width="20.425781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15">
      <c r="A4" s="6" t="s">
        <v>4</v>
      </c>
      <c r="B4" s="10">
        <v>1</v>
      </c>
      <c r="C4" s="9"/>
    </row>
    <row r="5" spans="1:10">
      <c r="B5" s="37" t="s">
        <v>369</v>
      </c>
      <c r="C5" s="9"/>
    </row>
    <row r="6" spans="1:10" ht="23.25">
      <c r="A6" s="11" t="s">
        <v>5</v>
      </c>
      <c r="B6" s="38">
        <v>101</v>
      </c>
      <c r="C6" s="9"/>
    </row>
    <row r="7" spans="1:10" ht="36">
      <c r="A7" s="12" t="s">
        <v>6</v>
      </c>
      <c r="B7" s="507" t="s">
        <v>832</v>
      </c>
      <c r="C7" s="9"/>
    </row>
    <row r="8" spans="1:10" ht="23.25">
      <c r="A8" s="40" t="s">
        <v>76</v>
      </c>
      <c r="B8" s="41">
        <v>120157.84</v>
      </c>
      <c r="C8" s="14"/>
    </row>
    <row r="9" spans="1:10" ht="23.25">
      <c r="A9" s="40" t="s">
        <v>333</v>
      </c>
      <c r="B9" s="41">
        <v>111148.9</v>
      </c>
      <c r="C9" s="14"/>
    </row>
    <row r="10" spans="1:10" ht="23.25">
      <c r="A10" s="40" t="s">
        <v>334</v>
      </c>
      <c r="B10" s="41">
        <v>121344.36</v>
      </c>
      <c r="C10" s="14"/>
    </row>
    <row r="11" spans="1:10" ht="23.25">
      <c r="A11" s="40" t="s">
        <v>90</v>
      </c>
      <c r="B11" s="41">
        <v>29577</v>
      </c>
      <c r="C11" s="14"/>
    </row>
    <row r="12" spans="1:10" ht="23.25">
      <c r="A12" s="40" t="s">
        <v>335</v>
      </c>
      <c r="B12" s="41">
        <v>0</v>
      </c>
      <c r="C12" s="14"/>
    </row>
    <row r="13" spans="1:10" ht="23.25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3.25">
      <c r="A14" s="40" t="s">
        <v>337</v>
      </c>
      <c r="B14" s="41">
        <v>10195.459999999999</v>
      </c>
      <c r="C14" s="9"/>
      <c r="D14" s="16"/>
      <c r="E14" s="16"/>
      <c r="F14" s="16"/>
      <c r="G14" s="16"/>
    </row>
    <row r="15" spans="1:10" ht="23.25">
      <c r="A15" s="40" t="s">
        <v>338</v>
      </c>
      <c r="B15" s="45">
        <v>86050</v>
      </c>
      <c r="C15" s="9"/>
      <c r="D15" s="16"/>
      <c r="E15" s="16"/>
      <c r="F15" s="16"/>
      <c r="G15" s="16"/>
    </row>
    <row r="16" spans="1:10" ht="23.25">
      <c r="A16" s="40" t="s">
        <v>339</v>
      </c>
      <c r="B16" s="45">
        <v>26370</v>
      </c>
      <c r="C16" s="9"/>
      <c r="D16" s="16"/>
      <c r="E16" s="16"/>
      <c r="F16" s="16"/>
      <c r="G16" s="16"/>
    </row>
    <row r="17" spans="1:7" ht="23.25">
      <c r="A17" s="40" t="s">
        <v>340</v>
      </c>
      <c r="B17" s="41">
        <v>92.4</v>
      </c>
      <c r="C17" s="9"/>
      <c r="D17" s="16"/>
      <c r="E17" s="16"/>
      <c r="F17" s="16"/>
      <c r="G17" s="16"/>
    </row>
    <row r="18" spans="1:7" ht="23.25">
      <c r="A18" s="40" t="s">
        <v>341</v>
      </c>
      <c r="B18" s="41">
        <v>10195.459999999999</v>
      </c>
      <c r="C18" s="9"/>
      <c r="D18" s="16"/>
      <c r="E18" s="16"/>
      <c r="F18" s="16"/>
      <c r="G18" s="16"/>
    </row>
    <row r="19" spans="1:7" ht="23.25">
      <c r="A19" s="40" t="s">
        <v>342</v>
      </c>
      <c r="B19" s="45">
        <v>245</v>
      </c>
      <c r="C19" s="9"/>
    </row>
    <row r="20" spans="1:7" ht="23.25">
      <c r="A20" s="40" t="s">
        <v>343</v>
      </c>
      <c r="B20" s="45">
        <v>943</v>
      </c>
      <c r="C20" s="9"/>
    </row>
    <row r="21" spans="1:7" ht="23.25">
      <c r="A21" s="40" t="s">
        <v>72</v>
      </c>
      <c r="B21" s="41">
        <v>0</v>
      </c>
      <c r="C21" s="9"/>
    </row>
    <row r="22" spans="1:7" ht="23.25">
      <c r="A22" s="40" t="s">
        <v>344</v>
      </c>
      <c r="B22" s="41">
        <v>0</v>
      </c>
      <c r="C22" s="9"/>
    </row>
    <row r="23" spans="1:7" ht="23.25">
      <c r="A23" s="158" t="s">
        <v>71</v>
      </c>
      <c r="B23" s="160">
        <v>51684</v>
      </c>
      <c r="C23" s="160">
        <f>B23-B41</f>
        <v>22107</v>
      </c>
      <c r="F23" s="43">
        <f>+B23-B41</f>
        <v>22107</v>
      </c>
    </row>
    <row r="24" spans="1:7" ht="23.25">
      <c r="A24" s="158" t="s">
        <v>81</v>
      </c>
      <c r="B24" s="160">
        <v>52870.52</v>
      </c>
      <c r="C24" s="162"/>
    </row>
    <row r="25" spans="1:7" ht="23.25">
      <c r="A25" s="40" t="s">
        <v>345</v>
      </c>
      <c r="B25" s="41">
        <v>21332.68</v>
      </c>
      <c r="C25" s="9"/>
    </row>
    <row r="26" spans="1:7" ht="23.25">
      <c r="A26" s="40" t="s">
        <v>346</v>
      </c>
      <c r="B26" s="44">
        <v>0.82240000000000002</v>
      </c>
      <c r="C26" s="9"/>
    </row>
    <row r="27" spans="1:7" ht="23.25">
      <c r="A27" s="40" t="s">
        <v>347</v>
      </c>
      <c r="B27" s="44">
        <f>B26</f>
        <v>0.82240000000000002</v>
      </c>
      <c r="C27" s="9"/>
    </row>
    <row r="28" spans="1:7" ht="23.25">
      <c r="A28" s="40" t="s">
        <v>348</v>
      </c>
      <c r="B28" s="45">
        <v>0</v>
      </c>
      <c r="C28" s="20"/>
    </row>
    <row r="29" spans="1:7" ht="23.25">
      <c r="A29" s="40" t="s">
        <v>349</v>
      </c>
      <c r="B29" s="45">
        <v>0</v>
      </c>
      <c r="C29" s="9"/>
    </row>
    <row r="30" spans="1:7" ht="23.25">
      <c r="A30" s="40" t="s">
        <v>350</v>
      </c>
      <c r="B30" s="45">
        <v>402</v>
      </c>
      <c r="C30" s="9"/>
    </row>
    <row r="31" spans="1:7" ht="23.25">
      <c r="A31" s="40" t="s">
        <v>351</v>
      </c>
      <c r="B31" s="45">
        <v>0</v>
      </c>
      <c r="C31" s="24"/>
    </row>
    <row r="32" spans="1:7" ht="23.25">
      <c r="A32" s="40" t="s">
        <v>352</v>
      </c>
      <c r="B32" s="45">
        <v>7</v>
      </c>
      <c r="C32" s="9"/>
    </row>
    <row r="33" spans="1:62" ht="23.25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3.25">
      <c r="A34" s="40" t="s">
        <v>354</v>
      </c>
      <c r="B34" s="45">
        <v>56</v>
      </c>
      <c r="C34" s="27"/>
    </row>
    <row r="35" spans="1:62" ht="23.25">
      <c r="A35" s="40" t="s">
        <v>355</v>
      </c>
      <c r="B35" s="45">
        <f>B34</f>
        <v>56</v>
      </c>
      <c r="C35" s="9"/>
    </row>
    <row r="36" spans="1:62" ht="23.25">
      <c r="A36" s="40" t="s">
        <v>356</v>
      </c>
      <c r="B36" s="45">
        <v>312</v>
      </c>
      <c r="C36" s="9"/>
    </row>
    <row r="37" spans="1:62" ht="23.25">
      <c r="A37" s="40" t="s">
        <v>357</v>
      </c>
      <c r="B37" s="44">
        <v>0</v>
      </c>
      <c r="C37" s="9"/>
    </row>
    <row r="38" spans="1:62" ht="23.25">
      <c r="A38" s="40" t="s">
        <v>358</v>
      </c>
      <c r="B38" s="41">
        <v>0</v>
      </c>
      <c r="C38" s="9"/>
    </row>
    <row r="39" spans="1:62" ht="23.25">
      <c r="A39" s="40" t="s">
        <v>359</v>
      </c>
      <c r="B39" s="41">
        <v>0</v>
      </c>
      <c r="C39" s="9"/>
    </row>
    <row r="40" spans="1:62" ht="23.25">
      <c r="A40" s="40" t="s">
        <v>360</v>
      </c>
      <c r="B40" s="44">
        <v>0</v>
      </c>
      <c r="C40" s="9"/>
    </row>
    <row r="41" spans="1:62" ht="23.25">
      <c r="A41" s="165" t="s">
        <v>361</v>
      </c>
      <c r="B41" s="166">
        <v>29577</v>
      </c>
      <c r="C41" s="24"/>
    </row>
    <row r="42" spans="1:62" ht="23.25">
      <c r="A42" s="40" t="s">
        <v>362</v>
      </c>
      <c r="B42" s="133">
        <v>726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3.25">
      <c r="B43" s="167">
        <v>0</v>
      </c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3.25">
      <c r="A44" s="168"/>
      <c r="B44" s="16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168" t="s">
        <v>371</v>
      </c>
      <c r="B45" s="169"/>
    </row>
    <row r="46" spans="1:62" ht="23.25">
      <c r="A46" s="170" t="s">
        <v>372</v>
      </c>
      <c r="B46" s="169" t="s">
        <v>373</v>
      </c>
    </row>
    <row r="47" spans="1:62" ht="23.25">
      <c r="A47" s="40" t="s">
        <v>374</v>
      </c>
      <c r="B47" s="47">
        <v>0</v>
      </c>
    </row>
    <row r="48" spans="1:62" ht="23.25">
      <c r="A48" s="40" t="s">
        <v>375</v>
      </c>
      <c r="B48" s="47">
        <v>0</v>
      </c>
    </row>
    <row r="49" spans="1:3" ht="23.25">
      <c r="A49" s="171" t="s">
        <v>376</v>
      </c>
      <c r="B49" s="47">
        <v>8874.9</v>
      </c>
    </row>
    <row r="50" spans="1:3" ht="23.25">
      <c r="A50" s="40" t="s">
        <v>377</v>
      </c>
      <c r="B50" s="47">
        <v>8000</v>
      </c>
    </row>
    <row r="51" spans="1:3" ht="23.25">
      <c r="A51" s="40" t="s">
        <v>378</v>
      </c>
      <c r="B51" s="47">
        <v>0</v>
      </c>
    </row>
    <row r="52" spans="1:3" ht="23.25">
      <c r="A52" s="40" t="s">
        <v>379</v>
      </c>
      <c r="B52" s="47">
        <v>0</v>
      </c>
      <c r="C52" s="172"/>
    </row>
    <row r="53" spans="1:3" ht="23.25">
      <c r="A53" s="40" t="s">
        <v>380</v>
      </c>
      <c r="B53" s="47">
        <v>0</v>
      </c>
    </row>
    <row r="54" spans="1:3" ht="23.25">
      <c r="A54" s="40" t="s">
        <v>381</v>
      </c>
      <c r="B54" s="47">
        <v>0</v>
      </c>
    </row>
    <row r="55" spans="1:3" ht="23.25">
      <c r="A55" s="40" t="s">
        <v>382</v>
      </c>
      <c r="B55" s="47">
        <v>0</v>
      </c>
    </row>
    <row r="56" spans="1:3" ht="23.25">
      <c r="A56" s="40" t="s">
        <v>383</v>
      </c>
      <c r="B56" s="47">
        <v>0</v>
      </c>
    </row>
    <row r="57" spans="1:3" ht="23.25">
      <c r="A57" s="40" t="s">
        <v>384</v>
      </c>
      <c r="B57" s="47">
        <v>0</v>
      </c>
    </row>
    <row r="58" spans="1:3" ht="23.25">
      <c r="A58" s="173"/>
      <c r="B58" s="46"/>
    </row>
    <row r="59" spans="1:3" ht="23.25">
      <c r="A59" s="170" t="s">
        <v>385</v>
      </c>
      <c r="B59" s="174" t="s">
        <v>386</v>
      </c>
    </row>
    <row r="60" spans="1:3" ht="23.25">
      <c r="A60" s="40" t="s">
        <v>374</v>
      </c>
      <c r="B60" s="47">
        <v>38</v>
      </c>
    </row>
    <row r="61" spans="1:3" ht="23.25">
      <c r="A61" s="40" t="s">
        <v>375</v>
      </c>
      <c r="B61" s="47">
        <v>5034.34</v>
      </c>
    </row>
    <row r="62" spans="1:3" ht="23.25">
      <c r="A62" s="171" t="s">
        <v>376</v>
      </c>
      <c r="B62" s="47">
        <v>121.94</v>
      </c>
    </row>
    <row r="63" spans="1:3" ht="23.25">
      <c r="A63" s="40" t="s">
        <v>377</v>
      </c>
      <c r="B63" s="47">
        <v>120</v>
      </c>
    </row>
    <row r="64" spans="1:3" ht="23.25">
      <c r="A64" s="40" t="s">
        <v>378</v>
      </c>
      <c r="B64" s="47">
        <v>0</v>
      </c>
    </row>
    <row r="65" spans="1:2" ht="23.25">
      <c r="A65" s="40" t="s">
        <v>379</v>
      </c>
      <c r="B65" s="47">
        <v>0</v>
      </c>
    </row>
    <row r="66" spans="1:2" ht="23.25">
      <c r="A66" s="40" t="s">
        <v>380</v>
      </c>
      <c r="B66" s="47">
        <v>0</v>
      </c>
    </row>
    <row r="67" spans="1:2" ht="23.25">
      <c r="A67" s="40" t="s">
        <v>381</v>
      </c>
      <c r="B67" s="47">
        <v>0</v>
      </c>
    </row>
    <row r="68" spans="1:2" ht="23.25">
      <c r="A68" s="40" t="s">
        <v>382</v>
      </c>
      <c r="B68" s="47">
        <v>0</v>
      </c>
    </row>
    <row r="69" spans="1:2" ht="23.25">
      <c r="A69" s="40" t="s">
        <v>383</v>
      </c>
      <c r="B69" s="47">
        <v>170.6</v>
      </c>
    </row>
    <row r="70" spans="1:2" ht="23.25">
      <c r="A70" s="40" t="s">
        <v>384</v>
      </c>
      <c r="B70" s="47">
        <v>120.14</v>
      </c>
    </row>
    <row r="71" spans="1:2" ht="23.25">
      <c r="A71" s="173"/>
      <c r="B71" s="46"/>
    </row>
    <row r="72" spans="1:2" ht="23.25">
      <c r="A72" s="170" t="s">
        <v>387</v>
      </c>
      <c r="B72" s="174" t="s">
        <v>388</v>
      </c>
    </row>
    <row r="73" spans="1:2" ht="23.25">
      <c r="A73" s="40" t="s">
        <v>374</v>
      </c>
      <c r="B73" s="47">
        <v>73</v>
      </c>
    </row>
    <row r="74" spans="1:2" ht="23.25">
      <c r="A74" s="40" t="s">
        <v>375</v>
      </c>
      <c r="B74" s="47">
        <v>3201.4</v>
      </c>
    </row>
    <row r="75" spans="1:2" ht="23.25">
      <c r="A75" s="171" t="s">
        <v>376</v>
      </c>
      <c r="B75" s="47">
        <v>39.82</v>
      </c>
    </row>
    <row r="76" spans="1:2" ht="23.25">
      <c r="A76" s="40" t="s">
        <v>377</v>
      </c>
      <c r="B76" s="47">
        <v>36</v>
      </c>
    </row>
    <row r="77" spans="1:2" ht="23.25">
      <c r="A77" s="40" t="s">
        <v>378</v>
      </c>
      <c r="B77" s="47">
        <v>0</v>
      </c>
    </row>
    <row r="78" spans="1:2" ht="23.25">
      <c r="A78" s="40" t="s">
        <v>379</v>
      </c>
      <c r="B78" s="47">
        <v>0</v>
      </c>
    </row>
    <row r="79" spans="1:2" ht="23.25">
      <c r="A79" s="40" t="s">
        <v>380</v>
      </c>
      <c r="B79" s="47">
        <v>0</v>
      </c>
    </row>
    <row r="80" spans="1:2" ht="23.25">
      <c r="A80" s="40" t="s">
        <v>381</v>
      </c>
      <c r="B80" s="47">
        <v>0</v>
      </c>
    </row>
    <row r="81" spans="1:2" ht="23.25">
      <c r="A81" s="40" t="s">
        <v>382</v>
      </c>
      <c r="B81" s="47">
        <v>0</v>
      </c>
    </row>
    <row r="82" spans="1:2" ht="23.25">
      <c r="A82" s="40" t="s">
        <v>383</v>
      </c>
      <c r="B82" s="47">
        <v>74.72</v>
      </c>
    </row>
    <row r="83" spans="1:2" ht="23.25">
      <c r="A83" s="40" t="s">
        <v>384</v>
      </c>
      <c r="B83" s="47">
        <v>36.06</v>
      </c>
    </row>
    <row r="84" spans="1:2" ht="23.25">
      <c r="A84" s="173"/>
      <c r="B84" s="46"/>
    </row>
    <row r="85" spans="1:2" ht="23.25">
      <c r="A85" s="170" t="s">
        <v>389</v>
      </c>
      <c r="B85" s="174" t="s">
        <v>390</v>
      </c>
    </row>
    <row r="86" spans="1:2" ht="23.25">
      <c r="A86" s="40" t="s">
        <v>374</v>
      </c>
      <c r="B86" s="47">
        <v>35</v>
      </c>
    </row>
    <row r="87" spans="1:2" ht="23.25">
      <c r="A87" s="40" t="s">
        <v>375</v>
      </c>
      <c r="B87" s="47">
        <v>308.74</v>
      </c>
    </row>
    <row r="88" spans="1:2" ht="23.25">
      <c r="A88" s="171" t="s">
        <v>376</v>
      </c>
      <c r="B88" s="47">
        <v>6.01</v>
      </c>
    </row>
    <row r="89" spans="1:2" ht="23.25">
      <c r="A89" s="40" t="s">
        <v>377</v>
      </c>
      <c r="B89" s="47">
        <v>6</v>
      </c>
    </row>
    <row r="90" spans="1:2" ht="23.25">
      <c r="A90" s="40" t="s">
        <v>378</v>
      </c>
      <c r="B90" s="47">
        <v>0</v>
      </c>
    </row>
    <row r="91" spans="1:2" ht="23.25">
      <c r="A91" s="40" t="s">
        <v>379</v>
      </c>
      <c r="B91" s="47">
        <v>0</v>
      </c>
    </row>
    <row r="92" spans="1:2" ht="23.25">
      <c r="A92" s="40" t="s">
        <v>380</v>
      </c>
      <c r="B92" s="47">
        <v>0</v>
      </c>
    </row>
    <row r="93" spans="1:2" ht="23.25">
      <c r="A93" s="40" t="s">
        <v>381</v>
      </c>
      <c r="B93" s="47">
        <v>0</v>
      </c>
    </row>
    <row r="94" spans="1:2" ht="23.25">
      <c r="A94" s="40" t="s">
        <v>382</v>
      </c>
      <c r="B94" s="47">
        <v>0</v>
      </c>
    </row>
    <row r="95" spans="1:2" ht="23.25">
      <c r="A95" s="40" t="s">
        <v>383</v>
      </c>
      <c r="B95" s="47">
        <v>35.9</v>
      </c>
    </row>
    <row r="96" spans="1:2" ht="23.25">
      <c r="A96" s="40" t="s">
        <v>384</v>
      </c>
      <c r="B96" s="47">
        <v>6.06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indexed="50"/>
  </sheetPr>
  <dimension ref="A1:T101"/>
  <sheetViews>
    <sheetView workbookViewId="0">
      <pane xSplit="3" ySplit="7" topLeftCell="D70" activePane="bottomRight" state="frozen"/>
      <selection pane="topRight" activeCell="D1" sqref="D1"/>
      <selection pane="bottomLeft" activeCell="A42" sqref="A42"/>
      <selection pane="bottomRight" activeCell="B24" sqref="B24"/>
    </sheetView>
  </sheetViews>
  <sheetFormatPr defaultColWidth="3.140625" defaultRowHeight="14.25"/>
  <cols>
    <col min="1" max="1" width="46.5703125" style="1" customWidth="1"/>
    <col min="2" max="2" width="32.42578125" style="85" customWidth="1"/>
    <col min="3" max="7" width="3.85546875" customWidth="1"/>
    <col min="12" max="201" width="11.42578125" customWidth="1"/>
    <col min="202" max="202" width="31.5703125" customWidth="1"/>
    <col min="203" max="203" width="30" customWidth="1"/>
    <col min="204" max="204" width="4.85546875" customWidth="1"/>
    <col min="205" max="205" width="2.28515625" customWidth="1"/>
    <col min="206" max="210" width="0" hidden="1" customWidth="1"/>
    <col min="211" max="211" width="0.42578125" customWidth="1"/>
    <col min="212" max="219" width="3.85546875" customWidth="1"/>
    <col min="220" max="220" width="0.42578125" customWidth="1"/>
    <col min="221" max="221" width="3" customWidth="1"/>
    <col min="229" max="229" width="0.42578125" customWidth="1"/>
    <col min="238" max="238" width="0.42578125" customWidth="1"/>
    <col min="245" max="245" width="3.28515625" customWidth="1"/>
    <col min="246" max="246" width="3.7109375" customWidth="1"/>
    <col min="247" max="247" width="0.85546875" customWidth="1"/>
    <col min="255" max="255" width="0.42578125" customWidth="1"/>
  </cols>
  <sheetData>
    <row r="1" spans="1:14">
      <c r="A1" s="86"/>
      <c r="B1" s="87"/>
      <c r="C1" s="88"/>
    </row>
    <row r="2" spans="1:14" ht="15">
      <c r="A2" s="6" t="s">
        <v>0</v>
      </c>
      <c r="B2" s="89" t="s">
        <v>111</v>
      </c>
      <c r="C2" s="9" t="s">
        <v>162</v>
      </c>
    </row>
    <row r="3" spans="1:14" ht="15">
      <c r="A3" s="6"/>
      <c r="B3" s="89" t="s">
        <v>36</v>
      </c>
      <c r="C3" s="9"/>
    </row>
    <row r="4" spans="1:14" ht="15">
      <c r="A4" s="6" t="s">
        <v>4</v>
      </c>
      <c r="B4" s="90">
        <v>0.01</v>
      </c>
      <c r="C4" s="9"/>
    </row>
    <row r="5" spans="1:14" ht="12.75" customHeight="1">
      <c r="C5" s="9"/>
      <c r="F5" s="91"/>
    </row>
    <row r="6" spans="1:14" ht="23.25">
      <c r="A6" s="11" t="s">
        <v>5</v>
      </c>
      <c r="B6" s="92">
        <v>18</v>
      </c>
      <c r="C6" s="9"/>
      <c r="I6" s="93"/>
      <c r="J6" s="93"/>
    </row>
    <row r="7" spans="1:14" ht="24" customHeight="1">
      <c r="A7" s="12" t="s">
        <v>6</v>
      </c>
      <c r="B7" s="94" t="s">
        <v>163</v>
      </c>
      <c r="C7" s="9"/>
    </row>
    <row r="8" spans="1:14" ht="29.25" customHeight="1">
      <c r="A8" s="95" t="s">
        <v>164</v>
      </c>
      <c r="B8" s="96">
        <v>574309</v>
      </c>
      <c r="I8" t="s">
        <v>165</v>
      </c>
    </row>
    <row r="9" spans="1:14" ht="4.5" hidden="1" customHeight="1">
      <c r="A9" s="95"/>
    </row>
    <row r="10" spans="1:14" ht="24" customHeight="1">
      <c r="A10" s="95" t="s">
        <v>166</v>
      </c>
      <c r="B10" s="96">
        <v>532921</v>
      </c>
      <c r="J10" s="16"/>
      <c r="K10" s="16"/>
      <c r="L10" s="16"/>
      <c r="M10" s="16"/>
      <c r="N10" s="16"/>
    </row>
    <row r="11" spans="1:14" ht="24" customHeight="1">
      <c r="A11" s="95" t="s">
        <v>167</v>
      </c>
      <c r="B11" s="96">
        <v>452571</v>
      </c>
      <c r="J11" s="16"/>
      <c r="K11" s="16"/>
      <c r="L11" s="16"/>
      <c r="M11" s="16"/>
      <c r="N11" s="16"/>
    </row>
    <row r="12" spans="1:14" ht="24" customHeight="1">
      <c r="A12" s="95" t="s">
        <v>168</v>
      </c>
      <c r="B12" s="96">
        <v>0</v>
      </c>
      <c r="J12" s="16"/>
      <c r="K12" s="16"/>
      <c r="L12" s="16"/>
      <c r="M12" s="16"/>
      <c r="N12" s="16"/>
    </row>
    <row r="13" spans="1:14" ht="24" customHeight="1">
      <c r="A13" s="95" t="s">
        <v>169</v>
      </c>
      <c r="B13" s="96">
        <v>0</v>
      </c>
      <c r="J13" s="16"/>
      <c r="K13" s="16"/>
      <c r="L13" s="16"/>
      <c r="M13" s="16"/>
      <c r="N13" s="16"/>
    </row>
    <row r="14" spans="1:14" ht="24" customHeight="1">
      <c r="A14" s="95" t="s">
        <v>170</v>
      </c>
      <c r="B14" s="96">
        <v>0</v>
      </c>
      <c r="J14" s="16"/>
      <c r="K14" s="16"/>
      <c r="L14" s="16"/>
      <c r="M14" s="16"/>
      <c r="N14" s="16"/>
    </row>
    <row r="15" spans="1:14" ht="24" hidden="1" customHeight="1">
      <c r="A15" s="95" t="s">
        <v>171</v>
      </c>
      <c r="B15" s="96">
        <v>0</v>
      </c>
      <c r="J15" s="16"/>
      <c r="K15" s="16"/>
      <c r="L15" s="16"/>
      <c r="M15" s="16"/>
      <c r="N15" s="16"/>
    </row>
    <row r="16" spans="1:14" ht="24" hidden="1" customHeight="1">
      <c r="A16" s="95" t="s">
        <v>172</v>
      </c>
      <c r="B16" s="96">
        <v>0</v>
      </c>
      <c r="J16" s="16"/>
      <c r="K16" s="16"/>
      <c r="L16" s="16"/>
      <c r="M16" s="16"/>
      <c r="N16" s="16"/>
    </row>
    <row r="17" spans="1:14" ht="24" hidden="1" customHeight="1">
      <c r="A17" s="95" t="s">
        <v>173</v>
      </c>
      <c r="B17" s="96"/>
      <c r="J17" s="16"/>
      <c r="K17" s="16"/>
      <c r="L17" s="16"/>
      <c r="M17" s="16"/>
      <c r="N17" s="16"/>
    </row>
    <row r="18" spans="1:14" ht="24" hidden="1" customHeight="1">
      <c r="A18" s="95" t="s">
        <v>174</v>
      </c>
      <c r="B18" s="96">
        <v>0</v>
      </c>
      <c r="J18" s="16"/>
      <c r="K18" s="16"/>
      <c r="L18" s="16"/>
      <c r="M18" s="16"/>
      <c r="N18" s="16"/>
    </row>
    <row r="19" spans="1:14" ht="15.75" hidden="1" customHeight="1">
      <c r="A19" s="95"/>
      <c r="B19" s="523"/>
    </row>
    <row r="20" spans="1:14" ht="20.25" customHeight="1">
      <c r="A20" s="95" t="s">
        <v>175</v>
      </c>
      <c r="B20" s="523">
        <v>0</v>
      </c>
    </row>
    <row r="21" spans="1:14" ht="17.25" customHeight="1">
      <c r="A21" s="95"/>
      <c r="B21" s="523">
        <v>0</v>
      </c>
    </row>
    <row r="22" spans="1:14" ht="24" customHeight="1">
      <c r="A22" s="95" t="s">
        <v>176</v>
      </c>
      <c r="B22" s="97">
        <v>7.1999999999999995E-2</v>
      </c>
      <c r="J22" s="16"/>
      <c r="K22" s="16"/>
      <c r="L22" s="16"/>
      <c r="M22" s="16"/>
      <c r="N22" s="16"/>
    </row>
    <row r="23" spans="1:14" ht="24" customHeight="1">
      <c r="A23" s="95" t="s">
        <v>177</v>
      </c>
      <c r="B23" s="97">
        <v>0.92789999999999995</v>
      </c>
      <c r="J23" s="16"/>
      <c r="K23" s="16"/>
      <c r="L23" s="16"/>
      <c r="M23" s="16"/>
      <c r="N23" s="98"/>
    </row>
    <row r="24" spans="1:14" ht="24" customHeight="1">
      <c r="A24" s="95" t="s">
        <v>178</v>
      </c>
      <c r="B24" s="97">
        <f>B22</f>
        <v>7.1999999999999995E-2</v>
      </c>
      <c r="J24" s="16"/>
      <c r="K24" s="16"/>
      <c r="L24" s="16"/>
      <c r="M24" s="16"/>
      <c r="N24" s="16"/>
    </row>
    <row r="25" spans="1:14" ht="24" customHeight="1">
      <c r="A25" s="95" t="s">
        <v>179</v>
      </c>
      <c r="B25" s="97">
        <f>B23</f>
        <v>0.92789999999999995</v>
      </c>
      <c r="J25" s="16"/>
      <c r="K25" s="16"/>
      <c r="L25" s="16"/>
      <c r="M25" s="16"/>
      <c r="N25" s="16"/>
    </row>
    <row r="26" spans="1:14" ht="12.75" customHeight="1">
      <c r="A26" s="99"/>
      <c r="B26" s="100"/>
      <c r="J26" s="16"/>
      <c r="K26" s="16"/>
      <c r="L26" s="16"/>
      <c r="M26" s="16"/>
      <c r="N26" s="16"/>
    </row>
    <row r="27" spans="1:14" ht="24" customHeight="1">
      <c r="A27" s="95" t="s">
        <v>180</v>
      </c>
      <c r="B27" s="96">
        <v>531005</v>
      </c>
      <c r="J27" s="16"/>
      <c r="K27" s="16"/>
      <c r="L27" s="16"/>
      <c r="M27" s="16"/>
      <c r="N27" s="16"/>
    </row>
    <row r="28" spans="1:14" ht="24" customHeight="1">
      <c r="A28" s="95" t="s">
        <v>181</v>
      </c>
      <c r="B28" s="96">
        <v>0</v>
      </c>
      <c r="J28" s="16"/>
      <c r="K28" s="16"/>
      <c r="L28" s="16"/>
      <c r="M28" s="16"/>
      <c r="N28" s="16"/>
    </row>
    <row r="29" spans="1:14" ht="24" customHeight="1">
      <c r="A29" s="95" t="s">
        <v>182</v>
      </c>
      <c r="B29" s="96">
        <v>283750</v>
      </c>
      <c r="J29" s="16"/>
      <c r="K29" s="16"/>
      <c r="L29" s="16"/>
      <c r="M29" s="16"/>
      <c r="N29" s="16"/>
    </row>
    <row r="30" spans="1:14" ht="24" customHeight="1">
      <c r="A30" s="95" t="s">
        <v>183</v>
      </c>
      <c r="B30" s="96">
        <v>247255</v>
      </c>
      <c r="J30" s="16"/>
      <c r="K30" s="16"/>
      <c r="L30" s="16"/>
      <c r="M30" s="16"/>
      <c r="N30" s="16"/>
    </row>
    <row r="31" spans="1:14" ht="24" customHeight="1">
      <c r="A31" s="95" t="s">
        <v>184</v>
      </c>
      <c r="B31" s="96">
        <v>0</v>
      </c>
      <c r="J31" s="16"/>
      <c r="K31" s="16"/>
      <c r="L31" s="16"/>
      <c r="M31" s="16"/>
      <c r="N31" s="16"/>
    </row>
    <row r="32" spans="1:14" ht="24" customHeight="1">
      <c r="A32" s="95" t="s">
        <v>185</v>
      </c>
      <c r="B32" s="101">
        <v>0</v>
      </c>
      <c r="J32" s="16"/>
      <c r="K32" s="16"/>
      <c r="L32" s="16"/>
      <c r="M32" s="16"/>
      <c r="N32" s="16"/>
    </row>
    <row r="33" spans="1:14" ht="24" customHeight="1">
      <c r="A33" s="95" t="s">
        <v>186</v>
      </c>
      <c r="B33" s="96">
        <v>0</v>
      </c>
      <c r="J33" s="16"/>
      <c r="K33" s="16"/>
      <c r="L33" s="16"/>
      <c r="M33" s="16"/>
      <c r="N33" s="16"/>
    </row>
    <row r="34" spans="1:14" ht="24" customHeight="1">
      <c r="A34" s="95" t="s">
        <v>187</v>
      </c>
      <c r="B34" s="96">
        <v>0</v>
      </c>
      <c r="J34" s="16"/>
      <c r="K34" s="16"/>
      <c r="L34" s="16"/>
      <c r="M34" s="16"/>
      <c r="N34" s="16"/>
    </row>
    <row r="35" spans="1:14" ht="24" customHeight="1">
      <c r="A35" s="95" t="s">
        <v>99</v>
      </c>
      <c r="B35" s="96">
        <v>0</v>
      </c>
      <c r="J35" s="16"/>
      <c r="K35" s="16"/>
      <c r="L35" s="16"/>
      <c r="M35" s="16"/>
      <c r="N35" s="16"/>
    </row>
    <row r="36" spans="1:14" ht="24" customHeight="1">
      <c r="A36" s="95" t="s">
        <v>188</v>
      </c>
      <c r="B36" s="96">
        <v>0</v>
      </c>
      <c r="J36" s="16"/>
      <c r="K36" s="16"/>
      <c r="L36" s="16"/>
      <c r="M36" s="16"/>
      <c r="N36" s="16"/>
    </row>
    <row r="37" spans="1:14" ht="24" customHeight="1">
      <c r="A37" s="95" t="s">
        <v>189</v>
      </c>
      <c r="B37" s="96">
        <v>0</v>
      </c>
      <c r="J37" s="16"/>
      <c r="K37" s="16"/>
      <c r="L37" s="16"/>
      <c r="M37" s="16"/>
      <c r="N37" s="16"/>
    </row>
    <row r="38" spans="1:14" ht="8.25" customHeight="1">
      <c r="A38" s="95"/>
      <c r="B38" s="96"/>
    </row>
    <row r="39" spans="1:14" ht="24" customHeight="1">
      <c r="A39" s="95" t="s">
        <v>190</v>
      </c>
      <c r="B39" s="96">
        <v>0</v>
      </c>
      <c r="J39" s="16"/>
      <c r="K39" s="16"/>
      <c r="L39" s="16"/>
      <c r="M39" s="16"/>
      <c r="N39" s="16"/>
    </row>
    <row r="40" spans="1:14" ht="15.75" customHeight="1">
      <c r="A40" s="95"/>
      <c r="B40" s="96"/>
      <c r="J40" s="16"/>
      <c r="K40" s="16"/>
      <c r="L40" s="16"/>
      <c r="M40" s="16"/>
      <c r="N40" s="98" t="s">
        <v>191</v>
      </c>
    </row>
    <row r="41" spans="1:14" ht="24" customHeight="1">
      <c r="A41" s="95" t="s">
        <v>52</v>
      </c>
      <c r="B41" s="96">
        <v>0</v>
      </c>
      <c r="J41" s="16"/>
      <c r="K41" s="16"/>
      <c r="L41" s="16"/>
      <c r="M41" s="16"/>
      <c r="N41" s="16"/>
    </row>
    <row r="42" spans="1:14" ht="11.25" customHeight="1">
      <c r="A42" s="99"/>
      <c r="B42" s="100"/>
      <c r="J42" s="16"/>
      <c r="K42" s="16"/>
      <c r="L42" s="16"/>
      <c r="M42" s="16"/>
      <c r="N42" s="16"/>
    </row>
    <row r="43" spans="1:14" ht="24" customHeight="1">
      <c r="A43" s="95" t="s">
        <v>192</v>
      </c>
      <c r="B43" s="96">
        <v>489617</v>
      </c>
      <c r="J43" s="16"/>
      <c r="K43" s="16"/>
      <c r="L43" s="16"/>
      <c r="M43" s="16"/>
      <c r="N43" s="16"/>
    </row>
    <row r="44" spans="1:14" ht="24" customHeight="1">
      <c r="A44" s="95" t="s">
        <v>193</v>
      </c>
      <c r="B44" s="96">
        <v>0</v>
      </c>
      <c r="J44" s="16"/>
      <c r="K44" s="16"/>
      <c r="L44" s="16"/>
      <c r="M44" s="16"/>
      <c r="N44" s="16"/>
    </row>
    <row r="45" spans="1:14" ht="24" customHeight="1">
      <c r="A45" s="95" t="s">
        <v>452</v>
      </c>
      <c r="B45" s="96">
        <v>409267</v>
      </c>
      <c r="J45" s="16"/>
      <c r="K45" s="16"/>
      <c r="L45" s="16"/>
      <c r="M45" s="16"/>
      <c r="N45" s="16"/>
    </row>
    <row r="46" spans="1:14" ht="24" customHeight="1">
      <c r="A46" s="95" t="s">
        <v>452</v>
      </c>
      <c r="B46" s="96">
        <v>80350</v>
      </c>
      <c r="J46" s="16"/>
      <c r="K46" s="16"/>
      <c r="L46" s="16"/>
      <c r="M46" s="16"/>
      <c r="N46" s="16"/>
    </row>
    <row r="47" spans="1:14" ht="24" customHeight="1">
      <c r="A47" s="95" t="s">
        <v>873</v>
      </c>
      <c r="B47" s="96">
        <v>80350</v>
      </c>
      <c r="J47" s="16"/>
      <c r="K47" s="16"/>
      <c r="L47" s="16"/>
      <c r="M47" s="16"/>
      <c r="N47" s="16"/>
    </row>
    <row r="48" spans="1:14" ht="24" customHeight="1">
      <c r="A48" s="95" t="s">
        <v>197</v>
      </c>
      <c r="B48" s="96">
        <v>0</v>
      </c>
      <c r="J48" s="16"/>
      <c r="K48" s="16"/>
      <c r="L48" s="16"/>
      <c r="M48" s="16"/>
      <c r="N48" s="16"/>
    </row>
    <row r="49" spans="1:20" ht="24" customHeight="1">
      <c r="A49" s="95" t="s">
        <v>198</v>
      </c>
      <c r="B49" s="96">
        <v>0</v>
      </c>
      <c r="J49" s="16"/>
      <c r="K49" s="16"/>
      <c r="L49" s="16"/>
      <c r="M49" s="16"/>
      <c r="N49" s="16"/>
    </row>
    <row r="50" spans="1:20" ht="24" customHeight="1">
      <c r="A50" s="95" t="s">
        <v>199</v>
      </c>
      <c r="B50" s="96">
        <v>0</v>
      </c>
      <c r="J50" s="16"/>
      <c r="K50" s="16"/>
      <c r="L50" s="16"/>
      <c r="M50" s="16"/>
      <c r="N50" s="16"/>
    </row>
    <row r="51" spans="1:20" ht="24" customHeight="1">
      <c r="A51" s="95" t="s">
        <v>847</v>
      </c>
      <c r="B51" s="96">
        <v>283750</v>
      </c>
      <c r="J51" s="16"/>
      <c r="K51" s="16"/>
      <c r="L51" s="16"/>
      <c r="M51" s="16"/>
      <c r="N51" s="16"/>
    </row>
    <row r="52" spans="1:20" ht="24" customHeight="1">
      <c r="A52" s="95" t="s">
        <v>848</v>
      </c>
      <c r="B52" s="96">
        <f>B51</f>
        <v>283750</v>
      </c>
      <c r="J52" s="16"/>
      <c r="K52" s="16"/>
      <c r="L52" s="16"/>
      <c r="M52" s="16"/>
      <c r="N52" s="16"/>
    </row>
    <row r="53" spans="1:20" ht="24" customHeight="1">
      <c r="A53" s="95" t="s">
        <v>201</v>
      </c>
      <c r="B53" s="96">
        <v>0</v>
      </c>
      <c r="J53" s="16"/>
      <c r="K53" s="16"/>
      <c r="L53" s="16"/>
      <c r="M53" s="16"/>
      <c r="N53" s="16"/>
    </row>
    <row r="54" spans="1:20" ht="24" customHeight="1">
      <c r="A54" s="95" t="s">
        <v>202</v>
      </c>
      <c r="B54" s="96">
        <v>0</v>
      </c>
      <c r="J54" s="16"/>
      <c r="K54" s="16"/>
      <c r="L54" s="16"/>
      <c r="M54" s="16"/>
      <c r="N54" s="16"/>
    </row>
    <row r="55" spans="1:20" ht="24" customHeight="1">
      <c r="A55" s="95" t="s">
        <v>203</v>
      </c>
      <c r="B55" s="96">
        <v>0</v>
      </c>
      <c r="J55" s="16"/>
      <c r="K55" s="16"/>
      <c r="L55" s="16"/>
      <c r="M55" s="16"/>
      <c r="N55" s="16"/>
    </row>
    <row r="56" spans="1:20" ht="11.25" customHeight="1">
      <c r="A56" s="99"/>
      <c r="B56" s="100"/>
      <c r="J56" s="16"/>
      <c r="K56" s="16"/>
      <c r="L56" s="16"/>
      <c r="M56" s="16"/>
      <c r="N56" s="16"/>
      <c r="T56" t="s">
        <v>204</v>
      </c>
    </row>
    <row r="57" spans="1:20" ht="24" customHeight="1">
      <c r="A57" s="95" t="s">
        <v>58</v>
      </c>
      <c r="B57" s="96">
        <v>15690</v>
      </c>
      <c r="J57" s="16"/>
      <c r="K57" s="16"/>
      <c r="L57" s="16"/>
      <c r="M57" s="16"/>
      <c r="N57" s="16"/>
    </row>
    <row r="58" spans="1:20" ht="24" customHeight="1">
      <c r="A58" s="95" t="s">
        <v>205</v>
      </c>
      <c r="B58" s="96">
        <v>4046</v>
      </c>
      <c r="J58" s="16"/>
      <c r="K58" s="16"/>
      <c r="L58" s="16"/>
      <c r="M58" s="16"/>
      <c r="N58" s="16"/>
    </row>
    <row r="59" spans="1:20" ht="24" customHeight="1">
      <c r="A59" s="95" t="s">
        <v>206</v>
      </c>
      <c r="B59" s="96">
        <v>11644</v>
      </c>
      <c r="J59" s="16"/>
      <c r="K59" s="16"/>
      <c r="L59" s="16"/>
      <c r="M59" s="16"/>
      <c r="N59" s="16"/>
    </row>
    <row r="60" spans="1:20" ht="24" customHeight="1">
      <c r="A60" s="95"/>
      <c r="B60" s="96">
        <v>0</v>
      </c>
      <c r="J60" s="16"/>
      <c r="K60" s="16"/>
      <c r="L60" s="16"/>
      <c r="M60" s="16"/>
      <c r="N60" s="16"/>
    </row>
    <row r="61" spans="1:20" ht="24" customHeight="1">
      <c r="A61" s="95"/>
      <c r="B61" s="96">
        <v>0</v>
      </c>
      <c r="J61" s="16"/>
      <c r="K61" s="16"/>
      <c r="L61" s="16"/>
      <c r="M61" s="16"/>
      <c r="N61" s="16"/>
    </row>
    <row r="62" spans="1:20" ht="24" customHeight="1">
      <c r="A62" s="95" t="s">
        <v>850</v>
      </c>
      <c r="B62" s="97">
        <v>7.1999999999999995E-2</v>
      </c>
      <c r="J62" s="16"/>
      <c r="K62" s="16"/>
      <c r="L62" s="16"/>
      <c r="M62" s="16"/>
      <c r="N62" s="16"/>
    </row>
    <row r="63" spans="1:20" ht="24" customHeight="1">
      <c r="A63" s="95" t="s">
        <v>849</v>
      </c>
      <c r="B63" s="1008">
        <v>0.92789999999999995</v>
      </c>
      <c r="J63" s="16"/>
      <c r="K63" s="16"/>
      <c r="L63" s="16"/>
      <c r="M63" s="16"/>
      <c r="N63" s="16"/>
    </row>
    <row r="64" spans="1:20" ht="11.25" customHeight="1">
      <c r="A64" s="99"/>
      <c r="B64" s="100"/>
      <c r="J64" s="16"/>
      <c r="K64" s="16"/>
      <c r="L64" s="16"/>
      <c r="M64" s="16"/>
      <c r="N64" s="16"/>
      <c r="T64" t="s">
        <v>204</v>
      </c>
    </row>
    <row r="65" spans="1:14" ht="24" customHeight="1">
      <c r="A65" s="102" t="s">
        <v>211</v>
      </c>
      <c r="B65" s="96"/>
      <c r="J65" s="16"/>
      <c r="K65" s="16"/>
      <c r="L65" s="16"/>
      <c r="M65" s="16"/>
      <c r="N65" s="16"/>
    </row>
    <row r="66" spans="1:14" ht="24" customHeight="1">
      <c r="A66" s="95" t="s">
        <v>212</v>
      </c>
      <c r="B66" s="96">
        <v>0</v>
      </c>
      <c r="J66" s="16"/>
      <c r="K66" s="16"/>
      <c r="L66" s="16"/>
      <c r="M66" s="16"/>
      <c r="N66" s="16"/>
    </row>
    <row r="67" spans="1:14" ht="24" customHeight="1">
      <c r="A67" s="95" t="s">
        <v>213</v>
      </c>
      <c r="B67" s="96">
        <v>0</v>
      </c>
      <c r="J67" s="16"/>
      <c r="K67" s="16"/>
      <c r="L67" s="16"/>
      <c r="M67" s="16"/>
      <c r="N67" s="16"/>
    </row>
    <row r="68" spans="1:14" ht="24" customHeight="1">
      <c r="A68" s="95" t="s">
        <v>52</v>
      </c>
      <c r="B68" s="96">
        <f>+B28</f>
        <v>0</v>
      </c>
      <c r="J68" s="16"/>
      <c r="K68" s="16"/>
      <c r="L68" s="16"/>
      <c r="M68" s="16"/>
      <c r="N68" s="16"/>
    </row>
    <row r="69" spans="1:14" ht="24" customHeight="1">
      <c r="A69" s="95" t="s">
        <v>214</v>
      </c>
      <c r="B69" s="96">
        <v>0</v>
      </c>
      <c r="J69" s="16"/>
      <c r="K69" s="16"/>
      <c r="L69" s="16"/>
      <c r="M69" s="16"/>
      <c r="N69" s="16"/>
    </row>
    <row r="70" spans="1:14" ht="24" customHeight="1">
      <c r="A70" s="95" t="s">
        <v>215</v>
      </c>
      <c r="B70" s="96">
        <v>0</v>
      </c>
      <c r="J70" s="16"/>
      <c r="K70" s="16"/>
      <c r="L70" s="16"/>
      <c r="M70" s="16"/>
      <c r="N70" s="16"/>
    </row>
    <row r="71" spans="1:14" ht="24" customHeight="1">
      <c r="A71" s="95" t="s">
        <v>125</v>
      </c>
      <c r="B71" s="96">
        <v>0</v>
      </c>
      <c r="J71" s="16"/>
      <c r="K71" s="16"/>
      <c r="L71" s="16"/>
      <c r="M71" s="16"/>
      <c r="N71" s="16"/>
    </row>
    <row r="72" spans="1:14" ht="24" customHeight="1">
      <c r="A72" s="95"/>
      <c r="B72" s="96"/>
      <c r="J72" s="16"/>
      <c r="K72" s="16"/>
      <c r="L72" s="16"/>
      <c r="M72" s="16"/>
      <c r="N72" s="16"/>
    </row>
    <row r="73" spans="1:14" ht="24" customHeight="1">
      <c r="A73" s="95"/>
      <c r="B73" s="96"/>
      <c r="J73" s="16"/>
      <c r="K73" s="16"/>
      <c r="L73" s="16"/>
      <c r="M73" s="16"/>
      <c r="N73" s="16"/>
    </row>
    <row r="74" spans="1:14" ht="18.75" customHeight="1">
      <c r="A74" s="103"/>
      <c r="J74" s="16"/>
      <c r="K74" s="16"/>
      <c r="L74" s="16"/>
      <c r="M74" s="16"/>
      <c r="N74" s="16"/>
    </row>
    <row r="75" spans="1:14" ht="18.75" customHeight="1">
      <c r="A75" s="104" t="s">
        <v>216</v>
      </c>
      <c r="J75" s="16"/>
      <c r="K75" s="16"/>
      <c r="L75" s="16"/>
      <c r="M75" s="16"/>
      <c r="N75" s="16"/>
    </row>
    <row r="76" spans="1:14" ht="18.75" customHeight="1">
      <c r="A76" s="103"/>
      <c r="B76" s="105"/>
    </row>
    <row r="77" spans="1:14" ht="18.75" customHeight="1">
      <c r="A77" s="104" t="s">
        <v>217</v>
      </c>
      <c r="B77" s="105"/>
      <c r="F77" s="106"/>
    </row>
    <row r="78" spans="1:14" ht="18.75" customHeight="1">
      <c r="B78" s="107"/>
    </row>
    <row r="79" spans="1:14" ht="18.75" customHeight="1">
      <c r="A79" s="108" t="s">
        <v>218</v>
      </c>
      <c r="B79" s="107"/>
    </row>
    <row r="80" spans="1:14" ht="18.75" customHeight="1">
      <c r="A80" s="16"/>
    </row>
    <row r="81" spans="1:2" ht="18.75" customHeight="1">
      <c r="A81" s="16" t="s">
        <v>219</v>
      </c>
    </row>
    <row r="82" spans="1:2" ht="18.75" customHeight="1">
      <c r="A82"/>
    </row>
    <row r="83" spans="1:2" ht="18.75" customHeight="1">
      <c r="A83" s="16" t="s">
        <v>217</v>
      </c>
    </row>
    <row r="84" spans="1:2" ht="24" customHeight="1"/>
    <row r="85" spans="1:2" ht="24" customHeight="1">
      <c r="B85" s="107"/>
    </row>
    <row r="86" spans="1:2" ht="24" customHeight="1"/>
    <row r="87" spans="1:2" ht="24" customHeight="1"/>
    <row r="88" spans="1:2" ht="24" customHeight="1"/>
    <row r="89" spans="1:2" ht="15.75" customHeight="1"/>
    <row r="101" spans="1:2" ht="12">
      <c r="A101"/>
      <c r="B101"/>
    </row>
  </sheetData>
  <sheetProtection selectLockedCells="1" selectUnlockedCells="1"/>
  <pageMargins left="0.70833333333333337" right="0.70833333333333337" top="0.74791666666666667" bottom="0.74791666666666667" header="0.51180555555555551" footer="0.51180555555555551"/>
  <pageSetup paperSize="9" scale="85" firstPageNumber="0" orientation="portrait" horizontalDpi="300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indexed="56"/>
  </sheetPr>
  <dimension ref="A1:BJ59"/>
  <sheetViews>
    <sheetView workbookViewId="0">
      <pane xSplit="2" ySplit="7" topLeftCell="C42" activePane="bottomRight" state="frozen"/>
      <selection pane="topRight" activeCell="C1" sqref="C1"/>
      <selection pane="bottomLeft" activeCell="A18" sqref="A18"/>
      <selection pane="bottomRight" activeCell="B50" sqref="B50"/>
    </sheetView>
  </sheetViews>
  <sheetFormatPr defaultColWidth="11" defaultRowHeight="14.25"/>
  <cols>
    <col min="1" max="1" width="44.140625" style="1" customWidth="1"/>
    <col min="2" max="2" width="23.5703125" bestFit="1" customWidth="1"/>
    <col min="3" max="3" width="4.85546875" customWidth="1"/>
    <col min="4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26</v>
      </c>
    </row>
    <row r="7" spans="1:62" ht="36">
      <c r="A7" s="12" t="s">
        <v>6</v>
      </c>
      <c r="B7" s="565" t="s">
        <v>842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1418908</v>
      </c>
      <c r="C8" s="9"/>
      <c r="BB8" s="116"/>
    </row>
    <row r="9" spans="1:62" ht="24" customHeight="1">
      <c r="A9" s="14" t="s">
        <v>12</v>
      </c>
      <c r="B9" s="115">
        <v>1245127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f>B9</f>
        <v>1245127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0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0.12239999999999999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0.87749999999999995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63">
        <v>578742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>
        <v>0</v>
      </c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5">
        <v>263000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315742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364</v>
      </c>
      <c r="B21" s="115">
        <v>0</v>
      </c>
      <c r="C21" s="9"/>
      <c r="BB21" s="28"/>
    </row>
    <row r="22" spans="1:62" ht="24" customHeight="1">
      <c r="A22" s="14" t="s">
        <v>233</v>
      </c>
      <c r="B22" s="115">
        <v>403455</v>
      </c>
      <c r="C22" s="9"/>
      <c r="BB22" s="28"/>
    </row>
    <row r="23" spans="1:62" ht="24" customHeight="1">
      <c r="A23" s="118" t="s">
        <v>213</v>
      </c>
      <c r="B23" s="119">
        <v>0</v>
      </c>
      <c r="C23" s="120"/>
      <c r="BB23" s="28"/>
    </row>
    <row r="24" spans="1:62" ht="24" customHeight="1">
      <c r="A24" s="118" t="s">
        <v>365</v>
      </c>
      <c r="B24" s="119">
        <v>0</v>
      </c>
      <c r="C24" s="120"/>
      <c r="BB24" s="28"/>
    </row>
    <row r="25" spans="1:62" ht="24" customHeight="1">
      <c r="A25" s="118" t="s">
        <v>234</v>
      </c>
      <c r="B25" s="119">
        <v>403455</v>
      </c>
      <c r="C25" s="120"/>
      <c r="BB25" s="28"/>
    </row>
    <row r="26" spans="1:62" ht="24" customHeight="1">
      <c r="A26" s="14" t="s">
        <v>235</v>
      </c>
      <c r="B26" s="115">
        <v>0</v>
      </c>
      <c r="C26" s="9"/>
      <c r="BB26" s="28"/>
    </row>
    <row r="27" spans="1:62" ht="24" customHeight="1">
      <c r="A27" s="14" t="s">
        <v>236</v>
      </c>
      <c r="B27" s="115">
        <v>0</v>
      </c>
      <c r="C27" s="9"/>
      <c r="BB27" s="28"/>
    </row>
    <row r="28" spans="1:62" ht="8.25" customHeight="1">
      <c r="A28" s="18"/>
      <c r="B28" s="121"/>
      <c r="C28" s="122"/>
      <c r="BB28" s="28"/>
    </row>
    <row r="29" spans="1:62" ht="24" customHeight="1">
      <c r="A29" s="14" t="s">
        <v>237</v>
      </c>
      <c r="B29" s="115">
        <f>B18</f>
        <v>263000</v>
      </c>
      <c r="C29" s="9"/>
      <c r="BB29" s="28"/>
    </row>
    <row r="30" spans="1:62" ht="24" customHeight="1">
      <c r="A30" s="14" t="s">
        <v>238</v>
      </c>
      <c r="B30" s="115">
        <f>B29</f>
        <v>263000</v>
      </c>
      <c r="C30" s="9"/>
      <c r="BB30" s="28"/>
    </row>
    <row r="31" spans="1:62" ht="24" customHeight="1">
      <c r="A31" s="118" t="s">
        <v>239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18" t="s">
        <v>240</v>
      </c>
      <c r="B33" s="119">
        <v>0</v>
      </c>
      <c r="C33" s="120"/>
      <c r="BB33" s="28"/>
    </row>
    <row r="34" spans="1:54" ht="24" customHeight="1">
      <c r="B34" s="78"/>
      <c r="BB34" s="28"/>
    </row>
    <row r="35" spans="1:54" ht="24" customHeight="1">
      <c r="A35" s="14" t="s">
        <v>58</v>
      </c>
      <c r="B35" s="115">
        <v>22938</v>
      </c>
      <c r="C35" s="9"/>
      <c r="BB35" s="28"/>
    </row>
    <row r="36" spans="1:54" ht="24" customHeight="1">
      <c r="A36" s="14" t="s">
        <v>241</v>
      </c>
      <c r="B36" s="115">
        <v>10765</v>
      </c>
      <c r="C36" s="9"/>
      <c r="BB36" s="28"/>
    </row>
    <row r="37" spans="1:54" ht="24" customHeight="1">
      <c r="A37" s="14" t="s">
        <v>206</v>
      </c>
      <c r="B37" s="115">
        <v>12173</v>
      </c>
      <c r="C37" s="9"/>
      <c r="BB37" s="28"/>
    </row>
    <row r="38" spans="1:54" ht="24" customHeight="1">
      <c r="B38" s="78"/>
      <c r="BB38" s="28"/>
    </row>
    <row r="39" spans="1:54" ht="24" customHeight="1">
      <c r="A39" s="118" t="s">
        <v>115</v>
      </c>
      <c r="B39" s="119">
        <v>0</v>
      </c>
      <c r="C39" s="120"/>
      <c r="BB39" s="28"/>
    </row>
    <row r="40" spans="1:54" ht="24" customHeight="1">
      <c r="A40" s="118" t="s">
        <v>242</v>
      </c>
      <c r="B40" s="119">
        <v>0</v>
      </c>
      <c r="C40" s="120"/>
      <c r="BB40" s="28"/>
    </row>
    <row r="41" spans="1:54" ht="24" customHeight="1">
      <c r="A41" s="118" t="s">
        <v>117</v>
      </c>
      <c r="B41" s="119">
        <v>0</v>
      </c>
      <c r="C41" s="120"/>
      <c r="BB41" s="28"/>
    </row>
    <row r="42" spans="1:54" ht="8.25" customHeight="1">
      <c r="A42" s="18"/>
      <c r="B42" s="121"/>
      <c r="C42" s="122"/>
      <c r="BB42" s="28"/>
    </row>
    <row r="43" spans="1:54" ht="24" customHeight="1">
      <c r="B43" s="78"/>
      <c r="BB43" s="28"/>
    </row>
    <row r="44" spans="1:54" ht="24" customHeight="1">
      <c r="A44" s="14" t="s">
        <v>243</v>
      </c>
      <c r="B44" s="117">
        <f>B12</f>
        <v>0.12239999999999999</v>
      </c>
      <c r="C44" s="9"/>
      <c r="BB44" s="28"/>
    </row>
    <row r="45" spans="1:54" ht="24" customHeight="1">
      <c r="A45" s="14" t="s">
        <v>244</v>
      </c>
      <c r="B45" s="117">
        <f>B13</f>
        <v>0.87749999999999995</v>
      </c>
      <c r="C45" s="9"/>
      <c r="BB45" s="28"/>
    </row>
    <row r="47" spans="1:54">
      <c r="A47" s="164" t="s">
        <v>366</v>
      </c>
      <c r="B47" s="124"/>
      <c r="E47" s="108"/>
    </row>
    <row r="48" spans="1:54">
      <c r="A48" s="103"/>
      <c r="B48" s="108"/>
      <c r="C48" s="108"/>
    </row>
    <row r="49" spans="1:5">
      <c r="A49" s="104" t="s">
        <v>216</v>
      </c>
      <c r="B49" t="s">
        <v>367</v>
      </c>
      <c r="E49" s="16"/>
    </row>
    <row r="50" spans="1:5">
      <c r="A50" s="103"/>
      <c r="B50" s="16"/>
      <c r="C50" s="16"/>
    </row>
    <row r="51" spans="1:5">
      <c r="A51" s="104" t="s">
        <v>217</v>
      </c>
      <c r="E51" s="16"/>
    </row>
    <row r="52" spans="1:5">
      <c r="B52" s="16"/>
      <c r="C52" s="16"/>
    </row>
    <row r="53" spans="1:5" ht="12">
      <c r="A53" s="108" t="s">
        <v>218</v>
      </c>
    </row>
    <row r="54" spans="1:5" ht="12">
      <c r="A54" s="16"/>
    </row>
    <row r="55" spans="1:5" ht="12">
      <c r="A55" s="16" t="s">
        <v>219</v>
      </c>
    </row>
    <row r="56" spans="1:5" ht="12">
      <c r="A56"/>
      <c r="C56" s="124"/>
    </row>
    <row r="57" spans="1:5" ht="12">
      <c r="A57" s="16" t="s">
        <v>217</v>
      </c>
    </row>
    <row r="58" spans="1:5">
      <c r="C58" s="124"/>
    </row>
    <row r="59" spans="1:5">
      <c r="A59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indexed="40"/>
  </sheetPr>
  <dimension ref="A1:BJ60"/>
  <sheetViews>
    <sheetView workbookViewId="0">
      <pane xSplit="2" ySplit="7" topLeftCell="C61" activePane="bottomRight" state="frozen"/>
      <selection pane="topRight" activeCell="C1" sqref="C1"/>
      <selection pane="bottomLeft" activeCell="A39" sqref="A39"/>
      <selection pane="bottomRight" activeCell="B55" sqref="B55"/>
    </sheetView>
  </sheetViews>
  <sheetFormatPr defaultColWidth="11" defaultRowHeight="14.25"/>
  <cols>
    <col min="1" max="1" width="45.42578125" style="1" customWidth="1"/>
    <col min="2" max="2" width="37.5703125" customWidth="1"/>
    <col min="3" max="3" width="13.71093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5"/>
      <c r="C1" s="5"/>
    </row>
    <row r="2" spans="1:7" ht="15">
      <c r="A2" s="6" t="s">
        <v>0</v>
      </c>
      <c r="B2" s="71" t="s">
        <v>111</v>
      </c>
      <c r="C2" s="8" t="s">
        <v>2</v>
      </c>
    </row>
    <row r="3" spans="1:7" ht="15">
      <c r="A3" s="6"/>
      <c r="B3" s="71" t="s">
        <v>112</v>
      </c>
      <c r="C3" s="9"/>
    </row>
    <row r="4" spans="1:7" ht="15">
      <c r="A4" s="6" t="s">
        <v>4</v>
      </c>
      <c r="B4" s="72">
        <v>1</v>
      </c>
      <c r="C4" s="9"/>
    </row>
    <row r="5" spans="1:7" ht="12.75" customHeight="1">
      <c r="C5" s="9"/>
    </row>
    <row r="6" spans="1:7" ht="23.25">
      <c r="A6" s="11" t="s">
        <v>5</v>
      </c>
      <c r="B6" s="74">
        <v>34</v>
      </c>
      <c r="C6" s="9"/>
    </row>
    <row r="7" spans="1:7" ht="24" customHeight="1">
      <c r="A7" s="12" t="s">
        <v>6</v>
      </c>
      <c r="B7" s="75" t="s">
        <v>112</v>
      </c>
      <c r="C7" s="9"/>
    </row>
    <row r="8" spans="1:7" ht="24" customHeight="1">
      <c r="A8" s="14" t="s">
        <v>114</v>
      </c>
      <c r="B8" s="64">
        <v>2277533</v>
      </c>
      <c r="C8" s="14"/>
    </row>
    <row r="9" spans="1:7" ht="24" customHeight="1">
      <c r="A9" s="14" t="s">
        <v>115</v>
      </c>
      <c r="B9" s="64">
        <v>0</v>
      </c>
      <c r="C9" s="14"/>
    </row>
    <row r="10" spans="1:7" ht="33" customHeight="1">
      <c r="A10" s="14" t="s">
        <v>116</v>
      </c>
      <c r="B10" s="64">
        <v>2146068</v>
      </c>
      <c r="C10" s="14"/>
    </row>
    <row r="11" spans="1:7" ht="26.25" customHeight="1">
      <c r="A11" s="14" t="s">
        <v>117</v>
      </c>
      <c r="B11" s="64">
        <v>0</v>
      </c>
      <c r="C11" s="14"/>
    </row>
    <row r="12" spans="1:7" ht="24" customHeight="1">
      <c r="A12" s="14" t="s">
        <v>118</v>
      </c>
      <c r="B12" s="64">
        <v>324</v>
      </c>
      <c r="C12" s="14"/>
    </row>
    <row r="13" spans="1:7" ht="24" customHeight="1">
      <c r="A13" s="14" t="s">
        <v>119</v>
      </c>
      <c r="B13" s="64">
        <v>64000</v>
      </c>
      <c r="C13" s="9"/>
      <c r="D13" s="16"/>
      <c r="E13" s="16"/>
      <c r="F13" s="16"/>
      <c r="G13" s="16"/>
    </row>
    <row r="14" spans="1:7" ht="24" customHeight="1">
      <c r="A14" s="14" t="s">
        <v>120</v>
      </c>
      <c r="B14" s="64">
        <v>67465</v>
      </c>
      <c r="C14" s="9"/>
      <c r="D14" s="16"/>
      <c r="E14" s="16"/>
      <c r="F14" s="16"/>
      <c r="G14" s="16"/>
    </row>
    <row r="15" spans="1:7" ht="24" customHeight="1">
      <c r="A15" s="14" t="s">
        <v>121</v>
      </c>
      <c r="B15" s="64">
        <v>0</v>
      </c>
      <c r="C15" s="9"/>
      <c r="D15" s="16"/>
      <c r="E15" s="16"/>
      <c r="F15" s="16"/>
      <c r="G15" s="16"/>
    </row>
    <row r="16" spans="1:7" ht="24" customHeight="1">
      <c r="A16" s="14" t="s">
        <v>122</v>
      </c>
      <c r="B16" s="64">
        <v>16</v>
      </c>
      <c r="C16" s="9"/>
      <c r="D16" s="16"/>
      <c r="E16" s="16"/>
      <c r="F16" s="16"/>
      <c r="G16" s="16"/>
    </row>
    <row r="17" spans="1:62" ht="24" customHeight="1">
      <c r="A17" s="14" t="s">
        <v>123</v>
      </c>
      <c r="B17" s="64">
        <v>235064</v>
      </c>
      <c r="C17" s="9"/>
      <c r="D17" s="16"/>
      <c r="E17" s="16"/>
      <c r="F17" s="16"/>
      <c r="G17" s="16"/>
    </row>
    <row r="18" spans="1:62" ht="24" customHeight="1">
      <c r="A18" s="14" t="s">
        <v>124</v>
      </c>
      <c r="B18" s="64">
        <v>295572</v>
      </c>
      <c r="C18" s="9"/>
      <c r="D18" s="16"/>
      <c r="E18" s="16"/>
      <c r="F18" s="16"/>
      <c r="G18" s="16"/>
    </row>
    <row r="19" spans="1:62" ht="24" customHeight="1">
      <c r="A19" s="14" t="s">
        <v>125</v>
      </c>
      <c r="B19" s="64">
        <v>530636</v>
      </c>
      <c r="C19" s="9"/>
    </row>
    <row r="20" spans="1:62" ht="8.25" customHeight="1">
      <c r="A20" s="18"/>
      <c r="B20" s="20"/>
      <c r="C20" s="20"/>
    </row>
    <row r="21" spans="1:62" ht="24" customHeight="1">
      <c r="A21" s="14" t="s">
        <v>126</v>
      </c>
      <c r="B21" s="76">
        <v>0</v>
      </c>
      <c r="C21" s="9"/>
    </row>
    <row r="22" spans="1:62" ht="24" customHeight="1">
      <c r="A22" s="14" t="s">
        <v>127</v>
      </c>
      <c r="B22" s="64">
        <v>0</v>
      </c>
      <c r="C22" s="9"/>
    </row>
    <row r="23" spans="1:62" ht="24" customHeight="1">
      <c r="A23" s="14" t="s">
        <v>128</v>
      </c>
      <c r="B23" s="64">
        <v>0</v>
      </c>
      <c r="C23" s="9"/>
    </row>
    <row r="24" spans="1:62" ht="24" customHeight="1">
      <c r="A24" s="14" t="s">
        <v>129</v>
      </c>
      <c r="B24" s="64">
        <v>0</v>
      </c>
      <c r="C24" s="9"/>
    </row>
    <row r="25" spans="1:62" ht="24" customHeight="1">
      <c r="A25" s="14" t="s">
        <v>130</v>
      </c>
      <c r="B25" s="64">
        <v>1492</v>
      </c>
      <c r="C25" s="9"/>
    </row>
    <row r="26" spans="1:62" ht="24" customHeight="1">
      <c r="A26" s="14" t="s">
        <v>131</v>
      </c>
      <c r="B26" s="64">
        <v>3810</v>
      </c>
      <c r="C26" s="9"/>
    </row>
    <row r="27" spans="1:62" ht="24" customHeight="1">
      <c r="A27" s="14"/>
      <c r="B27" s="64">
        <v>0</v>
      </c>
      <c r="C27" s="9"/>
    </row>
    <row r="28" spans="1:62" ht="24" customHeight="1">
      <c r="A28" s="14" t="s">
        <v>132</v>
      </c>
      <c r="B28" s="64">
        <v>2277533</v>
      </c>
      <c r="C28" s="9"/>
    </row>
    <row r="29" spans="1:62" ht="24" customHeight="1">
      <c r="A29" s="14" t="s">
        <v>133</v>
      </c>
      <c r="B29" s="64">
        <v>2146067</v>
      </c>
      <c r="C29" s="9"/>
    </row>
    <row r="30" spans="1:62" ht="24" customHeight="1">
      <c r="A30" s="14" t="s">
        <v>134</v>
      </c>
      <c r="B30" s="64">
        <v>324</v>
      </c>
      <c r="C30" s="9"/>
    </row>
    <row r="31" spans="1:62" ht="24" customHeight="1">
      <c r="A31" s="77" t="s">
        <v>135</v>
      </c>
      <c r="B31" s="78">
        <v>0</v>
      </c>
      <c r="BB31" s="28"/>
      <c r="BC31" s="16"/>
      <c r="BD31" s="16"/>
      <c r="BE31" s="16"/>
      <c r="BF31" s="16"/>
      <c r="BG31" s="16"/>
      <c r="BH31" s="16"/>
      <c r="BI31" s="16"/>
      <c r="BJ31" s="16"/>
    </row>
    <row r="32" spans="1:62" ht="24" customHeight="1">
      <c r="A32" s="14" t="s">
        <v>136</v>
      </c>
      <c r="B32" s="79">
        <f>B28</f>
        <v>2277533</v>
      </c>
      <c r="C32" s="9"/>
    </row>
    <row r="33" spans="1:62" ht="24" customHeight="1">
      <c r="A33" s="14" t="s">
        <v>137</v>
      </c>
      <c r="B33" s="64">
        <v>2210067</v>
      </c>
      <c r="C33" s="9"/>
    </row>
    <row r="34" spans="1:62" ht="29.25" customHeight="1">
      <c r="A34" s="14" t="s">
        <v>52</v>
      </c>
      <c r="B34" s="64">
        <v>0</v>
      </c>
      <c r="C34" s="9"/>
    </row>
    <row r="35" spans="1:62" ht="24" customHeight="1">
      <c r="A35" s="14" t="s">
        <v>138</v>
      </c>
      <c r="B35" s="64">
        <v>64324</v>
      </c>
      <c r="C35" s="9"/>
    </row>
    <row r="36" spans="1:62" ht="24" customHeight="1">
      <c r="A36" s="14" t="s">
        <v>139</v>
      </c>
      <c r="B36" s="64">
        <v>0</v>
      </c>
      <c r="C36" s="9"/>
    </row>
    <row r="37" spans="1:62" ht="24" customHeight="1">
      <c r="A37" s="63" t="s">
        <v>140</v>
      </c>
      <c r="B37" s="64"/>
      <c r="C37" s="9"/>
      <c r="BB37" s="28"/>
      <c r="BC37" s="16"/>
      <c r="BD37" s="16"/>
      <c r="BE37" s="16"/>
      <c r="BF37" s="16"/>
      <c r="BG37" s="16"/>
      <c r="BH37" s="16"/>
      <c r="BI37" s="16"/>
      <c r="BJ37" s="16"/>
    </row>
    <row r="38" spans="1:62" ht="23.25">
      <c r="A38" s="14" t="s">
        <v>141</v>
      </c>
      <c r="B38" s="64">
        <v>0</v>
      </c>
      <c r="C38" s="9"/>
    </row>
    <row r="39" spans="1:62" ht="24" customHeight="1">
      <c r="A39" s="14" t="s">
        <v>142</v>
      </c>
      <c r="B39" s="64">
        <v>0</v>
      </c>
      <c r="C39" s="9"/>
    </row>
    <row r="40" spans="1:62" ht="23.25">
      <c r="A40" s="14"/>
      <c r="B40" s="64"/>
      <c r="C40" s="9"/>
    </row>
    <row r="41" spans="1:62" ht="24" customHeight="1">
      <c r="A41" s="63" t="s">
        <v>143</v>
      </c>
      <c r="B41" s="9"/>
      <c r="C41" s="9"/>
    </row>
    <row r="42" spans="1:62" ht="24" customHeight="1">
      <c r="A42" s="14" t="s">
        <v>144</v>
      </c>
      <c r="B42" s="64">
        <v>0</v>
      </c>
      <c r="C42" s="9"/>
    </row>
    <row r="43" spans="1:62" ht="24" customHeight="1">
      <c r="A43" s="462" t="s">
        <v>145</v>
      </c>
      <c r="B43" s="463">
        <v>458712</v>
      </c>
      <c r="C43" s="463"/>
    </row>
    <row r="44" spans="1:62" ht="24" customHeight="1">
      <c r="A44" s="1" t="s">
        <v>146</v>
      </c>
      <c r="B44" s="78">
        <v>0</v>
      </c>
    </row>
    <row r="45" spans="1:62" ht="24" customHeight="1">
      <c r="A45" s="69" t="s">
        <v>147</v>
      </c>
      <c r="B45" s="64"/>
      <c r="C45" s="9"/>
    </row>
    <row r="46" spans="1:62" ht="24" customHeight="1">
      <c r="A46" s="69" t="s">
        <v>148</v>
      </c>
      <c r="B46" s="64">
        <v>326923</v>
      </c>
      <c r="C46" s="82"/>
    </row>
    <row r="47" spans="1:62" ht="24" customHeight="1">
      <c r="A47" s="80" t="s">
        <v>149</v>
      </c>
      <c r="B47" s="81">
        <v>0</v>
      </c>
      <c r="C47" s="81"/>
    </row>
    <row r="48" spans="1:62" ht="24" customHeight="1">
      <c r="A48" s="61" t="s">
        <v>144</v>
      </c>
      <c r="B48" s="522">
        <v>0</v>
      </c>
      <c r="C48" s="83"/>
    </row>
    <row r="49" spans="1:3" ht="24" customHeight="1">
      <c r="A49" s="22" t="s">
        <v>150</v>
      </c>
      <c r="B49" s="84">
        <v>0</v>
      </c>
      <c r="C49" s="9"/>
    </row>
    <row r="50" spans="1:3" ht="30" customHeight="1">
      <c r="A50" s="63" t="s">
        <v>151</v>
      </c>
      <c r="B50" s="9"/>
    </row>
    <row r="51" spans="1:3" ht="30" customHeight="1">
      <c r="A51" s="14" t="s">
        <v>152</v>
      </c>
      <c r="B51" s="40">
        <v>32575</v>
      </c>
    </row>
    <row r="52" spans="1:3" ht="30" customHeight="1">
      <c r="A52" s="14" t="s">
        <v>153</v>
      </c>
      <c r="B52" s="40">
        <v>32975</v>
      </c>
    </row>
    <row r="53" spans="1:3" ht="30" customHeight="1">
      <c r="A53" s="14" t="s">
        <v>154</v>
      </c>
      <c r="B53" s="40">
        <v>9711</v>
      </c>
    </row>
    <row r="54" spans="1:3" ht="30" customHeight="1">
      <c r="A54" s="14" t="s">
        <v>155</v>
      </c>
      <c r="B54" s="40">
        <v>2243</v>
      </c>
    </row>
    <row r="55" spans="1:3" ht="30" customHeight="1">
      <c r="A55" s="14" t="s">
        <v>156</v>
      </c>
      <c r="B55" s="40">
        <v>302815</v>
      </c>
    </row>
    <row r="56" spans="1:3" ht="30" customHeight="1">
      <c r="A56" s="14" t="s">
        <v>157</v>
      </c>
      <c r="B56" s="40">
        <v>0</v>
      </c>
    </row>
    <row r="57" spans="1:3" ht="30" customHeight="1">
      <c r="A57" s="14" t="s">
        <v>158</v>
      </c>
      <c r="B57" s="40">
        <v>0</v>
      </c>
    </row>
    <row r="58" spans="1:3" ht="30" customHeight="1">
      <c r="A58" s="14" t="s">
        <v>159</v>
      </c>
      <c r="B58" s="40">
        <v>0</v>
      </c>
    </row>
    <row r="59" spans="1:3" ht="30" customHeight="1">
      <c r="A59" s="14" t="s">
        <v>160</v>
      </c>
      <c r="B59" s="40">
        <v>0</v>
      </c>
    </row>
    <row r="60" spans="1:3" ht="30" customHeight="1">
      <c r="A60" s="14" t="s">
        <v>161</v>
      </c>
      <c r="B60" s="40">
        <v>0</v>
      </c>
    </row>
  </sheetData>
  <sheetProtection selectLockedCells="1" selectUnlockedCells="1"/>
  <pageMargins left="0.7" right="0.7" top="0.75" bottom="0.75" header="0.51180555555555551" footer="0.51180555555555551"/>
  <pageSetup paperSize="9" scale="81" firstPageNumber="0" orientation="portrait" horizontalDpi="300" verticalDpi="300" r:id="rId1"/>
  <headerFooter alignWithMargins="0"/>
  <colBreaks count="2" manualBreakCount="2">
    <brk id="7" max="1048575" man="1"/>
    <brk id="8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indexed="56"/>
  </sheetPr>
  <dimension ref="A1:BJ59"/>
  <sheetViews>
    <sheetView workbookViewId="0">
      <pane xSplit="2" ySplit="7" topLeftCell="C48" activePane="bottomRight" state="frozen"/>
      <selection pane="topRight" activeCell="C1" sqref="C1"/>
      <selection pane="bottomLeft" activeCell="A18" sqref="A18"/>
      <selection pane="bottomRight" activeCell="B46" sqref="B46"/>
    </sheetView>
  </sheetViews>
  <sheetFormatPr defaultColWidth="11" defaultRowHeight="14.25"/>
  <cols>
    <col min="1" max="1" width="44.140625" style="1" customWidth="1"/>
    <col min="2" max="2" width="23.5703125" bestFit="1" customWidth="1"/>
    <col min="3" max="3" width="4.85546875" customWidth="1"/>
    <col min="4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28</v>
      </c>
    </row>
    <row r="7" spans="1:62" ht="36">
      <c r="A7" s="12" t="s">
        <v>6</v>
      </c>
      <c r="B7" s="565" t="s">
        <v>842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18345801</v>
      </c>
      <c r="C8" s="9"/>
      <c r="BB8" s="116"/>
    </row>
    <row r="9" spans="1:62" ht="24" customHeight="1">
      <c r="A9" s="14" t="s">
        <v>12</v>
      </c>
      <c r="B9" s="115">
        <v>17448191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v>17368013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80178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4.8899999999999999E-2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0.95099999999999996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63">
        <v>7448670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>
        <v>0</v>
      </c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5">
        <v>3958300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3490370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364</v>
      </c>
      <c r="B21" s="115">
        <v>0</v>
      </c>
      <c r="C21" s="9"/>
      <c r="BB21" s="28"/>
    </row>
    <row r="22" spans="1:62" ht="24" customHeight="1">
      <c r="A22" s="14" t="s">
        <v>233</v>
      </c>
      <c r="B22" s="115">
        <v>6541396</v>
      </c>
      <c r="C22" s="9"/>
      <c r="BB22" s="28"/>
    </row>
    <row r="23" spans="1:62" ht="24" customHeight="1">
      <c r="A23" s="118" t="s">
        <v>213</v>
      </c>
      <c r="B23" s="119"/>
      <c r="C23" s="120"/>
      <c r="BB23" s="28"/>
    </row>
    <row r="24" spans="1:62" ht="24" customHeight="1">
      <c r="A24" s="118" t="s">
        <v>365</v>
      </c>
      <c r="B24" s="119"/>
      <c r="C24" s="120"/>
      <c r="BB24" s="28"/>
    </row>
    <row r="25" spans="1:62" ht="24" customHeight="1">
      <c r="A25" s="118" t="s">
        <v>234</v>
      </c>
      <c r="B25" s="119">
        <v>6377433</v>
      </c>
      <c r="C25" s="120"/>
      <c r="BB25" s="28"/>
    </row>
    <row r="26" spans="1:62" ht="24" customHeight="1">
      <c r="A26" s="14" t="s">
        <v>235</v>
      </c>
      <c r="B26" s="115">
        <v>80178</v>
      </c>
      <c r="C26" s="9"/>
      <c r="BB26" s="28"/>
    </row>
    <row r="27" spans="1:62" ht="24" customHeight="1">
      <c r="A27" s="14" t="s">
        <v>236</v>
      </c>
      <c r="B27" s="115">
        <v>83785</v>
      </c>
      <c r="C27" s="9"/>
      <c r="BB27" s="28"/>
    </row>
    <row r="28" spans="1:62" ht="8.25" customHeight="1">
      <c r="A28" s="18"/>
      <c r="B28" s="121"/>
      <c r="C28" s="122"/>
      <c r="BB28" s="28"/>
    </row>
    <row r="29" spans="1:62" ht="24" customHeight="1">
      <c r="A29" s="14" t="s">
        <v>237</v>
      </c>
      <c r="B29" s="115">
        <v>3958300</v>
      </c>
      <c r="C29" s="9"/>
      <c r="BB29" s="28"/>
    </row>
    <row r="30" spans="1:62" ht="24" customHeight="1">
      <c r="A30" s="14" t="s">
        <v>238</v>
      </c>
      <c r="B30" s="115">
        <f>B29</f>
        <v>3958300</v>
      </c>
      <c r="C30" s="9"/>
      <c r="BB30" s="28"/>
    </row>
    <row r="31" spans="1:62" ht="24" customHeight="1">
      <c r="A31" s="118" t="s">
        <v>239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18" t="s">
        <v>240</v>
      </c>
      <c r="B33" s="119">
        <v>0</v>
      </c>
      <c r="C33" s="120"/>
      <c r="BB33" s="28"/>
    </row>
    <row r="34" spans="1:54" ht="24" customHeight="1">
      <c r="B34" s="78"/>
      <c r="BB34" s="28"/>
    </row>
    <row r="35" spans="1:54" ht="24" customHeight="1">
      <c r="A35" s="14" t="s">
        <v>58</v>
      </c>
      <c r="B35" s="115">
        <v>623970</v>
      </c>
      <c r="C35" s="9"/>
      <c r="BB35" s="28"/>
    </row>
    <row r="36" spans="1:54" ht="24" customHeight="1">
      <c r="A36" s="14" t="s">
        <v>241</v>
      </c>
      <c r="B36" s="115">
        <v>234973</v>
      </c>
      <c r="C36" s="9"/>
      <c r="BB36" s="28"/>
    </row>
    <row r="37" spans="1:54" ht="24" customHeight="1">
      <c r="A37" s="14" t="s">
        <v>206</v>
      </c>
      <c r="B37" s="115">
        <v>388997</v>
      </c>
      <c r="C37" s="9"/>
      <c r="BB37" s="28"/>
    </row>
    <row r="38" spans="1:54" ht="24" customHeight="1">
      <c r="B38" s="78"/>
      <c r="BB38" s="28"/>
    </row>
    <row r="39" spans="1:54" ht="24" customHeight="1">
      <c r="A39" s="118" t="s">
        <v>115</v>
      </c>
      <c r="B39" s="119">
        <v>0</v>
      </c>
      <c r="C39" s="120"/>
      <c r="BB39" s="28"/>
    </row>
    <row r="40" spans="1:54" ht="24" customHeight="1">
      <c r="A40" s="118" t="s">
        <v>242</v>
      </c>
      <c r="B40" s="119">
        <v>0</v>
      </c>
      <c r="C40" s="120"/>
      <c r="BB40" s="28"/>
    </row>
    <row r="41" spans="1:54" ht="24" customHeight="1">
      <c r="A41" s="118" t="s">
        <v>117</v>
      </c>
      <c r="B41" s="119">
        <v>0</v>
      </c>
      <c r="C41" s="120"/>
      <c r="BB41" s="28"/>
    </row>
    <row r="42" spans="1:54" ht="8.25" customHeight="1">
      <c r="A42" s="18"/>
      <c r="B42" s="121"/>
      <c r="C42" s="122"/>
      <c r="BB42" s="28"/>
    </row>
    <row r="43" spans="1:54" ht="24" customHeight="1">
      <c r="B43" s="78"/>
      <c r="BB43" s="28"/>
    </row>
    <row r="44" spans="1:54" ht="24" customHeight="1">
      <c r="A44" s="14" t="s">
        <v>243</v>
      </c>
      <c r="B44" s="117">
        <f>B12</f>
        <v>4.8899999999999999E-2</v>
      </c>
      <c r="C44" s="9"/>
      <c r="BB44" s="28"/>
    </row>
    <row r="45" spans="1:54" ht="24" customHeight="1">
      <c r="A45" s="14" t="s">
        <v>244</v>
      </c>
      <c r="B45" s="117">
        <f>B13</f>
        <v>0.95099999999999996</v>
      </c>
      <c r="C45" s="9"/>
      <c r="BB45" s="28"/>
    </row>
    <row r="47" spans="1:54">
      <c r="A47" s="164" t="s">
        <v>366</v>
      </c>
      <c r="B47" s="124"/>
      <c r="E47" s="108"/>
    </row>
    <row r="48" spans="1:54">
      <c r="A48" s="103"/>
      <c r="B48" s="108"/>
      <c r="C48" s="108"/>
    </row>
    <row r="49" spans="1:5">
      <c r="A49" s="104" t="s">
        <v>216</v>
      </c>
      <c r="B49" t="s">
        <v>367</v>
      </c>
      <c r="E49" s="16"/>
    </row>
    <row r="50" spans="1:5">
      <c r="A50" s="103"/>
      <c r="B50" s="16"/>
      <c r="C50" s="16"/>
    </row>
    <row r="51" spans="1:5">
      <c r="A51" s="104" t="s">
        <v>217</v>
      </c>
      <c r="E51" s="16"/>
    </row>
    <row r="52" spans="1:5">
      <c r="B52" s="16"/>
      <c r="C52" s="16"/>
    </row>
    <row r="53" spans="1:5" ht="12">
      <c r="A53" s="108" t="s">
        <v>218</v>
      </c>
    </row>
    <row r="54" spans="1:5" ht="12">
      <c r="A54" s="16"/>
    </row>
    <row r="55" spans="1:5" ht="12">
      <c r="A55" s="16" t="s">
        <v>219</v>
      </c>
    </row>
    <row r="56" spans="1:5" ht="12">
      <c r="A56"/>
      <c r="C56" s="124"/>
    </row>
    <row r="57" spans="1:5" ht="12">
      <c r="A57" s="16" t="s">
        <v>217</v>
      </c>
    </row>
    <row r="58" spans="1:5">
      <c r="C58" s="124"/>
    </row>
    <row r="59" spans="1:5">
      <c r="A59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indexed="56"/>
  </sheetPr>
  <dimension ref="A1:BJ59"/>
  <sheetViews>
    <sheetView workbookViewId="0">
      <pane xSplit="2" ySplit="7" topLeftCell="C44" activePane="bottomRight" state="frozen"/>
      <selection pane="topRight" activeCell="C1" sqref="C1"/>
      <selection pane="bottomLeft" activeCell="A18" sqref="A18"/>
      <selection pane="bottomRight" activeCell="B51" sqref="B51"/>
    </sheetView>
  </sheetViews>
  <sheetFormatPr defaultColWidth="11" defaultRowHeight="14.25"/>
  <cols>
    <col min="1" max="1" width="44.140625" style="1" customWidth="1"/>
    <col min="2" max="2" width="23.5703125" bestFit="1" customWidth="1"/>
    <col min="3" max="3" width="4.85546875" customWidth="1"/>
    <col min="4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13</v>
      </c>
    </row>
    <row r="7" spans="1:62" ht="36">
      <c r="A7" s="12" t="s">
        <v>6</v>
      </c>
      <c r="B7" s="565" t="s">
        <v>842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231711</v>
      </c>
      <c r="C8" s="9"/>
      <c r="BB8" s="116"/>
    </row>
    <row r="9" spans="1:62" ht="24" customHeight="1">
      <c r="A9" s="14" t="s">
        <v>12</v>
      </c>
      <c r="B9" s="115">
        <v>227976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f>B9</f>
        <v>227976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0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1.61E-2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0.98380000000000001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63">
        <v>114125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>
        <v>0</v>
      </c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5">
        <v>52750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61375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364</v>
      </c>
      <c r="B21" s="115">
        <v>0</v>
      </c>
      <c r="C21" s="9"/>
      <c r="BB21" s="28"/>
    </row>
    <row r="22" spans="1:62" ht="24" customHeight="1">
      <c r="A22" s="14" t="s">
        <v>233</v>
      </c>
      <c r="B22" s="115">
        <v>110390</v>
      </c>
      <c r="C22" s="9"/>
      <c r="BB22" s="28"/>
    </row>
    <row r="23" spans="1:62" ht="24" customHeight="1">
      <c r="A23" s="118" t="s">
        <v>213</v>
      </c>
      <c r="B23" s="119">
        <v>0</v>
      </c>
      <c r="C23" s="120"/>
      <c r="BB23" s="28"/>
    </row>
    <row r="24" spans="1:62" ht="24" hidden="1" customHeight="1">
      <c r="A24" s="118" t="s">
        <v>365</v>
      </c>
      <c r="B24" s="119"/>
      <c r="C24" s="120"/>
      <c r="BB24" s="28"/>
    </row>
    <row r="25" spans="1:62" ht="24" customHeight="1">
      <c r="A25" s="118" t="s">
        <v>234</v>
      </c>
      <c r="B25" s="119">
        <f>B22</f>
        <v>110390</v>
      </c>
      <c r="C25" s="120"/>
      <c r="BB25" s="28"/>
    </row>
    <row r="26" spans="1:62" ht="24" customHeight="1">
      <c r="A26" s="14" t="s">
        <v>235</v>
      </c>
      <c r="B26" s="115">
        <v>0</v>
      </c>
      <c r="C26" s="9"/>
      <c r="BB26" s="28"/>
    </row>
    <row r="27" spans="1:62" ht="24" customHeight="1">
      <c r="A27" s="14" t="s">
        <v>236</v>
      </c>
      <c r="B27" s="115">
        <v>0</v>
      </c>
      <c r="C27" s="9"/>
      <c r="BB27" s="28"/>
    </row>
    <row r="28" spans="1:62" ht="8.25" customHeight="1">
      <c r="A28" s="18"/>
      <c r="B28" s="121"/>
      <c r="C28" s="122"/>
      <c r="BB28" s="28"/>
    </row>
    <row r="29" spans="1:62" ht="24" customHeight="1">
      <c r="A29" s="14" t="s">
        <v>237</v>
      </c>
      <c r="B29" s="115">
        <v>52750</v>
      </c>
      <c r="C29" s="9"/>
      <c r="BB29" s="28"/>
    </row>
    <row r="30" spans="1:62" ht="24" customHeight="1">
      <c r="A30" s="14" t="s">
        <v>238</v>
      </c>
      <c r="B30" s="115">
        <f>B29</f>
        <v>52750</v>
      </c>
      <c r="C30" s="9"/>
      <c r="BB30" s="28"/>
    </row>
    <row r="31" spans="1:62" ht="24" customHeight="1">
      <c r="A31" s="118" t="s">
        <v>239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18" t="s">
        <v>240</v>
      </c>
      <c r="B33" s="119">
        <v>0</v>
      </c>
      <c r="C33" s="120"/>
      <c r="BB33" s="28"/>
    </row>
    <row r="34" spans="1:54" ht="24" customHeight="1">
      <c r="B34" s="78"/>
      <c r="BB34" s="28"/>
    </row>
    <row r="35" spans="1:54" ht="24" customHeight="1">
      <c r="A35" s="14" t="s">
        <v>58</v>
      </c>
      <c r="B35" s="115">
        <v>2174</v>
      </c>
      <c r="C35" s="9"/>
      <c r="BB35" s="28"/>
    </row>
    <row r="36" spans="1:54" ht="24" customHeight="1">
      <c r="A36" s="14" t="s">
        <v>241</v>
      </c>
      <c r="B36" s="115">
        <v>880</v>
      </c>
      <c r="C36" s="9"/>
      <c r="BB36" s="28"/>
    </row>
    <row r="37" spans="1:54" ht="24" customHeight="1">
      <c r="A37" s="14" t="s">
        <v>206</v>
      </c>
      <c r="B37" s="115">
        <v>1294</v>
      </c>
      <c r="C37" s="9"/>
      <c r="BB37" s="28"/>
    </row>
    <row r="38" spans="1:54" ht="24" customHeight="1">
      <c r="B38" s="78"/>
      <c r="BB38" s="28"/>
    </row>
    <row r="39" spans="1:54" ht="24" customHeight="1">
      <c r="A39" s="118" t="s">
        <v>115</v>
      </c>
      <c r="B39" s="119">
        <v>0</v>
      </c>
      <c r="C39" s="120"/>
      <c r="BB39" s="28"/>
    </row>
    <row r="40" spans="1:54" ht="24" customHeight="1">
      <c r="A40" s="118" t="s">
        <v>242</v>
      </c>
      <c r="B40" s="119">
        <v>0</v>
      </c>
      <c r="C40" s="120"/>
      <c r="BB40" s="28"/>
    </row>
    <row r="41" spans="1:54" ht="24" customHeight="1">
      <c r="A41" s="118" t="s">
        <v>117</v>
      </c>
      <c r="B41" s="119">
        <v>0</v>
      </c>
      <c r="C41" s="120"/>
      <c r="BB41" s="28"/>
    </row>
    <row r="42" spans="1:54" ht="8.25" customHeight="1">
      <c r="A42" s="18"/>
      <c r="B42" s="121"/>
      <c r="C42" s="122"/>
      <c r="BB42" s="28"/>
    </row>
    <row r="43" spans="1:54" ht="24" customHeight="1">
      <c r="B43" s="78"/>
      <c r="BB43" s="28"/>
    </row>
    <row r="44" spans="1:54" ht="24" customHeight="1">
      <c r="A44" s="14" t="s">
        <v>243</v>
      </c>
      <c r="B44" s="117">
        <v>1.61E-2</v>
      </c>
      <c r="C44" s="9"/>
      <c r="BB44" s="28"/>
    </row>
    <row r="45" spans="1:54" ht="24" customHeight="1">
      <c r="A45" s="14" t="s">
        <v>244</v>
      </c>
      <c r="B45" s="117">
        <v>0.98380000000000001</v>
      </c>
      <c r="C45" s="9"/>
      <c r="BB45" s="28"/>
    </row>
    <row r="47" spans="1:54">
      <c r="A47" s="164" t="s">
        <v>366</v>
      </c>
      <c r="B47" s="124"/>
      <c r="E47" s="108"/>
    </row>
    <row r="48" spans="1:54">
      <c r="A48" s="103"/>
      <c r="B48" s="108"/>
      <c r="C48" s="108"/>
    </row>
    <row r="49" spans="1:5">
      <c r="A49" s="104" t="s">
        <v>216</v>
      </c>
      <c r="B49" t="s">
        <v>367</v>
      </c>
      <c r="E49" s="16"/>
    </row>
    <row r="50" spans="1:5">
      <c r="A50" s="103"/>
      <c r="B50" s="16"/>
      <c r="C50" s="16"/>
    </row>
    <row r="51" spans="1:5">
      <c r="A51" s="104" t="s">
        <v>217</v>
      </c>
      <c r="E51" s="16"/>
    </row>
    <row r="52" spans="1:5">
      <c r="B52" s="16"/>
      <c r="C52" s="16"/>
    </row>
    <row r="53" spans="1:5" ht="12">
      <c r="A53" s="108" t="s">
        <v>218</v>
      </c>
    </row>
    <row r="54" spans="1:5" ht="12">
      <c r="A54" s="16"/>
    </row>
    <row r="55" spans="1:5" ht="12">
      <c r="A55" s="16" t="s">
        <v>219</v>
      </c>
    </row>
    <row r="56" spans="1:5" ht="12">
      <c r="A56"/>
      <c r="C56" s="124"/>
    </row>
    <row r="57" spans="1:5" ht="12">
      <c r="A57" s="16" t="s">
        <v>217</v>
      </c>
    </row>
    <row r="58" spans="1:5">
      <c r="C58" s="124"/>
    </row>
    <row r="59" spans="1:5">
      <c r="A59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indexed="56"/>
  </sheetPr>
  <dimension ref="A1:BJ59"/>
  <sheetViews>
    <sheetView workbookViewId="0">
      <pane xSplit="2" ySplit="7" topLeftCell="C42" activePane="bottomRight" state="frozen"/>
      <selection pane="topRight" activeCell="C1" sqref="C1"/>
      <selection pane="bottomLeft" activeCell="A18" sqref="A18"/>
      <selection pane="bottomRight" activeCell="B50" sqref="B50"/>
    </sheetView>
  </sheetViews>
  <sheetFormatPr defaultColWidth="11" defaultRowHeight="14.25"/>
  <cols>
    <col min="1" max="1" width="44.140625" style="1" customWidth="1"/>
    <col min="2" max="2" width="23.5703125" bestFit="1" customWidth="1"/>
    <col min="3" max="3" width="4.85546875" customWidth="1"/>
    <col min="4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16</v>
      </c>
    </row>
    <row r="7" spans="1:62" ht="36">
      <c r="A7" s="12" t="s">
        <v>6</v>
      </c>
      <c r="B7" s="565" t="s">
        <v>842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3499758</v>
      </c>
      <c r="C8" s="9"/>
      <c r="BB8" s="116"/>
    </row>
    <row r="9" spans="1:62" ht="24" customHeight="1">
      <c r="A9" s="14" t="s">
        <v>12</v>
      </c>
      <c r="B9" s="115">
        <v>3336618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v>3197868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138750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4.6600000000000003E-2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0.95330000000000004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456"/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456">
        <v>2621278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>
        <v>0</v>
      </c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5">
        <v>348750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2272528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364</v>
      </c>
      <c r="B21" s="115">
        <v>0</v>
      </c>
      <c r="C21" s="9"/>
      <c r="BB21" s="28"/>
    </row>
    <row r="22" spans="1:62" ht="24" customHeight="1">
      <c r="A22" s="14" t="s">
        <v>233</v>
      </c>
      <c r="B22" s="115">
        <v>2458138</v>
      </c>
      <c r="C22" s="9"/>
      <c r="BB22" s="28"/>
    </row>
    <row r="23" spans="1:62" ht="24" customHeight="1">
      <c r="A23" s="118" t="s">
        <v>213</v>
      </c>
      <c r="B23" s="119">
        <v>0</v>
      </c>
      <c r="C23" s="120"/>
      <c r="BB23" s="28"/>
    </row>
    <row r="24" spans="1:62" ht="24" customHeight="1">
      <c r="A24" s="118" t="s">
        <v>365</v>
      </c>
      <c r="B24" s="119"/>
      <c r="C24" s="120"/>
      <c r="BB24" s="28"/>
    </row>
    <row r="25" spans="1:62" ht="24" customHeight="1">
      <c r="A25" s="118" t="s">
        <v>234</v>
      </c>
      <c r="B25" s="119">
        <v>2319388</v>
      </c>
      <c r="C25" s="120"/>
      <c r="BB25" s="28"/>
    </row>
    <row r="26" spans="1:62" ht="24" customHeight="1">
      <c r="A26" s="14" t="s">
        <v>235</v>
      </c>
      <c r="B26" s="115">
        <v>138750</v>
      </c>
      <c r="C26" s="9"/>
      <c r="BB26" s="28"/>
    </row>
    <row r="27" spans="1:62" ht="24" customHeight="1">
      <c r="A27" s="14" t="s">
        <v>236</v>
      </c>
      <c r="B27" s="115">
        <v>0</v>
      </c>
      <c r="C27" s="9"/>
      <c r="BB27" s="28"/>
    </row>
    <row r="28" spans="1:62" ht="8.25" customHeight="1">
      <c r="A28" s="18"/>
      <c r="B28" s="121"/>
      <c r="C28" s="122"/>
      <c r="BB28" s="28"/>
    </row>
    <row r="29" spans="1:62" ht="24" customHeight="1">
      <c r="A29" s="14" t="s">
        <v>237</v>
      </c>
      <c r="B29" s="115">
        <f>B18</f>
        <v>348750</v>
      </c>
      <c r="C29" s="9"/>
      <c r="BB29" s="28"/>
    </row>
    <row r="30" spans="1:62" ht="24" customHeight="1">
      <c r="A30" s="14" t="s">
        <v>238</v>
      </c>
      <c r="B30" s="115">
        <f>B29</f>
        <v>348750</v>
      </c>
      <c r="C30" s="9"/>
      <c r="BB30" s="28"/>
    </row>
    <row r="31" spans="1:62" ht="24" customHeight="1">
      <c r="A31" s="118" t="s">
        <v>239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18" t="s">
        <v>240</v>
      </c>
      <c r="B33" s="119">
        <v>0</v>
      </c>
      <c r="C33" s="120"/>
      <c r="BB33" s="28"/>
    </row>
    <row r="34" spans="1:54" ht="24" customHeight="1">
      <c r="B34" s="78"/>
      <c r="BB34" s="28"/>
    </row>
    <row r="35" spans="1:54" ht="24" customHeight="1">
      <c r="A35" s="14" t="s">
        <v>58</v>
      </c>
      <c r="B35" s="115">
        <v>29051</v>
      </c>
      <c r="C35" s="9"/>
      <c r="BB35" s="28"/>
    </row>
    <row r="36" spans="1:54" ht="24" customHeight="1">
      <c r="A36" s="14" t="s">
        <v>241</v>
      </c>
      <c r="B36" s="115">
        <v>14631</v>
      </c>
      <c r="C36" s="9"/>
      <c r="BB36" s="28"/>
    </row>
    <row r="37" spans="1:54" ht="24" customHeight="1">
      <c r="A37" s="14" t="s">
        <v>206</v>
      </c>
      <c r="B37" s="115">
        <v>14420</v>
      </c>
      <c r="C37" s="9"/>
      <c r="BB37" s="28"/>
    </row>
    <row r="38" spans="1:54" ht="24" customHeight="1">
      <c r="B38" s="78"/>
      <c r="BB38" s="28"/>
    </row>
    <row r="39" spans="1:54" ht="24" customHeight="1">
      <c r="A39" s="118" t="s">
        <v>115</v>
      </c>
      <c r="B39" s="119">
        <v>0</v>
      </c>
      <c r="C39" s="120"/>
      <c r="BB39" s="28"/>
    </row>
    <row r="40" spans="1:54" ht="24" customHeight="1">
      <c r="A40" s="118" t="s">
        <v>242</v>
      </c>
      <c r="B40" s="119">
        <v>0</v>
      </c>
      <c r="C40" s="120"/>
      <c r="BB40" s="28"/>
    </row>
    <row r="41" spans="1:54" ht="24" customHeight="1">
      <c r="A41" s="118" t="s">
        <v>117</v>
      </c>
      <c r="B41" s="119">
        <v>0</v>
      </c>
      <c r="C41" s="120"/>
      <c r="BB41" s="28"/>
    </row>
    <row r="42" spans="1:54" ht="8.25" customHeight="1">
      <c r="A42" s="18"/>
      <c r="B42" s="121"/>
      <c r="C42" s="122"/>
      <c r="BB42" s="28"/>
    </row>
    <row r="43" spans="1:54" ht="24" customHeight="1">
      <c r="B43" s="78"/>
      <c r="BB43" s="28"/>
    </row>
    <row r="44" spans="1:54" ht="24" customHeight="1">
      <c r="A44" s="14" t="s">
        <v>243</v>
      </c>
      <c r="B44" s="117">
        <f>B12</f>
        <v>4.6600000000000003E-2</v>
      </c>
      <c r="C44" s="9"/>
      <c r="BB44" s="28"/>
    </row>
    <row r="45" spans="1:54" ht="24" customHeight="1">
      <c r="A45" s="14" t="s">
        <v>244</v>
      </c>
      <c r="B45" s="117">
        <f>B13</f>
        <v>0.95330000000000004</v>
      </c>
      <c r="C45" s="9"/>
      <c r="BB45" s="28"/>
    </row>
    <row r="47" spans="1:54">
      <c r="A47" s="164" t="s">
        <v>366</v>
      </c>
      <c r="B47" s="124"/>
      <c r="E47" s="108"/>
    </row>
    <row r="48" spans="1:54">
      <c r="A48" s="103"/>
      <c r="B48" s="108"/>
      <c r="C48" s="108"/>
    </row>
    <row r="49" spans="1:5">
      <c r="A49" s="104" t="s">
        <v>216</v>
      </c>
      <c r="B49" t="s">
        <v>367</v>
      </c>
      <c r="E49" s="16"/>
    </row>
    <row r="50" spans="1:5">
      <c r="A50" s="103"/>
      <c r="B50" s="16"/>
      <c r="C50" s="16"/>
    </row>
    <row r="51" spans="1:5">
      <c r="A51" s="104" t="s">
        <v>217</v>
      </c>
      <c r="E51" s="16"/>
    </row>
    <row r="52" spans="1:5">
      <c r="B52" s="16"/>
      <c r="C52" s="16"/>
    </row>
    <row r="53" spans="1:5" ht="12">
      <c r="A53" s="108" t="s">
        <v>218</v>
      </c>
    </row>
    <row r="54" spans="1:5" ht="12">
      <c r="A54" s="16"/>
    </row>
    <row r="55" spans="1:5" ht="12">
      <c r="A55" s="16" t="s">
        <v>219</v>
      </c>
    </row>
    <row r="56" spans="1:5" ht="12">
      <c r="A56"/>
      <c r="C56" s="124"/>
    </row>
    <row r="57" spans="1:5" ht="12">
      <c r="A57" s="16" t="s">
        <v>217</v>
      </c>
    </row>
    <row r="58" spans="1:5">
      <c r="C58" s="124"/>
    </row>
    <row r="59" spans="1:5">
      <c r="A59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indexed="53"/>
  </sheetPr>
  <dimension ref="A1:BJ80"/>
  <sheetViews>
    <sheetView workbookViewId="0">
      <pane xSplit="3" ySplit="7" topLeftCell="D27" activePane="bottomRight" state="frozen"/>
      <selection pane="topRight" activeCell="D1" sqref="D1"/>
      <selection pane="bottomLeft" activeCell="A19" sqref="A19"/>
      <selection pane="bottomRight" activeCell="B27" sqref="B27"/>
    </sheetView>
  </sheetViews>
  <sheetFormatPr defaultColWidth="11" defaultRowHeight="14.25"/>
  <cols>
    <col min="1" max="1" width="41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36</v>
      </c>
      <c r="C2" s="8" t="s">
        <v>2</v>
      </c>
    </row>
    <row r="3" spans="1:7" ht="15">
      <c r="A3" s="6"/>
      <c r="B3" s="7" t="s">
        <v>391</v>
      </c>
      <c r="C3" s="9"/>
    </row>
    <row r="4" spans="1:7" ht="24" customHeight="1">
      <c r="A4" s="6" t="s">
        <v>4</v>
      </c>
      <c r="B4" s="10">
        <v>1</v>
      </c>
      <c r="C4" s="9"/>
    </row>
    <row r="5" spans="1:7" ht="24" customHeight="1">
      <c r="C5" s="9"/>
    </row>
    <row r="6" spans="1:7" ht="24" customHeight="1">
      <c r="A6" s="11" t="s">
        <v>5</v>
      </c>
      <c r="B6" s="38">
        <v>44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323</v>
      </c>
      <c r="B8" s="15">
        <v>2330166.85</v>
      </c>
      <c r="C8" s="14"/>
    </row>
    <row r="9" spans="1:7" ht="24" customHeight="1">
      <c r="A9" s="14" t="s">
        <v>325</v>
      </c>
      <c r="B9" s="15">
        <v>2149819.69</v>
      </c>
      <c r="C9" s="14"/>
    </row>
    <row r="10" spans="1:7" ht="24" customHeight="1">
      <c r="A10" s="14" t="s">
        <v>125</v>
      </c>
      <c r="B10" s="64">
        <v>3228120</v>
      </c>
      <c r="C10" s="14"/>
    </row>
    <row r="11" spans="1:7" ht="24" customHeight="1">
      <c r="A11" s="14" t="s">
        <v>392</v>
      </c>
      <c r="B11" s="15">
        <v>0.72</v>
      </c>
      <c r="C11" s="14"/>
    </row>
    <row r="12" spans="1:7" ht="24" customHeight="1">
      <c r="A12" s="14" t="s">
        <v>393</v>
      </c>
      <c r="B12" s="64">
        <v>416561</v>
      </c>
      <c r="C12" s="14"/>
    </row>
    <row r="13" spans="1:7" ht="24" customHeight="1">
      <c r="A13" s="14" t="s">
        <v>394</v>
      </c>
      <c r="B13" s="64">
        <v>2811559</v>
      </c>
      <c r="C13" s="9"/>
      <c r="D13" s="16"/>
      <c r="E13" s="16"/>
      <c r="F13" s="16"/>
      <c r="G13" s="16"/>
    </row>
    <row r="14" spans="1:7" ht="24" customHeight="1">
      <c r="A14" s="14" t="s">
        <v>395</v>
      </c>
      <c r="B14" s="64">
        <v>104920</v>
      </c>
      <c r="C14" s="9"/>
      <c r="D14" s="16"/>
      <c r="E14" s="16"/>
      <c r="F14" s="16"/>
      <c r="G14" s="16"/>
    </row>
    <row r="15" spans="1:7" ht="24" customHeight="1">
      <c r="A15" s="14" t="s">
        <v>396</v>
      </c>
      <c r="B15" s="64">
        <v>1097</v>
      </c>
      <c r="C15" s="9"/>
      <c r="D15" s="16"/>
      <c r="E15" s="16"/>
      <c r="F15" s="16"/>
      <c r="G15" s="16"/>
    </row>
    <row r="16" spans="1:7" ht="24" customHeight="1">
      <c r="A16" s="14" t="s">
        <v>397</v>
      </c>
      <c r="B16" s="21">
        <v>0.92259999999999998</v>
      </c>
      <c r="C16" s="9"/>
      <c r="D16" s="16"/>
      <c r="E16" s="16"/>
      <c r="F16" s="16"/>
      <c r="G16" s="16"/>
    </row>
    <row r="17" spans="1:7" ht="24" customHeight="1">
      <c r="A17" s="14" t="s">
        <v>398</v>
      </c>
      <c r="B17" s="21">
        <v>7.7399999999999997E-2</v>
      </c>
      <c r="C17" s="9"/>
      <c r="D17" s="16"/>
      <c r="E17" s="16"/>
      <c r="F17" s="16"/>
      <c r="G17" s="16"/>
    </row>
    <row r="18" spans="1:7" ht="24" customHeight="1">
      <c r="A18" s="14" t="s">
        <v>399</v>
      </c>
      <c r="B18" s="524">
        <v>6712</v>
      </c>
      <c r="C18" s="9"/>
    </row>
    <row r="19" spans="1:7" ht="24" customHeight="1">
      <c r="A19" s="14" t="s">
        <v>400</v>
      </c>
      <c r="B19" s="524">
        <v>3216</v>
      </c>
      <c r="C19" s="20"/>
    </row>
    <row r="20" spans="1:7" ht="24" customHeight="1">
      <c r="A20" s="14" t="s">
        <v>401</v>
      </c>
      <c r="B20" s="513">
        <v>649557.94999999995</v>
      </c>
      <c r="C20" s="9"/>
    </row>
    <row r="21" spans="1:7" ht="24" customHeight="1">
      <c r="A21" s="14" t="s">
        <v>402</v>
      </c>
      <c r="B21" s="513">
        <v>829895.11</v>
      </c>
      <c r="C21" s="9"/>
    </row>
    <row r="22" spans="1:7" ht="24" customHeight="1">
      <c r="A22" s="14" t="s">
        <v>403</v>
      </c>
      <c r="B22" s="21">
        <v>0.78269999999999995</v>
      </c>
      <c r="C22" s="9"/>
    </row>
    <row r="23" spans="1:7" ht="24" customHeight="1">
      <c r="A23" s="14" t="s">
        <v>404</v>
      </c>
      <c r="B23" s="513">
        <v>180347.16</v>
      </c>
      <c r="C23" s="9"/>
    </row>
    <row r="24" spans="1:7" ht="24" customHeight="1">
      <c r="A24" s="14" t="s">
        <v>405</v>
      </c>
      <c r="B24" s="513">
        <v>22381</v>
      </c>
      <c r="C24" s="9"/>
      <c r="D24" s="16"/>
      <c r="E24" s="16"/>
      <c r="F24" s="16"/>
      <c r="G24" s="16"/>
    </row>
    <row r="25" spans="1:7" ht="24" customHeight="1">
      <c r="A25" s="14" t="s">
        <v>406</v>
      </c>
      <c r="B25" s="525">
        <v>649557.94999999995</v>
      </c>
      <c r="C25" s="9"/>
    </row>
    <row r="26" spans="1:7" ht="24" customHeight="1">
      <c r="A26" s="14" t="s">
        <v>407</v>
      </c>
      <c r="B26" s="513">
        <v>807524.11</v>
      </c>
      <c r="C26" s="9"/>
    </row>
    <row r="27" spans="1:7" ht="24" customHeight="1">
      <c r="A27" s="14" t="s">
        <v>231</v>
      </c>
      <c r="B27" s="513">
        <f>B26</f>
        <v>807524.11</v>
      </c>
      <c r="C27" s="9"/>
    </row>
    <row r="28" spans="1:7" ht="24" customHeight="1">
      <c r="A28" s="14" t="s">
        <v>212</v>
      </c>
      <c r="B28" s="17">
        <v>0</v>
      </c>
      <c r="C28" s="9"/>
    </row>
    <row r="29" spans="1:7">
      <c r="G29">
        <v>0</v>
      </c>
    </row>
    <row r="31" spans="1:7" ht="24" customHeight="1">
      <c r="A31" s="14"/>
      <c r="B31" s="17" t="s">
        <v>36</v>
      </c>
      <c r="C31" s="9"/>
    </row>
    <row r="32" spans="1:7" ht="24" customHeight="1">
      <c r="A32" s="14"/>
      <c r="B32" s="17"/>
      <c r="C32" s="9"/>
    </row>
    <row r="33" spans="1:62" ht="24" customHeight="1">
      <c r="A33" s="22"/>
      <c r="B33" s="177"/>
      <c r="C33" s="24"/>
    </row>
    <row r="34" spans="1:62" ht="24" customHeight="1">
      <c r="A34" s="14"/>
      <c r="B34" s="29" t="s">
        <v>104</v>
      </c>
      <c r="C34" s="9"/>
    </row>
    <row r="35" spans="1:62" ht="24" customHeight="1">
      <c r="B35" s="29"/>
      <c r="C35" s="9"/>
      <c r="BB35" s="28"/>
      <c r="BC35" s="16"/>
      <c r="BD35" s="16"/>
      <c r="BE35" s="16"/>
      <c r="BF35" s="16"/>
      <c r="BG35" s="16"/>
      <c r="BH35" s="16"/>
      <c r="BI35" s="16"/>
      <c r="BJ35" s="16"/>
    </row>
    <row r="36" spans="1:62" ht="24" customHeight="1">
      <c r="A36" s="14"/>
      <c r="B36" s="29"/>
      <c r="C36" s="27"/>
    </row>
    <row r="37" spans="1:62" ht="24" customHeight="1">
      <c r="A37" s="14"/>
      <c r="B37" s="17"/>
      <c r="C37" s="9"/>
    </row>
    <row r="38" spans="1:62" ht="24" customHeight="1">
      <c r="A38" s="14"/>
      <c r="B38" s="17"/>
      <c r="C38" s="9"/>
    </row>
    <row r="39" spans="1:62" ht="24" customHeight="1">
      <c r="A39" s="14"/>
      <c r="B39" s="17"/>
      <c r="C39" s="9"/>
    </row>
    <row r="40" spans="1:62" ht="24" customHeight="1">
      <c r="A40" s="14"/>
      <c r="B40" s="17"/>
      <c r="C40" s="9"/>
    </row>
    <row r="41" spans="1:62" ht="24" customHeight="1">
      <c r="A41" s="14"/>
      <c r="B41" s="17"/>
      <c r="C41" s="9"/>
    </row>
    <row r="42" spans="1:62" ht="24" customHeight="1">
      <c r="A42" s="14"/>
      <c r="B42" s="17"/>
      <c r="C42" s="9"/>
    </row>
    <row r="43" spans="1:62" ht="24" customHeight="1">
      <c r="C43" s="9"/>
    </row>
    <row r="44" spans="1:62" ht="24" customHeight="1">
      <c r="A44" s="14"/>
      <c r="B44" s="17"/>
      <c r="C44" s="9"/>
    </row>
    <row r="45" spans="1:62" ht="24" customHeight="1">
      <c r="A45" s="14"/>
      <c r="B45" s="177"/>
      <c r="C45" s="24"/>
    </row>
    <row r="46" spans="1:62" ht="24" customHeight="1">
      <c r="B46" s="29"/>
      <c r="C46" s="9"/>
      <c r="BB46" s="28"/>
      <c r="BC46" s="16"/>
      <c r="BD46" s="16"/>
      <c r="BE46" s="16"/>
      <c r="BF46" s="16"/>
      <c r="BG46" s="16"/>
      <c r="BH46" s="16"/>
      <c r="BI46" s="16"/>
      <c r="BJ46" s="16"/>
    </row>
    <row r="47" spans="1:62" ht="24" customHeight="1">
      <c r="A47" s="14"/>
      <c r="B47" s="29"/>
      <c r="C47" s="9"/>
      <c r="BB47" s="16"/>
      <c r="BC47" s="16"/>
      <c r="BD47" s="16"/>
      <c r="BE47" s="16"/>
      <c r="BF47" s="16"/>
      <c r="BG47" s="16"/>
      <c r="BH47" s="16"/>
      <c r="BI47" s="16"/>
      <c r="BJ47" s="16"/>
    </row>
    <row r="48" spans="1:62" ht="24" customHeight="1">
      <c r="A48" s="31"/>
      <c r="B48" s="178"/>
      <c r="C48" s="33"/>
    </row>
    <row r="49" spans="1:3" ht="24" customHeight="1">
      <c r="A49" s="14"/>
      <c r="B49" s="17"/>
      <c r="C49" s="9"/>
    </row>
    <row r="50" spans="1:3" ht="24" customHeight="1">
      <c r="A50" s="14"/>
      <c r="B50" s="17"/>
      <c r="C50" s="9"/>
    </row>
    <row r="51" spans="1:3" ht="24" customHeight="1">
      <c r="A51" s="14"/>
      <c r="B51" s="17"/>
      <c r="C51" s="9"/>
    </row>
    <row r="52" spans="1:3" ht="24" customHeight="1">
      <c r="A52" s="14"/>
      <c r="B52" s="17"/>
      <c r="C52" s="9"/>
    </row>
    <row r="53" spans="1:3" ht="24" customHeight="1">
      <c r="A53" s="14"/>
      <c r="B53" s="17"/>
      <c r="C53" s="9"/>
    </row>
    <row r="54" spans="1:3" ht="24" customHeight="1">
      <c r="A54" s="14"/>
      <c r="B54" s="17"/>
      <c r="C54" s="9"/>
    </row>
    <row r="55" spans="1:3" ht="24" customHeight="1">
      <c r="A55" s="18"/>
      <c r="B55" s="19"/>
      <c r="C55" s="20"/>
    </row>
    <row r="56" spans="1:3" ht="24" customHeight="1">
      <c r="A56" s="14"/>
      <c r="B56" s="17"/>
      <c r="C56" s="9"/>
    </row>
    <row r="57" spans="1:3" ht="24" customHeight="1">
      <c r="A57" s="14"/>
      <c r="B57" s="17"/>
      <c r="C57" s="9"/>
    </row>
    <row r="58" spans="1:3" ht="24" customHeight="1">
      <c r="A58" s="14"/>
      <c r="B58" s="17"/>
      <c r="C58" s="9"/>
    </row>
    <row r="59" spans="1:3" ht="24" customHeight="1">
      <c r="A59" s="14"/>
      <c r="B59" s="17"/>
      <c r="C59" s="9"/>
    </row>
    <row r="60" spans="1:3" ht="24" customHeight="1">
      <c r="A60" s="14"/>
      <c r="B60" s="17"/>
      <c r="C60" s="9"/>
    </row>
    <row r="61" spans="1:3" ht="24" customHeight="1">
      <c r="A61" s="14"/>
      <c r="B61" s="17"/>
      <c r="C61" s="9"/>
    </row>
    <row r="62" spans="1:3" ht="24" customHeight="1">
      <c r="A62" s="14"/>
      <c r="B62" s="17"/>
      <c r="C62" s="9"/>
    </row>
    <row r="63" spans="1:3" ht="24" customHeight="1">
      <c r="A63" s="14"/>
      <c r="B63" s="17"/>
      <c r="C63" s="9"/>
    </row>
    <row r="64" spans="1:3" ht="24" customHeight="1">
      <c r="A64" s="14"/>
      <c r="B64" s="17"/>
      <c r="C64" s="9"/>
    </row>
    <row r="65" spans="1:3" ht="24" customHeight="1">
      <c r="A65" s="14"/>
      <c r="B65" s="17"/>
      <c r="C65" s="9"/>
    </row>
    <row r="66" spans="1:3" ht="24" customHeight="1">
      <c r="A66" s="14"/>
      <c r="B66" s="17"/>
      <c r="C66" s="9"/>
    </row>
    <row r="67" spans="1:3" ht="24" customHeight="1">
      <c r="A67" s="14"/>
      <c r="B67" s="17"/>
      <c r="C67" s="9"/>
    </row>
    <row r="68" spans="1:3" ht="24" customHeight="1">
      <c r="A68" s="14"/>
      <c r="B68" s="17"/>
      <c r="C68" s="9"/>
    </row>
    <row r="69" spans="1:3" ht="24" customHeight="1">
      <c r="A69" s="14"/>
      <c r="B69" s="35"/>
      <c r="C69" s="9"/>
    </row>
    <row r="70" spans="1:3" ht="24" customHeight="1">
      <c r="A70" s="14"/>
      <c r="B70" s="35"/>
      <c r="C70" s="9"/>
    </row>
    <row r="71" spans="1:3" ht="24" customHeight="1">
      <c r="A71" s="14"/>
      <c r="B71" s="35"/>
      <c r="C71" s="9"/>
    </row>
    <row r="72" spans="1:3" ht="24" customHeight="1">
      <c r="A72" s="14"/>
      <c r="B72" s="35"/>
      <c r="C72" s="9"/>
    </row>
    <row r="73" spans="1:3" ht="24" customHeight="1">
      <c r="A73" s="14"/>
      <c r="B73" s="35"/>
      <c r="C73" s="9"/>
    </row>
    <row r="74" spans="1:3" ht="24" customHeight="1">
      <c r="A74" s="14"/>
      <c r="B74" s="17"/>
      <c r="C74" s="9"/>
    </row>
    <row r="75" spans="1:3" ht="24" customHeight="1">
      <c r="A75" s="14"/>
      <c r="B75" s="17"/>
      <c r="C75" s="9"/>
    </row>
    <row r="76" spans="1:3" ht="24" customHeight="1">
      <c r="A76" s="14"/>
      <c r="B76" s="17"/>
      <c r="C76" s="9"/>
    </row>
    <row r="77" spans="1:3" ht="24" customHeight="1">
      <c r="A77" s="14"/>
      <c r="B77" s="17"/>
      <c r="C77" s="9"/>
    </row>
    <row r="78" spans="1:3" ht="24" customHeight="1">
      <c r="A78" s="14"/>
      <c r="B78" s="17"/>
      <c r="C78" s="9"/>
    </row>
    <row r="79" spans="1:3" ht="24" customHeight="1">
      <c r="A79" s="14"/>
      <c r="B79" s="17"/>
      <c r="C79" s="9"/>
    </row>
    <row r="80" spans="1:3" ht="24" customHeight="1">
      <c r="A80" s="14"/>
      <c r="B80" s="17"/>
      <c r="C80" s="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colBreaks count="1" manualBreakCount="1">
    <brk id="3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indexed="53"/>
  </sheetPr>
  <dimension ref="A1:BJ79"/>
  <sheetViews>
    <sheetView workbookViewId="0">
      <pane xSplit="3" ySplit="7" topLeftCell="D22" activePane="bottomRight" state="frozen"/>
      <selection pane="topRight" activeCell="D1" sqref="D1"/>
      <selection pane="bottomLeft" activeCell="A20" sqref="A20"/>
      <selection pane="bottomRight" activeCell="B27" sqref="B27"/>
    </sheetView>
  </sheetViews>
  <sheetFormatPr defaultColWidth="11" defaultRowHeight="14.25"/>
  <cols>
    <col min="1" max="1" width="41" style="1" customWidth="1"/>
    <col min="2" max="2" width="30" style="2" customWidth="1"/>
    <col min="3" max="3" width="4.85546875" customWidth="1"/>
    <col min="4" max="4" width="11.42578125" customWidth="1"/>
    <col min="5" max="5" width="9.4257812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3">
      <c r="A1" s="3"/>
      <c r="B1" s="4"/>
      <c r="C1" s="5"/>
    </row>
    <row r="2" spans="1:13" ht="15">
      <c r="A2" s="6" t="s">
        <v>0</v>
      </c>
      <c r="B2" s="7" t="s">
        <v>1</v>
      </c>
      <c r="C2" s="8" t="s">
        <v>2</v>
      </c>
    </row>
    <row r="3" spans="1:13" ht="15">
      <c r="A3" s="6"/>
      <c r="B3" s="7" t="s">
        <v>408</v>
      </c>
      <c r="C3" s="9"/>
    </row>
    <row r="4" spans="1:13" ht="24" customHeight="1">
      <c r="A4" s="6" t="s">
        <v>4</v>
      </c>
      <c r="B4" s="10">
        <v>1</v>
      </c>
      <c r="C4" s="9"/>
    </row>
    <row r="5" spans="1:13" ht="24" customHeight="1">
      <c r="C5" s="9"/>
    </row>
    <row r="6" spans="1:13" ht="24" customHeight="1">
      <c r="A6" s="11" t="s">
        <v>5</v>
      </c>
      <c r="B6" s="38">
        <v>45</v>
      </c>
      <c r="C6" s="9"/>
    </row>
    <row r="7" spans="1:13" ht="24" customHeight="1">
      <c r="A7" s="12" t="s">
        <v>6</v>
      </c>
      <c r="B7" s="13" t="s">
        <v>7</v>
      </c>
      <c r="C7" s="9"/>
      <c r="G7">
        <v>5</v>
      </c>
    </row>
    <row r="8" spans="1:13" ht="24" customHeight="1">
      <c r="A8" s="14" t="s">
        <v>323</v>
      </c>
      <c r="B8" s="513">
        <v>1457485.68</v>
      </c>
      <c r="C8" s="14"/>
    </row>
    <row r="9" spans="1:13" ht="24" customHeight="1">
      <c r="A9" s="14" t="s">
        <v>325</v>
      </c>
      <c r="B9" s="513">
        <v>1345860.46</v>
      </c>
      <c r="C9" s="14"/>
    </row>
    <row r="10" spans="1:13" ht="24" customHeight="1">
      <c r="A10" s="14" t="s">
        <v>125</v>
      </c>
      <c r="B10" s="64">
        <v>1943466</v>
      </c>
      <c r="C10" s="14"/>
      <c r="M10">
        <v>4</v>
      </c>
    </row>
    <row r="11" spans="1:13" ht="24" customHeight="1">
      <c r="A11" s="14" t="s">
        <v>392</v>
      </c>
      <c r="B11" s="17">
        <v>0.75</v>
      </c>
      <c r="C11" s="14"/>
    </row>
    <row r="12" spans="1:13" ht="24" customHeight="1">
      <c r="A12" s="14" t="s">
        <v>393</v>
      </c>
      <c r="B12" s="524">
        <v>369308</v>
      </c>
      <c r="C12" s="14"/>
    </row>
    <row r="13" spans="1:13" ht="24" customHeight="1">
      <c r="A13" s="14" t="s">
        <v>394</v>
      </c>
      <c r="B13" s="179">
        <v>1574158</v>
      </c>
      <c r="C13" s="9"/>
      <c r="D13" s="16"/>
      <c r="E13" s="16"/>
      <c r="F13" s="16"/>
      <c r="G13" s="16"/>
    </row>
    <row r="14" spans="1:13" ht="24" customHeight="1">
      <c r="A14" s="14" t="s">
        <v>395</v>
      </c>
      <c r="B14" s="524">
        <v>112977</v>
      </c>
      <c r="C14" s="9"/>
      <c r="D14" s="16"/>
      <c r="E14" s="16"/>
      <c r="F14" s="16"/>
      <c r="G14" s="16"/>
    </row>
    <row r="15" spans="1:13" ht="24" customHeight="1">
      <c r="A15" s="14" t="s">
        <v>396</v>
      </c>
      <c r="B15" s="179">
        <v>1619</v>
      </c>
      <c r="C15" s="9"/>
      <c r="D15" s="16"/>
      <c r="E15" s="16"/>
      <c r="F15" s="16"/>
      <c r="G15" s="16"/>
    </row>
    <row r="16" spans="1:13" ht="24" customHeight="1">
      <c r="A16" s="14" t="s">
        <v>397</v>
      </c>
      <c r="B16" s="21">
        <v>0.9234</v>
      </c>
      <c r="C16" s="9"/>
      <c r="D16" s="16"/>
      <c r="E16" s="16"/>
      <c r="F16" s="16"/>
      <c r="G16" s="16"/>
    </row>
    <row r="17" spans="1:7" ht="24" customHeight="1">
      <c r="A17" s="14" t="s">
        <v>398</v>
      </c>
      <c r="B17" s="21">
        <v>7.6600000000000001E-2</v>
      </c>
      <c r="C17" s="9"/>
      <c r="D17" s="16"/>
      <c r="E17" s="16"/>
      <c r="F17" s="16"/>
      <c r="G17" s="16"/>
    </row>
    <row r="18" spans="1:7" ht="24" customHeight="1">
      <c r="A18" s="14" t="s">
        <v>399</v>
      </c>
      <c r="B18" s="524">
        <v>7421</v>
      </c>
      <c r="C18" s="9"/>
    </row>
    <row r="19" spans="1:7" ht="24" customHeight="1">
      <c r="A19" s="14" t="s">
        <v>400</v>
      </c>
      <c r="B19" s="524">
        <v>4195</v>
      </c>
      <c r="C19" s="64"/>
    </row>
    <row r="20" spans="1:7" ht="24" customHeight="1">
      <c r="A20" s="14" t="s">
        <v>401</v>
      </c>
      <c r="B20" s="513">
        <v>10371</v>
      </c>
      <c r="C20" s="9"/>
      <c r="E20" t="s">
        <v>402</v>
      </c>
    </row>
    <row r="21" spans="1:7" ht="24" customHeight="1">
      <c r="A21" s="14" t="s">
        <v>402</v>
      </c>
      <c r="B21" s="513">
        <v>465680</v>
      </c>
      <c r="C21" s="9"/>
      <c r="E21" s="2" t="b">
        <f>B21=B24+B26</f>
        <v>1</v>
      </c>
    </row>
    <row r="22" spans="1:7" ht="24" customHeight="1">
      <c r="A22" s="14" t="s">
        <v>403</v>
      </c>
      <c r="B22" s="21">
        <v>0.76029999999999998</v>
      </c>
      <c r="C22" s="9"/>
    </row>
    <row r="23" spans="1:7" ht="24" customHeight="1">
      <c r="A23" s="14" t="s">
        <v>404</v>
      </c>
      <c r="B23" s="513">
        <v>111625.22</v>
      </c>
      <c r="C23" s="9"/>
    </row>
    <row r="24" spans="1:7" ht="24" customHeight="1">
      <c r="A24" s="14" t="s">
        <v>405</v>
      </c>
      <c r="B24" s="513">
        <v>10371</v>
      </c>
      <c r="C24" s="9"/>
      <c r="D24" s="16"/>
      <c r="E24" s="16"/>
      <c r="F24" s="16"/>
      <c r="G24" s="16"/>
    </row>
    <row r="25" spans="1:7" ht="24" customHeight="1">
      <c r="A25" s="14" t="s">
        <v>406</v>
      </c>
      <c r="B25" s="525">
        <v>354054.78</v>
      </c>
      <c r="C25" s="9"/>
    </row>
    <row r="26" spans="1:7" ht="24" customHeight="1">
      <c r="A26" s="14" t="s">
        <v>231</v>
      </c>
      <c r="B26" s="513">
        <v>455309</v>
      </c>
      <c r="C26" s="9"/>
    </row>
    <row r="27" spans="1:7" ht="24" customHeight="1">
      <c r="A27" s="14" t="s">
        <v>407</v>
      </c>
      <c r="B27" s="513">
        <f>B26</f>
        <v>455309</v>
      </c>
      <c r="C27" s="9"/>
    </row>
    <row r="30" spans="1:7" ht="24" customHeight="1">
      <c r="A30" s="14"/>
      <c r="B30" s="17" t="s">
        <v>36</v>
      </c>
      <c r="C30" s="9"/>
    </row>
    <row r="31" spans="1:7" ht="24" customHeight="1">
      <c r="A31" s="14"/>
      <c r="B31" s="17"/>
      <c r="C31" s="9"/>
    </row>
    <row r="32" spans="1:7" ht="24" customHeight="1">
      <c r="A32" s="22"/>
      <c r="B32" s="177"/>
      <c r="C32" s="24"/>
    </row>
    <row r="33" spans="1:62" ht="24" customHeight="1">
      <c r="A33" s="14"/>
      <c r="B33" s="29"/>
      <c r="C33" s="9"/>
    </row>
    <row r="34" spans="1:62" ht="24" customHeight="1">
      <c r="B34" s="29"/>
      <c r="C34" s="9"/>
      <c r="BB34" s="28"/>
      <c r="BC34" s="16"/>
      <c r="BD34" s="16"/>
      <c r="BE34" s="16"/>
      <c r="BF34" s="16"/>
      <c r="BG34" s="16"/>
      <c r="BH34" s="16"/>
      <c r="BI34" s="16"/>
      <c r="BJ34" s="16"/>
    </row>
    <row r="35" spans="1:62" ht="24" customHeight="1">
      <c r="A35" s="14"/>
      <c r="B35" s="29"/>
      <c r="C35" s="27"/>
    </row>
    <row r="36" spans="1:62" ht="24" customHeight="1">
      <c r="A36" s="14"/>
      <c r="B36" s="17"/>
      <c r="C36" s="9"/>
    </row>
    <row r="37" spans="1:62" ht="24" customHeight="1">
      <c r="A37" s="14"/>
      <c r="B37" s="17"/>
      <c r="C37" s="9"/>
    </row>
    <row r="38" spans="1:62" ht="24" customHeight="1">
      <c r="A38" s="14"/>
      <c r="B38" s="17"/>
      <c r="C38" s="9"/>
    </row>
    <row r="39" spans="1:62" ht="24" customHeight="1">
      <c r="A39" s="14"/>
      <c r="B39" s="17"/>
      <c r="C39" s="9"/>
    </row>
    <row r="40" spans="1:62" ht="24" customHeight="1">
      <c r="A40" s="14"/>
      <c r="B40" s="17"/>
      <c r="C40" s="9"/>
    </row>
    <row r="41" spans="1:62" ht="24" customHeight="1">
      <c r="A41" s="14"/>
      <c r="B41" s="17"/>
      <c r="C41" s="9"/>
    </row>
    <row r="42" spans="1:62" ht="24" customHeight="1">
      <c r="C42" s="9"/>
    </row>
    <row r="43" spans="1:62" ht="24" customHeight="1">
      <c r="A43" s="14"/>
      <c r="B43" s="17"/>
      <c r="C43" s="9"/>
    </row>
    <row r="44" spans="1:62" ht="24" customHeight="1">
      <c r="A44" s="14"/>
      <c r="B44" s="177"/>
      <c r="C44" s="24"/>
    </row>
    <row r="45" spans="1:62" ht="24" customHeight="1">
      <c r="B45" s="29"/>
      <c r="C45" s="9"/>
      <c r="BB45" s="28"/>
      <c r="BC45" s="16"/>
      <c r="BD45" s="16"/>
      <c r="BE45" s="16"/>
      <c r="BF45" s="16"/>
      <c r="BG45" s="16"/>
      <c r="BH45" s="16"/>
      <c r="BI45" s="16"/>
      <c r="BJ45" s="16"/>
    </row>
    <row r="46" spans="1:62" ht="24" customHeight="1">
      <c r="A46" s="14"/>
      <c r="B46" s="29"/>
      <c r="C46" s="9"/>
      <c r="BB46" s="16"/>
      <c r="BC46" s="16"/>
      <c r="BD46" s="16"/>
      <c r="BE46" s="16"/>
      <c r="BF46" s="16"/>
      <c r="BG46" s="16"/>
      <c r="BH46" s="16"/>
      <c r="BI46" s="16"/>
      <c r="BJ46" s="16"/>
    </row>
    <row r="47" spans="1:62" ht="24" customHeight="1">
      <c r="A47" s="31"/>
      <c r="B47" s="178"/>
      <c r="C47" s="33"/>
    </row>
    <row r="48" spans="1:62" ht="24" customHeight="1">
      <c r="A48" s="14"/>
      <c r="B48" s="17"/>
      <c r="C48" s="9"/>
    </row>
    <row r="49" spans="1:3" ht="24" customHeight="1">
      <c r="A49" s="14"/>
      <c r="B49" s="17"/>
      <c r="C49" s="9"/>
    </row>
    <row r="50" spans="1:3" ht="24" customHeight="1">
      <c r="A50" s="14"/>
      <c r="B50" s="17"/>
      <c r="C50" s="9"/>
    </row>
    <row r="51" spans="1:3" ht="24" customHeight="1">
      <c r="A51" s="14"/>
      <c r="B51" s="17"/>
      <c r="C51" s="9"/>
    </row>
    <row r="52" spans="1:3" ht="24" customHeight="1">
      <c r="A52" s="14"/>
      <c r="B52" s="17"/>
      <c r="C52" s="9"/>
    </row>
    <row r="53" spans="1:3" ht="24" customHeight="1">
      <c r="A53" s="14"/>
      <c r="B53" s="17"/>
      <c r="C53" s="9"/>
    </row>
    <row r="54" spans="1:3" ht="24" customHeight="1">
      <c r="A54" s="18"/>
      <c r="B54" s="19"/>
      <c r="C54" s="20"/>
    </row>
    <row r="55" spans="1:3" ht="24" customHeight="1">
      <c r="A55" s="14"/>
      <c r="B55" s="17"/>
      <c r="C55" s="9"/>
    </row>
    <row r="56" spans="1:3" ht="24" customHeight="1">
      <c r="A56" s="14"/>
      <c r="B56" s="17"/>
      <c r="C56" s="9"/>
    </row>
    <row r="57" spans="1:3" ht="24" customHeight="1">
      <c r="A57" s="14"/>
      <c r="B57" s="17"/>
      <c r="C57" s="9"/>
    </row>
    <row r="58" spans="1:3" ht="24" customHeight="1">
      <c r="A58" s="14"/>
      <c r="B58" s="17"/>
      <c r="C58" s="9"/>
    </row>
    <row r="59" spans="1:3" ht="24" customHeight="1">
      <c r="A59" s="14"/>
      <c r="B59" s="17"/>
      <c r="C59" s="9"/>
    </row>
    <row r="60" spans="1:3" ht="24" customHeight="1">
      <c r="A60" s="14"/>
      <c r="B60" s="17"/>
      <c r="C60" s="9"/>
    </row>
    <row r="61" spans="1:3" ht="24" customHeight="1">
      <c r="A61" s="14"/>
      <c r="B61" s="17"/>
      <c r="C61" s="9"/>
    </row>
    <row r="62" spans="1:3" ht="24" customHeight="1">
      <c r="A62" s="14"/>
      <c r="B62" s="17"/>
      <c r="C62" s="9"/>
    </row>
    <row r="63" spans="1:3" ht="24" customHeight="1">
      <c r="A63" s="14"/>
      <c r="B63" s="17"/>
      <c r="C63" s="9"/>
    </row>
    <row r="64" spans="1:3" ht="24" customHeight="1">
      <c r="A64" s="14"/>
      <c r="B64" s="17"/>
      <c r="C64" s="9"/>
    </row>
    <row r="65" spans="1:3" ht="24" customHeight="1">
      <c r="A65" s="14"/>
      <c r="B65" s="17"/>
      <c r="C65" s="9"/>
    </row>
    <row r="66" spans="1:3" ht="24" customHeight="1">
      <c r="A66" s="14"/>
      <c r="B66" s="17"/>
      <c r="C66" s="9"/>
    </row>
    <row r="67" spans="1:3" ht="24" customHeight="1">
      <c r="A67" s="14"/>
      <c r="B67" s="17"/>
      <c r="C67" s="9"/>
    </row>
    <row r="68" spans="1:3" ht="24" customHeight="1">
      <c r="A68" s="14"/>
      <c r="B68" s="35"/>
      <c r="C68" s="9"/>
    </row>
    <row r="69" spans="1:3" ht="24" customHeight="1">
      <c r="A69" s="14"/>
      <c r="B69" s="35"/>
      <c r="C69" s="9"/>
    </row>
    <row r="70" spans="1:3" ht="24" customHeight="1">
      <c r="A70" s="14"/>
      <c r="B70" s="35"/>
      <c r="C70" s="9"/>
    </row>
    <row r="71" spans="1:3" ht="24" customHeight="1">
      <c r="A71" s="14"/>
      <c r="B71" s="35"/>
      <c r="C71" s="9"/>
    </row>
    <row r="72" spans="1:3" ht="24" customHeight="1">
      <c r="A72" s="14"/>
      <c r="B72" s="35"/>
      <c r="C72" s="9"/>
    </row>
    <row r="73" spans="1:3" ht="24" customHeight="1">
      <c r="A73" s="14"/>
      <c r="B73" s="17"/>
      <c r="C73" s="9"/>
    </row>
    <row r="74" spans="1:3" ht="24" customHeight="1">
      <c r="A74" s="14"/>
      <c r="B74" s="17"/>
      <c r="C74" s="9"/>
    </row>
    <row r="75" spans="1:3" ht="24" customHeight="1">
      <c r="A75" s="14"/>
      <c r="B75" s="17"/>
      <c r="C75" s="9"/>
    </row>
    <row r="76" spans="1:3" ht="24" customHeight="1">
      <c r="A76" s="14"/>
      <c r="B76" s="17"/>
      <c r="C76" s="9"/>
    </row>
    <row r="77" spans="1:3" ht="24" customHeight="1">
      <c r="A77" s="14"/>
      <c r="B77" s="17"/>
      <c r="C77" s="9"/>
    </row>
    <row r="78" spans="1:3" ht="24" customHeight="1">
      <c r="A78" s="14"/>
      <c r="B78" s="17"/>
      <c r="C78" s="9"/>
    </row>
    <row r="79" spans="1:3" ht="24" customHeight="1">
      <c r="A79" s="14"/>
      <c r="B79" s="17"/>
      <c r="C79" s="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F9E3-BE74-4B7F-A31D-26EE5F5E3C90}">
  <dimension ref="A1:BH117"/>
  <sheetViews>
    <sheetView topLeftCell="A31" workbookViewId="0">
      <selection activeCell="C99" sqref="C9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5" customWidth="1"/>
    <col min="6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s="8" t="s">
        <v>2</v>
      </c>
    </row>
    <row r="3" spans="1:7" ht="15">
      <c r="A3" s="6"/>
      <c r="B3" s="7"/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83</v>
      </c>
      <c r="C6" s="9"/>
    </row>
    <row r="7" spans="1:7" ht="24" customHeight="1">
      <c r="A7" s="12" t="s">
        <v>6</v>
      </c>
      <c r="B7" s="128" t="s">
        <v>255</v>
      </c>
      <c r="C7" s="9"/>
    </row>
    <row r="8" spans="1:7" ht="24" customHeight="1">
      <c r="A8" s="12"/>
      <c r="B8" s="13">
        <v>0</v>
      </c>
      <c r="C8" s="129" t="s">
        <v>257</v>
      </c>
    </row>
    <row r="9" spans="1:7" ht="23.25" customHeight="1">
      <c r="A9" s="130" t="s">
        <v>24</v>
      </c>
      <c r="B9" s="34">
        <f>C9/E9</f>
        <v>870</v>
      </c>
      <c r="C9" s="131">
        <v>87000</v>
      </c>
      <c r="E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</row>
    <row r="11" spans="1:7" ht="23.25" customHeight="1">
      <c r="A11" s="14" t="s">
        <v>231</v>
      </c>
      <c r="B11" s="15">
        <f>C11/E11</f>
        <v>870</v>
      </c>
      <c r="C11" s="133">
        <f>C9</f>
        <v>87000</v>
      </c>
      <c r="E11" s="132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v>0</v>
      </c>
      <c r="C13" s="133">
        <v>0</v>
      </c>
    </row>
    <row r="14" spans="1:7" ht="23.25" customHeight="1">
      <c r="A14" s="14" t="s">
        <v>261</v>
      </c>
      <c r="B14" s="15">
        <v>0</v>
      </c>
      <c r="C14" s="133">
        <v>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5" ht="23.25" customHeight="1">
      <c r="A17" s="14" t="s">
        <v>264</v>
      </c>
      <c r="B17" s="15">
        <v>0</v>
      </c>
      <c r="C17" s="133">
        <v>0</v>
      </c>
    </row>
    <row r="18" spans="1:5" ht="23.25" customHeight="1">
      <c r="A18" s="130" t="s">
        <v>265</v>
      </c>
      <c r="B18" s="34">
        <f>C18/E18</f>
        <v>540</v>
      </c>
      <c r="C18" s="131">
        <v>54000</v>
      </c>
      <c r="E18" s="132">
        <v>100</v>
      </c>
    </row>
    <row r="19" spans="1:5" ht="23.25" customHeight="1">
      <c r="A19" s="14" t="s">
        <v>266</v>
      </c>
      <c r="B19" s="15">
        <v>0</v>
      </c>
      <c r="C19" s="133">
        <v>0</v>
      </c>
    </row>
    <row r="20" spans="1:5" ht="23.25" customHeight="1">
      <c r="A20" s="14" t="s">
        <v>267</v>
      </c>
      <c r="B20" s="15">
        <f>B18</f>
        <v>540</v>
      </c>
      <c r="C20" s="133">
        <f>+C18</f>
        <v>54000</v>
      </c>
    </row>
    <row r="21" spans="1:5" ht="23.25" customHeight="1">
      <c r="A21" s="14" t="s">
        <v>268</v>
      </c>
      <c r="B21" s="15">
        <v>0</v>
      </c>
      <c r="C21" s="133">
        <v>0</v>
      </c>
    </row>
    <row r="22" spans="1:5" ht="23.25" customHeight="1">
      <c r="A22" s="14" t="s">
        <v>269</v>
      </c>
      <c r="B22" s="15">
        <v>0</v>
      </c>
      <c r="C22" s="133">
        <v>0</v>
      </c>
    </row>
    <row r="23" spans="1:5" ht="23.25" customHeight="1">
      <c r="A23" s="14" t="s">
        <v>270</v>
      </c>
      <c r="B23" s="15">
        <v>0</v>
      </c>
      <c r="C23" s="133">
        <v>0</v>
      </c>
    </row>
    <row r="24" spans="1:5" ht="23.25" customHeight="1">
      <c r="A24" s="14" t="s">
        <v>271</v>
      </c>
      <c r="B24" s="15">
        <v>0</v>
      </c>
      <c r="C24" s="133">
        <v>0</v>
      </c>
    </row>
    <row r="25" spans="1:5" ht="23.25" customHeight="1">
      <c r="A25" s="14" t="s">
        <v>272</v>
      </c>
      <c r="B25" s="15">
        <v>0</v>
      </c>
      <c r="C25" s="133">
        <v>0</v>
      </c>
    </row>
    <row r="26" spans="1:5" ht="23.25" customHeight="1">
      <c r="A26" s="14" t="s">
        <v>273</v>
      </c>
      <c r="B26" s="15">
        <v>0</v>
      </c>
      <c r="C26" s="133">
        <v>0</v>
      </c>
    </row>
    <row r="27" spans="1:5" ht="23.25" customHeight="1">
      <c r="A27" s="14" t="s">
        <v>274</v>
      </c>
      <c r="B27" s="15"/>
      <c r="C27" s="133">
        <v>0</v>
      </c>
    </row>
    <row r="28" spans="1:5" ht="23.25" customHeight="1">
      <c r="A28" s="80" t="s">
        <v>275</v>
      </c>
      <c r="B28" s="134">
        <v>330</v>
      </c>
      <c r="C28" s="133"/>
      <c r="E28" s="133"/>
    </row>
    <row r="29" spans="1:5" ht="23.25" customHeight="1">
      <c r="A29" s="14" t="s">
        <v>276</v>
      </c>
      <c r="B29" s="14"/>
      <c r="C29" s="133">
        <v>282155</v>
      </c>
    </row>
    <row r="30" spans="1:5" ht="23.25" customHeight="1">
      <c r="A30" s="14" t="s">
        <v>277</v>
      </c>
      <c r="B30" s="15">
        <v>0</v>
      </c>
      <c r="C30" s="133">
        <v>249155</v>
      </c>
    </row>
    <row r="31" spans="1:5" ht="23.25" customHeight="1">
      <c r="A31" s="14" t="s">
        <v>278</v>
      </c>
      <c r="B31" s="15">
        <v>0</v>
      </c>
      <c r="C31" s="133">
        <f>C30</f>
        <v>249155</v>
      </c>
    </row>
    <row r="32" spans="1:5" ht="23.25" customHeight="1">
      <c r="A32" s="14" t="s">
        <v>279</v>
      </c>
      <c r="B32" s="25">
        <v>0</v>
      </c>
      <c r="C32" s="133">
        <v>0</v>
      </c>
    </row>
    <row r="33" spans="1:60" ht="23.25" customHeight="1">
      <c r="A33" s="22" t="s">
        <v>280</v>
      </c>
      <c r="B33" s="117">
        <v>0.88300000000000001</v>
      </c>
      <c r="C33" s="133"/>
    </row>
    <row r="34" spans="1:60" ht="23.25" customHeight="1">
      <c r="A34" s="61" t="s">
        <v>125</v>
      </c>
      <c r="B34" s="26">
        <v>0</v>
      </c>
      <c r="C34" s="1009">
        <v>4814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2</v>
      </c>
      <c r="D71" s="147">
        <v>10000</v>
      </c>
      <c r="E71" s="148">
        <v>100</v>
      </c>
    </row>
    <row r="72" spans="1:5" ht="23.25" hidden="1" customHeight="1">
      <c r="A72" s="146">
        <v>7</v>
      </c>
      <c r="B72" s="146">
        <v>100</v>
      </c>
      <c r="C72" s="147">
        <v>14</v>
      </c>
      <c r="D72" s="147">
        <v>140000</v>
      </c>
      <c r="E72" s="148">
        <v>1400</v>
      </c>
    </row>
    <row r="73" spans="1:5" ht="23.25" hidden="1" customHeight="1">
      <c r="B73" s="78" t="s">
        <v>68</v>
      </c>
      <c r="C73" s="147">
        <v>24</v>
      </c>
      <c r="D73" s="147">
        <v>157200</v>
      </c>
      <c r="E73" s="148">
        <v>1572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4" ht="23.25" hidden="1">
      <c r="A97" s="14" t="s">
        <v>319</v>
      </c>
      <c r="B97" s="115">
        <v>0</v>
      </c>
      <c r="C97" s="26">
        <v>0</v>
      </c>
      <c r="D97" s="9"/>
    </row>
    <row r="98" spans="1:4" ht="23.25" hidden="1">
      <c r="A98" s="22"/>
      <c r="B98" s="153"/>
      <c r="C98" s="24"/>
      <c r="D98" s="24"/>
    </row>
    <row r="99" spans="1:4" ht="23.25">
      <c r="B99" s="78" t="s">
        <v>321</v>
      </c>
      <c r="C99" s="998"/>
    </row>
    <row r="100" spans="1:4" ht="15" thickBot="1"/>
    <row r="101" spans="1:4" ht="24" thickBot="1">
      <c r="B101" s="999" t="s">
        <v>136</v>
      </c>
      <c r="C101" s="1000">
        <f>+B9</f>
        <v>870</v>
      </c>
    </row>
    <row r="102" spans="1:4" hidden="1">
      <c r="C102" s="1001"/>
    </row>
    <row r="103" spans="1:4" ht="23.25">
      <c r="B103" s="61" t="s">
        <v>322</v>
      </c>
      <c r="C103" s="1002">
        <f>+B18</f>
        <v>540</v>
      </c>
    </row>
    <row r="104" spans="1:4" hidden="1">
      <c r="C104" s="1001"/>
    </row>
    <row r="105" spans="1:4" ht="23.25">
      <c r="B105" s="61" t="s">
        <v>323</v>
      </c>
      <c r="C105" s="1002">
        <f>+C29*0.01</f>
        <v>2821.55</v>
      </c>
    </row>
    <row r="106" spans="1:4" hidden="1">
      <c r="C106" s="1001"/>
    </row>
    <row r="107" spans="1:4" ht="23.25">
      <c r="B107" s="61" t="s">
        <v>324</v>
      </c>
      <c r="C107" s="1002">
        <f>+C34</f>
        <v>4814</v>
      </c>
    </row>
    <row r="108" spans="1:4" hidden="1">
      <c r="C108" s="1001"/>
    </row>
    <row r="109" spans="1:4" ht="23.25">
      <c r="B109" s="61" t="s">
        <v>325</v>
      </c>
      <c r="C109" s="1002">
        <v>0</v>
      </c>
    </row>
    <row r="110" spans="1:4" hidden="1">
      <c r="C110" s="1001"/>
    </row>
    <row r="111" spans="1:4" ht="23.25">
      <c r="B111" s="61" t="s">
        <v>326</v>
      </c>
      <c r="C111" s="1002">
        <v>0</v>
      </c>
    </row>
    <row r="112" spans="1:4">
      <c r="C112" s="1001"/>
    </row>
    <row r="113" spans="1:3" ht="23.25">
      <c r="A113"/>
      <c r="B113" s="61" t="s">
        <v>327</v>
      </c>
      <c r="C113" s="1003">
        <f>C103</f>
        <v>540</v>
      </c>
    </row>
    <row r="114" spans="1:3">
      <c r="C114" s="1001"/>
    </row>
    <row r="115" spans="1:3" ht="23.25">
      <c r="A115"/>
      <c r="B115" s="61" t="s">
        <v>328</v>
      </c>
      <c r="C115" s="1003">
        <f>C101</f>
        <v>870</v>
      </c>
    </row>
    <row r="116" spans="1:3">
      <c r="C116" s="1001"/>
    </row>
    <row r="117" spans="1:3" ht="24" thickBot="1">
      <c r="A117"/>
      <c r="B117" s="61"/>
      <c r="C117" s="100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indexed="53"/>
  </sheetPr>
  <dimension ref="A1:BJ78"/>
  <sheetViews>
    <sheetView workbookViewId="0">
      <pane xSplit="3" ySplit="7" topLeftCell="D21" activePane="bottomRight" state="frozen"/>
      <selection pane="topRight" activeCell="D1" sqref="D1"/>
      <selection pane="bottomLeft" activeCell="A19" sqref="A19"/>
      <selection pane="bottomRight" activeCell="B21" sqref="B21"/>
    </sheetView>
  </sheetViews>
  <sheetFormatPr defaultColWidth="11" defaultRowHeight="14.25"/>
  <cols>
    <col min="1" max="1" width="41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 t="s">
        <v>36</v>
      </c>
      <c r="C1" s="5"/>
      <c r="J1" t="s">
        <v>69</v>
      </c>
    </row>
    <row r="2" spans="1:10" ht="15">
      <c r="A2" s="6" t="s">
        <v>0</v>
      </c>
      <c r="B2" s="7" t="s">
        <v>1</v>
      </c>
      <c r="C2" s="8" t="s">
        <v>2</v>
      </c>
    </row>
    <row r="3" spans="1:10" ht="15">
      <c r="A3" s="6"/>
      <c r="B3" s="7" t="s">
        <v>3</v>
      </c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47</v>
      </c>
      <c r="C6" s="9"/>
    </row>
    <row r="7" spans="1:10" ht="24" customHeight="1">
      <c r="A7" s="12" t="s">
        <v>6</v>
      </c>
      <c r="B7" s="13" t="s">
        <v>7</v>
      </c>
      <c r="C7" s="9"/>
    </row>
    <row r="8" spans="1:10" ht="24" customHeight="1">
      <c r="A8" s="14" t="s">
        <v>323</v>
      </c>
      <c r="B8" s="15">
        <v>2429959.9</v>
      </c>
      <c r="C8" s="14"/>
    </row>
    <row r="9" spans="1:10" ht="24" customHeight="1">
      <c r="A9" s="14" t="s">
        <v>325</v>
      </c>
      <c r="B9" s="15">
        <v>2243640.21</v>
      </c>
      <c r="C9" s="14"/>
    </row>
    <row r="10" spans="1:10" ht="24" customHeight="1">
      <c r="A10" s="14" t="s">
        <v>125</v>
      </c>
      <c r="B10" s="64">
        <v>4222182</v>
      </c>
      <c r="C10" s="14"/>
    </row>
    <row r="11" spans="1:10" ht="24" customHeight="1">
      <c r="A11" s="14" t="s">
        <v>392</v>
      </c>
      <c r="B11" s="15">
        <v>0.57999999999999996</v>
      </c>
      <c r="C11" s="14"/>
    </row>
    <row r="12" spans="1:10" ht="24" customHeight="1">
      <c r="A12" s="14" t="s">
        <v>393</v>
      </c>
      <c r="B12" s="64">
        <v>588593</v>
      </c>
      <c r="C12" s="14"/>
    </row>
    <row r="13" spans="1:10" ht="24" customHeight="1">
      <c r="A13" s="14" t="s">
        <v>394</v>
      </c>
      <c r="B13" s="64">
        <v>3633589</v>
      </c>
      <c r="C13" s="9"/>
      <c r="D13" s="16"/>
      <c r="E13" s="16"/>
      <c r="F13" s="16"/>
      <c r="G13" s="16"/>
    </row>
    <row r="14" spans="1:10" ht="24" customHeight="1">
      <c r="A14" s="14" t="s">
        <v>395</v>
      </c>
      <c r="B14" s="64">
        <v>58275</v>
      </c>
      <c r="C14" s="9"/>
      <c r="D14" s="16"/>
      <c r="E14" s="16"/>
      <c r="F14" s="16"/>
      <c r="G14" s="16"/>
    </row>
    <row r="15" spans="1:10" ht="24" customHeight="1">
      <c r="A15" s="14" t="s">
        <v>396</v>
      </c>
      <c r="B15" s="64">
        <v>894</v>
      </c>
      <c r="C15" s="9"/>
      <c r="D15" s="16"/>
      <c r="E15" s="16"/>
      <c r="F15" s="16"/>
      <c r="G15" s="16"/>
    </row>
    <row r="16" spans="1:10" ht="24" customHeight="1">
      <c r="A16" s="14" t="s">
        <v>397</v>
      </c>
      <c r="B16" s="21">
        <v>0.92330000000000001</v>
      </c>
      <c r="C16" s="9"/>
      <c r="D16" s="16"/>
      <c r="E16" s="16"/>
      <c r="F16" s="16"/>
      <c r="G16" s="16"/>
    </row>
    <row r="17" spans="1:11" ht="24" customHeight="1">
      <c r="A17" s="14" t="s">
        <v>398</v>
      </c>
      <c r="B17" s="21">
        <v>7.6700000000000004E-2</v>
      </c>
      <c r="C17" s="9"/>
      <c r="D17" s="16"/>
      <c r="E17" s="16"/>
      <c r="F17" s="16"/>
      <c r="G17" s="16"/>
    </row>
    <row r="18" spans="1:11" ht="24" customHeight="1">
      <c r="A18" s="14" t="s">
        <v>399</v>
      </c>
      <c r="B18" s="526">
        <v>6084</v>
      </c>
      <c r="C18" s="9"/>
    </row>
    <row r="19" spans="1:11" ht="24" customHeight="1">
      <c r="A19" s="14" t="s">
        <v>400</v>
      </c>
      <c r="B19" s="526">
        <v>3181</v>
      </c>
      <c r="C19" s="20"/>
    </row>
    <row r="20" spans="1:11" ht="24" customHeight="1">
      <c r="A20" s="14" t="s">
        <v>401</v>
      </c>
      <c r="B20" s="15">
        <v>613981.31000000006</v>
      </c>
      <c r="C20" s="9"/>
      <c r="E20" s="16"/>
      <c r="K20">
        <v>22</v>
      </c>
    </row>
    <row r="21" spans="1:11" ht="24" customHeight="1">
      <c r="A21" s="14" t="s">
        <v>402</v>
      </c>
      <c r="B21" s="526">
        <v>800301</v>
      </c>
      <c r="C21" s="9"/>
      <c r="E21" s="16"/>
    </row>
    <row r="22" spans="1:11" ht="24" customHeight="1">
      <c r="A22" s="14" t="s">
        <v>403</v>
      </c>
      <c r="B22" s="527">
        <v>0.76719999999999999</v>
      </c>
      <c r="C22" s="9"/>
    </row>
    <row r="23" spans="1:11" ht="24" customHeight="1">
      <c r="A23" s="14" t="s">
        <v>404</v>
      </c>
      <c r="B23" s="526">
        <v>186319.69</v>
      </c>
      <c r="C23" s="9"/>
    </row>
    <row r="24" spans="1:11" ht="24" customHeight="1">
      <c r="A24" s="14" t="s">
        <v>405</v>
      </c>
      <c r="B24" s="15">
        <v>18796</v>
      </c>
      <c r="C24" s="9"/>
      <c r="D24" s="16"/>
      <c r="E24" s="16"/>
      <c r="F24" s="16"/>
      <c r="G24" s="16"/>
      <c r="J24">
        <v>22</v>
      </c>
    </row>
    <row r="25" spans="1:11" ht="24" customHeight="1">
      <c r="A25" s="14" t="s">
        <v>406</v>
      </c>
      <c r="B25" s="34">
        <v>613981.31000000006</v>
      </c>
      <c r="C25" s="9"/>
    </row>
    <row r="26" spans="1:11" ht="24" customHeight="1">
      <c r="A26" s="14" t="s">
        <v>407</v>
      </c>
      <c r="B26" s="526">
        <v>781505</v>
      </c>
      <c r="C26" s="9"/>
    </row>
    <row r="27" spans="1:11" ht="24" customHeight="1">
      <c r="A27" s="14" t="s">
        <v>409</v>
      </c>
      <c r="B27" s="526">
        <f>B26</f>
        <v>781505</v>
      </c>
      <c r="C27" s="9"/>
    </row>
    <row r="28" spans="1:11" ht="24" customHeight="1">
      <c r="A28" s="14" t="s">
        <v>212</v>
      </c>
      <c r="B28" s="526">
        <v>0</v>
      </c>
      <c r="C28" s="9"/>
    </row>
    <row r="29" spans="1:11" ht="24" customHeight="1">
      <c r="A29" s="14"/>
      <c r="B29" s="17"/>
      <c r="C29" s="9"/>
    </row>
    <row r="30" spans="1:11" ht="24" customHeight="1">
      <c r="A30" s="14"/>
      <c r="B30" s="17"/>
      <c r="C30" s="9"/>
    </row>
    <row r="31" spans="1:11" ht="24" customHeight="1">
      <c r="A31" s="22"/>
      <c r="B31" s="177"/>
      <c r="C31" s="24"/>
    </row>
    <row r="32" spans="1:11" ht="24" customHeight="1">
      <c r="A32" s="14"/>
      <c r="B32" s="29"/>
      <c r="C32" s="9"/>
    </row>
    <row r="33" spans="1:62" ht="24" customHeight="1">
      <c r="B33" s="29"/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14"/>
      <c r="B34" s="29"/>
      <c r="C34" s="27"/>
    </row>
    <row r="35" spans="1:62" ht="24" customHeight="1">
      <c r="A35" s="14"/>
      <c r="B35" s="17"/>
      <c r="C35" s="9"/>
    </row>
    <row r="36" spans="1:62" ht="24" customHeight="1">
      <c r="A36" s="14"/>
      <c r="B36" s="17"/>
      <c r="C36" s="9"/>
    </row>
    <row r="37" spans="1:62" ht="24" customHeight="1">
      <c r="A37" s="14"/>
      <c r="B37" s="17"/>
      <c r="C37" s="9"/>
    </row>
    <row r="38" spans="1:62" ht="24" customHeight="1">
      <c r="A38" s="14"/>
      <c r="B38" s="17"/>
      <c r="C38" s="9"/>
    </row>
    <row r="39" spans="1:62" ht="24" customHeight="1">
      <c r="A39" s="14"/>
      <c r="B39" s="17"/>
      <c r="C39" s="9"/>
    </row>
    <row r="40" spans="1:62" ht="24" customHeight="1">
      <c r="A40" s="14"/>
      <c r="B40" s="17"/>
      <c r="C40" s="9"/>
    </row>
    <row r="41" spans="1:62" ht="24" customHeight="1">
      <c r="C41" s="9"/>
    </row>
    <row r="42" spans="1:62" ht="24" customHeight="1">
      <c r="A42" s="14"/>
      <c r="B42" s="17"/>
      <c r="C42" s="9"/>
    </row>
    <row r="43" spans="1:62" ht="24" customHeight="1">
      <c r="A43" s="14"/>
      <c r="B43" s="177"/>
      <c r="C43" s="24"/>
    </row>
    <row r="44" spans="1:62" ht="24" customHeight="1">
      <c r="B44" s="29"/>
      <c r="C44" s="9"/>
      <c r="BB44" s="28"/>
      <c r="BC44" s="16"/>
      <c r="BD44" s="16"/>
      <c r="BE44" s="16"/>
      <c r="BF44" s="16"/>
      <c r="BG44" s="16"/>
      <c r="BH44" s="16"/>
      <c r="BI44" s="16"/>
      <c r="BJ44" s="16"/>
    </row>
    <row r="45" spans="1:62" ht="24" customHeight="1">
      <c r="A45" s="14"/>
      <c r="B45" s="29"/>
      <c r="C45" s="9"/>
      <c r="BB45" s="16"/>
      <c r="BC45" s="16"/>
      <c r="BD45" s="16"/>
      <c r="BE45" s="16"/>
      <c r="BF45" s="16"/>
      <c r="BG45" s="16"/>
      <c r="BH45" s="16"/>
      <c r="BI45" s="16"/>
      <c r="BJ45" s="16"/>
    </row>
    <row r="46" spans="1:62" ht="24" customHeight="1">
      <c r="A46" s="31"/>
      <c r="B46" s="178"/>
      <c r="C46" s="33"/>
    </row>
    <row r="47" spans="1:62" ht="24" customHeight="1">
      <c r="A47" s="14"/>
      <c r="B47" s="17"/>
      <c r="C47" s="9"/>
    </row>
    <row r="48" spans="1:62" ht="24" customHeight="1">
      <c r="A48" s="14"/>
      <c r="B48" s="17"/>
      <c r="C48" s="9"/>
    </row>
    <row r="49" spans="1:3" ht="24" customHeight="1">
      <c r="A49" s="14"/>
      <c r="B49" s="17"/>
      <c r="C49" s="9"/>
    </row>
    <row r="50" spans="1:3" ht="24" customHeight="1">
      <c r="A50" s="14"/>
      <c r="B50" s="17"/>
      <c r="C50" s="9"/>
    </row>
    <row r="51" spans="1:3" ht="24" customHeight="1">
      <c r="A51" s="14"/>
      <c r="B51" s="17"/>
      <c r="C51" s="9"/>
    </row>
    <row r="52" spans="1:3" ht="24" customHeight="1">
      <c r="A52" s="14"/>
      <c r="B52" s="17"/>
      <c r="C52" s="9"/>
    </row>
    <row r="53" spans="1:3" ht="24" customHeight="1">
      <c r="A53" s="18"/>
      <c r="B53" s="19"/>
      <c r="C53" s="20"/>
    </row>
    <row r="54" spans="1:3" ht="24" customHeight="1">
      <c r="A54" s="14"/>
      <c r="B54" s="17"/>
      <c r="C54" s="9"/>
    </row>
    <row r="55" spans="1:3" ht="24" customHeight="1">
      <c r="A55" s="14"/>
      <c r="B55" s="17"/>
      <c r="C55" s="9"/>
    </row>
    <row r="56" spans="1:3" ht="24" customHeight="1">
      <c r="A56" s="14"/>
      <c r="B56" s="17"/>
      <c r="C56" s="9"/>
    </row>
    <row r="57" spans="1:3" ht="24" customHeight="1">
      <c r="A57" s="14"/>
      <c r="B57" s="17"/>
      <c r="C57" s="9"/>
    </row>
    <row r="58" spans="1:3" ht="24" customHeight="1">
      <c r="A58" s="14"/>
      <c r="B58" s="17"/>
      <c r="C58" s="9"/>
    </row>
    <row r="59" spans="1:3" ht="24" customHeight="1">
      <c r="A59" s="14"/>
      <c r="B59" s="17"/>
      <c r="C59" s="9"/>
    </row>
    <row r="60" spans="1:3" ht="24" customHeight="1">
      <c r="A60" s="14"/>
      <c r="B60" s="17"/>
      <c r="C60" s="9"/>
    </row>
    <row r="61" spans="1:3" ht="24" customHeight="1">
      <c r="A61" s="14"/>
      <c r="B61" s="17"/>
      <c r="C61" s="9"/>
    </row>
    <row r="62" spans="1:3" ht="24" customHeight="1">
      <c r="A62" s="14"/>
      <c r="B62" s="17"/>
      <c r="C62" s="9"/>
    </row>
    <row r="63" spans="1:3" ht="24" customHeight="1">
      <c r="A63" s="14"/>
      <c r="B63" s="17"/>
      <c r="C63" s="9"/>
    </row>
    <row r="64" spans="1:3" ht="24" customHeight="1">
      <c r="A64" s="14"/>
      <c r="B64" s="17"/>
      <c r="C64" s="9"/>
    </row>
    <row r="65" spans="1:3" ht="24" customHeight="1">
      <c r="A65" s="14"/>
      <c r="B65" s="17"/>
      <c r="C65" s="9"/>
    </row>
    <row r="66" spans="1:3" ht="24" customHeight="1">
      <c r="A66" s="14"/>
      <c r="B66" s="17"/>
      <c r="C66" s="9"/>
    </row>
    <row r="67" spans="1:3" ht="24" customHeight="1">
      <c r="A67" s="14"/>
      <c r="B67" s="35"/>
      <c r="C67" s="9"/>
    </row>
    <row r="68" spans="1:3" ht="24" customHeight="1">
      <c r="A68" s="14"/>
      <c r="B68" s="35"/>
      <c r="C68" s="9"/>
    </row>
    <row r="69" spans="1:3" ht="24" customHeight="1">
      <c r="A69" s="14"/>
      <c r="B69" s="35"/>
      <c r="C69" s="9"/>
    </row>
    <row r="70" spans="1:3" ht="24" customHeight="1">
      <c r="A70" s="14"/>
      <c r="B70" s="35"/>
      <c r="C70" s="9"/>
    </row>
    <row r="71" spans="1:3" ht="24" customHeight="1">
      <c r="A71" s="14"/>
      <c r="B71" s="35"/>
      <c r="C71" s="9"/>
    </row>
    <row r="72" spans="1:3" ht="24" customHeight="1">
      <c r="A72" s="14"/>
      <c r="B72" s="17"/>
      <c r="C72" s="9"/>
    </row>
    <row r="73" spans="1:3" ht="24" customHeight="1">
      <c r="A73" s="14"/>
      <c r="B73" s="17"/>
      <c r="C73" s="9"/>
    </row>
    <row r="74" spans="1:3" ht="24" customHeight="1">
      <c r="A74" s="14"/>
      <c r="B74" s="17"/>
      <c r="C74" s="9"/>
    </row>
    <row r="75" spans="1:3" ht="24" customHeight="1">
      <c r="A75" s="14"/>
      <c r="B75" s="17"/>
      <c r="C75" s="9"/>
    </row>
    <row r="76" spans="1:3" ht="24" customHeight="1">
      <c r="A76" s="14"/>
      <c r="B76" s="17"/>
      <c r="C76" s="9"/>
    </row>
    <row r="77" spans="1:3" ht="24" customHeight="1">
      <c r="A77" s="14"/>
      <c r="B77" s="17"/>
      <c r="C77" s="9"/>
    </row>
    <row r="78" spans="1:3" ht="24" customHeight="1">
      <c r="A78" s="14"/>
      <c r="B78" s="17"/>
      <c r="C78" s="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H117"/>
  <sheetViews>
    <sheetView workbookViewId="0">
      <pane xSplit="3" ySplit="8" topLeftCell="D30" activePane="bottomRight" state="frozen"/>
      <selection pane="topRight" activeCell="D1" sqref="D1"/>
      <selection pane="bottomLeft" activeCell="A33" sqref="A33"/>
      <selection pane="bottomRight" activeCell="B34" sqref="B34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5" customWidth="1"/>
    <col min="6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s="8" t="s">
        <v>2</v>
      </c>
    </row>
    <row r="3" spans="1:7" ht="15">
      <c r="A3" s="6"/>
      <c r="B3" s="7"/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78</v>
      </c>
      <c r="C6" s="9"/>
    </row>
    <row r="7" spans="1:7" ht="24" customHeight="1">
      <c r="A7" s="12" t="s">
        <v>6</v>
      </c>
      <c r="B7" s="128" t="s">
        <v>330</v>
      </c>
      <c r="C7" s="9"/>
    </row>
    <row r="8" spans="1:7" ht="24" customHeight="1">
      <c r="A8" s="12"/>
      <c r="B8" s="13" t="s">
        <v>256</v>
      </c>
      <c r="C8" s="129" t="s">
        <v>257</v>
      </c>
    </row>
    <row r="9" spans="1:7" ht="23.25" customHeight="1">
      <c r="A9" s="130" t="s">
        <v>24</v>
      </c>
      <c r="B9" s="34">
        <f>+C9/E9</f>
        <v>300</v>
      </c>
      <c r="C9" s="131">
        <v>30000</v>
      </c>
      <c r="E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</row>
    <row r="11" spans="1:7" ht="23.25" customHeight="1">
      <c r="A11" s="14" t="s">
        <v>231</v>
      </c>
      <c r="B11" s="15">
        <f>C11/E11</f>
        <v>300</v>
      </c>
      <c r="C11" s="133">
        <f>C9</f>
        <v>30000</v>
      </c>
      <c r="E11" s="132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v>0</v>
      </c>
      <c r="C13" s="133">
        <v>0</v>
      </c>
      <c r="D13">
        <v>44</v>
      </c>
    </row>
    <row r="14" spans="1:7" ht="23.25" customHeight="1">
      <c r="A14" s="14" t="s">
        <v>261</v>
      </c>
      <c r="B14" s="15">
        <v>0</v>
      </c>
      <c r="C14" s="133">
        <v>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5" ht="23.25" customHeight="1">
      <c r="A17" s="14" t="s">
        <v>264</v>
      </c>
      <c r="B17" s="15">
        <v>0</v>
      </c>
      <c r="C17" s="133">
        <v>0</v>
      </c>
    </row>
    <row r="18" spans="1:5" ht="23.25" customHeight="1">
      <c r="A18" s="130" t="s">
        <v>265</v>
      </c>
      <c r="B18" s="34">
        <v>0</v>
      </c>
      <c r="C18" s="131">
        <v>0</v>
      </c>
      <c r="E18" s="132">
        <v>100</v>
      </c>
    </row>
    <row r="19" spans="1:5" ht="23.25" customHeight="1">
      <c r="A19" s="14" t="s">
        <v>266</v>
      </c>
      <c r="B19" s="15">
        <v>0</v>
      </c>
      <c r="C19" s="133">
        <v>0</v>
      </c>
    </row>
    <row r="20" spans="1:5" ht="23.25" customHeight="1">
      <c r="A20" s="14" t="s">
        <v>267</v>
      </c>
      <c r="B20" s="15">
        <f>B18</f>
        <v>0</v>
      </c>
      <c r="C20" s="133">
        <v>0</v>
      </c>
    </row>
    <row r="21" spans="1:5" ht="23.25" customHeight="1">
      <c r="A21" s="14" t="s">
        <v>268</v>
      </c>
      <c r="B21" s="15">
        <v>0</v>
      </c>
      <c r="C21" s="133">
        <v>0</v>
      </c>
    </row>
    <row r="22" spans="1:5" ht="23.25" customHeight="1">
      <c r="A22" s="14" t="s">
        <v>269</v>
      </c>
      <c r="B22" s="15">
        <v>0</v>
      </c>
      <c r="C22" s="133">
        <v>0</v>
      </c>
    </row>
    <row r="23" spans="1:5" ht="23.25" customHeight="1">
      <c r="A23" s="14" t="s">
        <v>270</v>
      </c>
      <c r="B23" s="15">
        <v>0</v>
      </c>
      <c r="C23" s="133">
        <v>0</v>
      </c>
    </row>
    <row r="24" spans="1:5" ht="23.25" customHeight="1">
      <c r="A24" s="14" t="s">
        <v>271</v>
      </c>
      <c r="B24" s="15">
        <v>0</v>
      </c>
      <c r="C24" s="133">
        <v>0</v>
      </c>
    </row>
    <row r="25" spans="1:5" ht="23.25" customHeight="1">
      <c r="A25" s="14" t="s">
        <v>272</v>
      </c>
      <c r="B25" s="15">
        <v>0</v>
      </c>
      <c r="C25" s="133">
        <v>0</v>
      </c>
    </row>
    <row r="26" spans="1:5" ht="23.25" customHeight="1">
      <c r="A26" s="14" t="s">
        <v>273</v>
      </c>
      <c r="B26" s="15">
        <v>0</v>
      </c>
      <c r="C26" s="133">
        <v>0</v>
      </c>
    </row>
    <row r="27" spans="1:5" ht="23.25" customHeight="1">
      <c r="A27" s="14" t="s">
        <v>274</v>
      </c>
      <c r="B27" s="15">
        <v>0</v>
      </c>
      <c r="C27" s="133">
        <v>0</v>
      </c>
    </row>
    <row r="28" spans="1:5" ht="23.25" customHeight="1">
      <c r="A28" s="80" t="s">
        <v>275</v>
      </c>
      <c r="B28" s="134">
        <v>300</v>
      </c>
      <c r="C28" s="133"/>
      <c r="E28" s="133"/>
    </row>
    <row r="29" spans="1:5" ht="23.25" customHeight="1">
      <c r="A29" s="14" t="s">
        <v>276</v>
      </c>
      <c r="B29" s="14"/>
      <c r="C29" s="133">
        <v>84650</v>
      </c>
    </row>
    <row r="30" spans="1:5" ht="23.25" customHeight="1">
      <c r="A30" s="14" t="s">
        <v>277</v>
      </c>
      <c r="B30" s="15">
        <v>0</v>
      </c>
      <c r="C30" s="133">
        <v>54650</v>
      </c>
    </row>
    <row r="31" spans="1:5" ht="23.25" customHeight="1">
      <c r="A31" s="14" t="s">
        <v>278</v>
      </c>
      <c r="B31" s="15">
        <v>0</v>
      </c>
      <c r="C31" s="133">
        <f>C30</f>
        <v>54650</v>
      </c>
    </row>
    <row r="32" spans="1:5" ht="23.25" customHeight="1">
      <c r="A32" s="14" t="s">
        <v>279</v>
      </c>
      <c r="B32" s="25">
        <v>0</v>
      </c>
      <c r="C32" s="133">
        <v>0</v>
      </c>
    </row>
    <row r="33" spans="1:60" ht="23.25" customHeight="1">
      <c r="A33" s="22" t="s">
        <v>280</v>
      </c>
      <c r="B33" s="117">
        <v>0.64549999999999996</v>
      </c>
      <c r="C33" s="133"/>
    </row>
    <row r="34" spans="1:60" ht="23.25" customHeight="1">
      <c r="A34" s="61" t="s">
        <v>125</v>
      </c>
      <c r="B34" s="26"/>
      <c r="C34" s="176">
        <v>231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2</v>
      </c>
      <c r="D71" s="147">
        <v>10000</v>
      </c>
      <c r="E71" s="148">
        <v>100</v>
      </c>
    </row>
    <row r="72" spans="1:5" ht="23.25" hidden="1" customHeight="1">
      <c r="A72" s="146">
        <v>7</v>
      </c>
      <c r="B72" s="146">
        <v>100</v>
      </c>
      <c r="C72" s="147">
        <v>14</v>
      </c>
      <c r="D72" s="147">
        <v>140000</v>
      </c>
      <c r="E72" s="148">
        <v>1400</v>
      </c>
    </row>
    <row r="73" spans="1:5" ht="23.25" hidden="1" customHeight="1">
      <c r="B73" s="78" t="s">
        <v>68</v>
      </c>
      <c r="C73" s="147">
        <v>24</v>
      </c>
      <c r="D73" s="147">
        <v>157200</v>
      </c>
      <c r="E73" s="148">
        <v>1572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4" ht="23.25" hidden="1">
      <c r="A97" s="14" t="s">
        <v>319</v>
      </c>
      <c r="B97" s="115">
        <v>0</v>
      </c>
      <c r="C97" s="26">
        <v>0</v>
      </c>
      <c r="D97" s="9"/>
    </row>
    <row r="98" spans="1:4" ht="23.25" hidden="1">
      <c r="A98" s="22"/>
      <c r="B98" s="153"/>
      <c r="C98" s="24"/>
      <c r="D98" s="24"/>
    </row>
    <row r="99" spans="1:4" ht="23.25">
      <c r="B99" s="78" t="s">
        <v>321</v>
      </c>
      <c r="C99" s="998"/>
    </row>
    <row r="100" spans="1:4" ht="15" thickBot="1"/>
    <row r="101" spans="1:4" ht="24" thickBot="1">
      <c r="B101" s="154" t="s">
        <v>136</v>
      </c>
      <c r="C101" s="1000">
        <f>+B9</f>
        <v>300</v>
      </c>
    </row>
    <row r="102" spans="1:4" hidden="1">
      <c r="C102" s="1001"/>
    </row>
    <row r="103" spans="1:4" ht="23.25">
      <c r="B103" s="14" t="s">
        <v>322</v>
      </c>
      <c r="C103" s="1002">
        <f>+B18</f>
        <v>0</v>
      </c>
    </row>
    <row r="104" spans="1:4" hidden="1">
      <c r="C104" s="1001"/>
    </row>
    <row r="105" spans="1:4" ht="23.25">
      <c r="B105" s="14" t="s">
        <v>323</v>
      </c>
      <c r="C105" s="1002">
        <f>+C29*0.01</f>
        <v>846.5</v>
      </c>
    </row>
    <row r="106" spans="1:4" hidden="1">
      <c r="C106" s="1001"/>
    </row>
    <row r="107" spans="1:4" ht="23.25">
      <c r="B107" s="14" t="s">
        <v>324</v>
      </c>
      <c r="C107" s="1002">
        <f>+C34</f>
        <v>231</v>
      </c>
    </row>
    <row r="108" spans="1:4" hidden="1">
      <c r="C108" s="1001"/>
    </row>
    <row r="109" spans="1:4" ht="23.25">
      <c r="B109" s="14" t="s">
        <v>325</v>
      </c>
      <c r="C109" s="1002">
        <v>0</v>
      </c>
    </row>
    <row r="110" spans="1:4" hidden="1">
      <c r="C110" s="1001"/>
    </row>
    <row r="111" spans="1:4" ht="23.25">
      <c r="B111" s="14" t="s">
        <v>326</v>
      </c>
      <c r="C111" s="1002">
        <v>0</v>
      </c>
    </row>
    <row r="112" spans="1:4" hidden="1">
      <c r="C112" s="1001"/>
    </row>
    <row r="113" spans="1:3" ht="23.25">
      <c r="A113"/>
      <c r="B113" s="14" t="s">
        <v>327</v>
      </c>
      <c r="C113" s="1003">
        <f>C103</f>
        <v>0</v>
      </c>
    </row>
    <row r="114" spans="1:3">
      <c r="C114" s="1001"/>
    </row>
    <row r="115" spans="1:3" ht="23.25">
      <c r="A115"/>
      <c r="B115" s="14" t="s">
        <v>328</v>
      </c>
      <c r="C115" s="1003">
        <f>C101</f>
        <v>300</v>
      </c>
    </row>
    <row r="116" spans="1:3">
      <c r="C116" s="1001"/>
    </row>
    <row r="117" spans="1:3" ht="24" thickBot="1">
      <c r="A117"/>
      <c r="B117" s="14"/>
      <c r="C117" s="1004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H117"/>
  <sheetViews>
    <sheetView workbookViewId="0">
      <pane xSplit="3" ySplit="8" topLeftCell="D29" activePane="bottomRight" state="frozen"/>
      <selection pane="topRight" activeCell="D1" sqref="D1"/>
      <selection pane="bottomLeft" activeCell="A33" sqref="A33"/>
      <selection pane="bottomRight" activeCell="B34" sqref="B34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5" customWidth="1"/>
    <col min="6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s="8" t="s">
        <v>2</v>
      </c>
    </row>
    <row r="3" spans="1:7" ht="15">
      <c r="A3" s="6"/>
      <c r="B3" s="7"/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80</v>
      </c>
      <c r="C6" s="9"/>
    </row>
    <row r="7" spans="1:7" ht="24" customHeight="1">
      <c r="A7" s="12" t="s">
        <v>6</v>
      </c>
      <c r="B7" s="128" t="s">
        <v>329</v>
      </c>
      <c r="C7" s="9"/>
    </row>
    <row r="8" spans="1:7" ht="24" customHeight="1">
      <c r="A8" s="12"/>
      <c r="B8" s="13" t="s">
        <v>256</v>
      </c>
      <c r="C8" s="129"/>
    </row>
    <row r="9" spans="1:7" ht="23.25" customHeight="1">
      <c r="A9" s="130" t="s">
        <v>24</v>
      </c>
      <c r="B9" s="34">
        <f>C9/E9</f>
        <v>10</v>
      </c>
      <c r="C9" s="131">
        <v>1000</v>
      </c>
      <c r="E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</row>
    <row r="11" spans="1:7" ht="23.25" customHeight="1">
      <c r="A11" s="14" t="s">
        <v>231</v>
      </c>
      <c r="B11" s="15">
        <f>C11/E11</f>
        <v>10</v>
      </c>
      <c r="C11" s="133">
        <f>+C9</f>
        <v>1000</v>
      </c>
      <c r="E11" s="132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v>0</v>
      </c>
      <c r="C13" s="133">
        <v>0</v>
      </c>
    </row>
    <row r="14" spans="1:7" ht="23.25" customHeight="1">
      <c r="A14" s="14" t="s">
        <v>261</v>
      </c>
      <c r="B14" s="15">
        <v>0</v>
      </c>
      <c r="C14" s="133">
        <v>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5" ht="23.25">
      <c r="A17" s="14" t="s">
        <v>264</v>
      </c>
      <c r="B17" s="15">
        <v>0</v>
      </c>
      <c r="C17" s="133">
        <v>0</v>
      </c>
    </row>
    <row r="18" spans="1:5" ht="23.25" customHeight="1">
      <c r="A18" s="130" t="s">
        <v>265</v>
      </c>
      <c r="B18" s="34">
        <f>C18/E18</f>
        <v>0</v>
      </c>
      <c r="C18" s="131">
        <v>0</v>
      </c>
      <c r="E18" s="132">
        <v>100</v>
      </c>
    </row>
    <row r="19" spans="1:5" ht="23.25" customHeight="1">
      <c r="A19" s="14" t="s">
        <v>266</v>
      </c>
      <c r="B19" s="15">
        <v>0</v>
      </c>
      <c r="C19" s="133">
        <v>0</v>
      </c>
    </row>
    <row r="20" spans="1:5" ht="23.25" customHeight="1">
      <c r="A20" s="14" t="s">
        <v>267</v>
      </c>
      <c r="B20" s="15">
        <f>B18</f>
        <v>0</v>
      </c>
      <c r="C20" s="133">
        <f>C18</f>
        <v>0</v>
      </c>
    </row>
    <row r="21" spans="1:5" ht="23.25" customHeight="1">
      <c r="A21" s="14" t="s">
        <v>268</v>
      </c>
      <c r="B21" s="15">
        <v>0</v>
      </c>
      <c r="C21" s="133">
        <v>0</v>
      </c>
    </row>
    <row r="22" spans="1:5" ht="23.25" customHeight="1">
      <c r="A22" s="14" t="s">
        <v>269</v>
      </c>
      <c r="B22" s="15">
        <v>0</v>
      </c>
      <c r="C22" s="133">
        <v>0</v>
      </c>
    </row>
    <row r="23" spans="1:5" ht="23.25" customHeight="1">
      <c r="A23" s="14" t="s">
        <v>270</v>
      </c>
      <c r="B23" s="15">
        <v>0</v>
      </c>
      <c r="C23" s="133">
        <v>0</v>
      </c>
    </row>
    <row r="24" spans="1:5" ht="23.25" customHeight="1">
      <c r="A24" s="14" t="s">
        <v>271</v>
      </c>
      <c r="B24" s="15">
        <v>0</v>
      </c>
      <c r="C24" s="133">
        <v>0</v>
      </c>
    </row>
    <row r="25" spans="1:5" ht="23.25" customHeight="1">
      <c r="A25" s="14" t="s">
        <v>272</v>
      </c>
      <c r="B25" s="15">
        <v>0</v>
      </c>
      <c r="C25" s="133">
        <v>0</v>
      </c>
    </row>
    <row r="26" spans="1:5" ht="23.25" customHeight="1">
      <c r="A26" s="14" t="s">
        <v>273</v>
      </c>
      <c r="B26" s="15">
        <v>0</v>
      </c>
      <c r="C26" s="133">
        <v>0</v>
      </c>
    </row>
    <row r="27" spans="1:5" ht="23.25" customHeight="1">
      <c r="A27" s="14" t="s">
        <v>274</v>
      </c>
      <c r="B27" s="15">
        <v>0</v>
      </c>
      <c r="C27" s="133">
        <v>0</v>
      </c>
    </row>
    <row r="28" spans="1:5" ht="23.25" customHeight="1">
      <c r="A28" s="80" t="s">
        <v>275</v>
      </c>
      <c r="B28" s="134">
        <v>10</v>
      </c>
      <c r="C28" s="133"/>
      <c r="E28" s="133"/>
    </row>
    <row r="29" spans="1:5" ht="23.25" customHeight="1">
      <c r="A29" s="14" t="s">
        <v>276</v>
      </c>
      <c r="B29" s="14"/>
      <c r="C29" s="133">
        <v>1380</v>
      </c>
    </row>
    <row r="30" spans="1:5" ht="23.25" customHeight="1">
      <c r="A30" s="14" t="s">
        <v>277</v>
      </c>
      <c r="B30" s="15">
        <v>0</v>
      </c>
      <c r="C30" s="133">
        <v>380</v>
      </c>
    </row>
    <row r="31" spans="1:5" ht="23.25" customHeight="1">
      <c r="A31" s="14" t="s">
        <v>278</v>
      </c>
      <c r="B31" s="15">
        <v>0</v>
      </c>
      <c r="C31" s="133">
        <f>+C30</f>
        <v>380</v>
      </c>
    </row>
    <row r="32" spans="1:5" ht="23.25" customHeight="1">
      <c r="A32" s="14" t="s">
        <v>279</v>
      </c>
      <c r="B32" s="25">
        <v>0</v>
      </c>
      <c r="C32" s="133"/>
    </row>
    <row r="33" spans="1:60" ht="23.25" customHeight="1">
      <c r="A33" s="22" t="s">
        <v>280</v>
      </c>
      <c r="B33" s="117">
        <v>0.27529999999999999</v>
      </c>
      <c r="C33" s="133"/>
    </row>
    <row r="34" spans="1:60" ht="23.25" customHeight="1">
      <c r="A34" s="61" t="s">
        <v>125</v>
      </c>
      <c r="B34" s="26">
        <v>0</v>
      </c>
      <c r="C34" s="135">
        <v>40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2</v>
      </c>
      <c r="D71" s="147">
        <v>10000</v>
      </c>
      <c r="E71" s="148">
        <v>100</v>
      </c>
    </row>
    <row r="72" spans="1:5" ht="23.25" hidden="1" customHeight="1">
      <c r="A72" s="146">
        <v>7</v>
      </c>
      <c r="B72" s="146">
        <v>100</v>
      </c>
      <c r="C72" s="147">
        <v>14</v>
      </c>
      <c r="D72" s="147">
        <v>140000</v>
      </c>
      <c r="E72" s="148">
        <v>1400</v>
      </c>
    </row>
    <row r="73" spans="1:5" ht="23.25" hidden="1" customHeight="1">
      <c r="B73" s="78" t="s">
        <v>68</v>
      </c>
      <c r="C73" s="147">
        <v>24</v>
      </c>
      <c r="D73" s="147">
        <v>157200</v>
      </c>
      <c r="E73" s="148">
        <v>1572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4" ht="23.25" hidden="1">
      <c r="A97" s="14" t="s">
        <v>319</v>
      </c>
      <c r="B97" s="115">
        <v>0</v>
      </c>
      <c r="C97" s="26">
        <v>0</v>
      </c>
      <c r="D97" s="9"/>
    </row>
    <row r="98" spans="1:4" ht="23.25" hidden="1">
      <c r="A98" s="22"/>
      <c r="B98" s="153"/>
      <c r="C98" s="24"/>
      <c r="D98" s="24"/>
    </row>
    <row r="99" spans="1:4" ht="23.25">
      <c r="B99" s="78" t="s">
        <v>321</v>
      </c>
    </row>
    <row r="100" spans="1:4" ht="15" thickBot="1"/>
    <row r="101" spans="1:4" ht="24" thickBot="1">
      <c r="B101" s="154" t="s">
        <v>136</v>
      </c>
      <c r="C101" s="1000">
        <f>+B9</f>
        <v>10</v>
      </c>
    </row>
    <row r="102" spans="1:4" hidden="1">
      <c r="C102" s="1001"/>
    </row>
    <row r="103" spans="1:4" ht="23.25">
      <c r="B103" s="14" t="s">
        <v>322</v>
      </c>
      <c r="C103" s="1002">
        <f>+B18</f>
        <v>0</v>
      </c>
    </row>
    <row r="104" spans="1:4" hidden="1">
      <c r="C104" s="1001"/>
    </row>
    <row r="105" spans="1:4" ht="23.25">
      <c r="B105" s="14" t="s">
        <v>323</v>
      </c>
      <c r="C105" s="1002">
        <f>+C29*0.01</f>
        <v>13.8</v>
      </c>
    </row>
    <row r="106" spans="1:4" hidden="1">
      <c r="C106" s="1001"/>
    </row>
    <row r="107" spans="1:4" ht="23.25">
      <c r="B107" s="14" t="s">
        <v>324</v>
      </c>
      <c r="C107" s="1002">
        <f>+C34</f>
        <v>40</v>
      </c>
    </row>
    <row r="108" spans="1:4" hidden="1">
      <c r="C108" s="1001"/>
    </row>
    <row r="109" spans="1:4" ht="23.25">
      <c r="B109" s="14" t="s">
        <v>325</v>
      </c>
      <c r="C109" s="1002">
        <v>0</v>
      </c>
    </row>
    <row r="110" spans="1:4">
      <c r="C110" s="1001"/>
    </row>
    <row r="111" spans="1:4" ht="23.25">
      <c r="B111" s="14" t="s">
        <v>326</v>
      </c>
      <c r="C111" s="1002">
        <v>0</v>
      </c>
    </row>
    <row r="112" spans="1:4">
      <c r="C112" s="1001"/>
    </row>
    <row r="113" spans="1:3" ht="23.25">
      <c r="A113"/>
      <c r="B113" s="14" t="s">
        <v>327</v>
      </c>
      <c r="C113" s="1003">
        <f>C103</f>
        <v>0</v>
      </c>
    </row>
    <row r="114" spans="1:3">
      <c r="C114" s="1001"/>
    </row>
    <row r="115" spans="1:3" ht="23.25">
      <c r="A115"/>
      <c r="B115" s="14" t="s">
        <v>328</v>
      </c>
      <c r="C115" s="1003">
        <f>C101</f>
        <v>10</v>
      </c>
    </row>
    <row r="116" spans="1:3">
      <c r="C116" s="1001"/>
    </row>
    <row r="117" spans="1:3" ht="24" thickBot="1">
      <c r="A117"/>
      <c r="B117" s="14"/>
      <c r="C117" s="1004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H115"/>
  <sheetViews>
    <sheetView workbookViewId="0">
      <pane xSplit="3" ySplit="6" topLeftCell="D22" activePane="bottomRight" state="frozen"/>
      <selection pane="topRight" activeCell="D1" sqref="D1"/>
      <selection pane="bottomLeft" activeCell="A30" sqref="A30"/>
      <selection pane="bottomRight" activeCell="C97" sqref="C97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5" customWidth="1"/>
    <col min="6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5">
      <c r="A1" s="3"/>
      <c r="B1" s="4"/>
      <c r="C1" s="5"/>
    </row>
    <row r="2" spans="1:5" ht="15">
      <c r="A2" s="6" t="s">
        <v>0</v>
      </c>
      <c r="B2" s="7" t="s">
        <v>254</v>
      </c>
      <c r="C2" s="8" t="s">
        <v>2</v>
      </c>
    </row>
    <row r="3" spans="1:5" ht="15">
      <c r="A3" s="6" t="s">
        <v>4</v>
      </c>
      <c r="B3" s="10">
        <v>0.01</v>
      </c>
      <c r="C3" s="9"/>
    </row>
    <row r="4" spans="1:5" ht="21" customHeight="1">
      <c r="A4" s="11" t="s">
        <v>5</v>
      </c>
      <c r="B4" s="38">
        <v>76</v>
      </c>
      <c r="C4" s="9"/>
    </row>
    <row r="5" spans="1:5" ht="24" customHeight="1">
      <c r="A5" s="12" t="s">
        <v>6</v>
      </c>
      <c r="B5" s="128" t="s">
        <v>330</v>
      </c>
      <c r="C5" s="9"/>
    </row>
    <row r="6" spans="1:5" ht="24" customHeight="1">
      <c r="A6" s="12"/>
      <c r="B6" s="13" t="s">
        <v>256</v>
      </c>
      <c r="C6" s="129" t="s">
        <v>257</v>
      </c>
    </row>
    <row r="7" spans="1:5" ht="23.25" customHeight="1">
      <c r="A7" s="130" t="s">
        <v>24</v>
      </c>
      <c r="B7" s="34">
        <f>C7/E7</f>
        <v>360</v>
      </c>
      <c r="C7" s="131">
        <v>36000</v>
      </c>
      <c r="E7" s="132">
        <v>100</v>
      </c>
    </row>
    <row r="8" spans="1:5" ht="23.25" customHeight="1">
      <c r="A8" s="14" t="s">
        <v>258</v>
      </c>
      <c r="B8" s="15">
        <v>0</v>
      </c>
      <c r="C8" s="133">
        <v>0</v>
      </c>
    </row>
    <row r="9" spans="1:5" ht="23.25" customHeight="1">
      <c r="A9" s="14" t="s">
        <v>231</v>
      </c>
      <c r="B9" s="15">
        <f>C9/E9</f>
        <v>360</v>
      </c>
      <c r="C9" s="133">
        <f>+C7</f>
        <v>36000</v>
      </c>
      <c r="E9" s="132">
        <v>100</v>
      </c>
    </row>
    <row r="10" spans="1:5" ht="23.25" customHeight="1">
      <c r="A10" s="14" t="s">
        <v>259</v>
      </c>
      <c r="B10" s="15">
        <v>0</v>
      </c>
      <c r="C10" s="133">
        <v>0</v>
      </c>
    </row>
    <row r="11" spans="1:5" ht="23.25" customHeight="1">
      <c r="A11" s="14" t="s">
        <v>260</v>
      </c>
      <c r="B11" s="15">
        <v>0</v>
      </c>
      <c r="C11" s="133">
        <v>0</v>
      </c>
    </row>
    <row r="12" spans="1:5" ht="23.25" customHeight="1">
      <c r="A12" s="14" t="s">
        <v>261</v>
      </c>
      <c r="B12" s="15">
        <v>0</v>
      </c>
      <c r="C12" s="133">
        <v>0</v>
      </c>
    </row>
    <row r="13" spans="1:5" ht="23.25" customHeight="1">
      <c r="A13" s="14" t="s">
        <v>262</v>
      </c>
      <c r="B13" s="15">
        <v>0</v>
      </c>
      <c r="C13" s="133">
        <v>0</v>
      </c>
      <c r="D13">
        <v>5</v>
      </c>
    </row>
    <row r="14" spans="1:5" ht="23.25" customHeight="1">
      <c r="A14" s="14" t="s">
        <v>263</v>
      </c>
      <c r="B14" s="15">
        <v>0</v>
      </c>
      <c r="C14" s="133">
        <v>0</v>
      </c>
    </row>
    <row r="15" spans="1:5" ht="23.25" customHeight="1">
      <c r="A15" s="14" t="s">
        <v>264</v>
      </c>
      <c r="B15" s="15">
        <v>0</v>
      </c>
      <c r="C15" s="133">
        <v>0</v>
      </c>
    </row>
    <row r="16" spans="1:5" ht="23.25" customHeight="1">
      <c r="A16" s="130" t="s">
        <v>265</v>
      </c>
      <c r="B16" s="34">
        <f>C16/E16</f>
        <v>240.06</v>
      </c>
      <c r="C16" s="131">
        <v>24006</v>
      </c>
      <c r="E16" s="132">
        <v>100</v>
      </c>
    </row>
    <row r="17" spans="1:5" ht="23.25" customHeight="1">
      <c r="A17" s="14" t="s">
        <v>266</v>
      </c>
      <c r="B17" s="15">
        <v>0</v>
      </c>
      <c r="C17" s="133">
        <v>0</v>
      </c>
    </row>
    <row r="18" spans="1:5" ht="23.25" customHeight="1">
      <c r="A18" s="14" t="s">
        <v>267</v>
      </c>
      <c r="B18" s="15">
        <f>B16</f>
        <v>240.06</v>
      </c>
      <c r="C18" s="133">
        <f>C16</f>
        <v>24006</v>
      </c>
    </row>
    <row r="19" spans="1:5" ht="23.25" customHeight="1">
      <c r="A19" s="14" t="s">
        <v>268</v>
      </c>
      <c r="B19" s="15">
        <v>0</v>
      </c>
      <c r="C19" s="133">
        <v>0</v>
      </c>
    </row>
    <row r="20" spans="1:5" ht="23.25" customHeight="1">
      <c r="A20" s="14" t="s">
        <v>269</v>
      </c>
      <c r="B20" s="15">
        <v>0</v>
      </c>
      <c r="C20" s="133">
        <v>0</v>
      </c>
    </row>
    <row r="21" spans="1:5" ht="23.25" customHeight="1">
      <c r="A21" s="14" t="s">
        <v>270</v>
      </c>
      <c r="B21" s="15">
        <v>0</v>
      </c>
      <c r="C21" s="133">
        <v>0</v>
      </c>
    </row>
    <row r="22" spans="1:5" ht="23.25" customHeight="1">
      <c r="A22" s="14" t="s">
        <v>271</v>
      </c>
      <c r="B22" s="15">
        <v>0</v>
      </c>
      <c r="C22" s="133">
        <v>0</v>
      </c>
    </row>
    <row r="23" spans="1:5" ht="23.25" customHeight="1">
      <c r="A23" s="14" t="s">
        <v>272</v>
      </c>
      <c r="B23" s="15">
        <v>0</v>
      </c>
      <c r="C23" s="133">
        <v>0</v>
      </c>
    </row>
    <row r="24" spans="1:5" ht="23.25" customHeight="1">
      <c r="A24" s="14" t="s">
        <v>273</v>
      </c>
      <c r="B24" s="15">
        <v>0</v>
      </c>
      <c r="C24" s="133">
        <v>0</v>
      </c>
    </row>
    <row r="25" spans="1:5" ht="23.25" customHeight="1">
      <c r="A25" s="14" t="s">
        <v>274</v>
      </c>
      <c r="B25" s="15">
        <v>0</v>
      </c>
      <c r="C25" s="133">
        <v>0</v>
      </c>
    </row>
    <row r="26" spans="1:5" ht="23.25" customHeight="1">
      <c r="A26" s="80" t="s">
        <v>275</v>
      </c>
      <c r="B26" s="134">
        <v>119.94</v>
      </c>
      <c r="C26" s="133"/>
      <c r="E26" s="133"/>
    </row>
    <row r="27" spans="1:5" ht="23.25" customHeight="1">
      <c r="A27" s="14" t="s">
        <v>276</v>
      </c>
      <c r="B27" s="15">
        <v>0</v>
      </c>
      <c r="C27" s="133">
        <v>138500</v>
      </c>
    </row>
    <row r="28" spans="1:5" ht="23.25" customHeight="1">
      <c r="A28" s="14" t="s">
        <v>277</v>
      </c>
      <c r="B28" s="15">
        <v>0</v>
      </c>
      <c r="C28" s="133">
        <v>126506</v>
      </c>
    </row>
    <row r="29" spans="1:5" ht="23.25" customHeight="1">
      <c r="A29" s="14" t="s">
        <v>278</v>
      </c>
      <c r="B29" s="15">
        <v>0</v>
      </c>
      <c r="C29" s="133">
        <f>C28</f>
        <v>126506</v>
      </c>
    </row>
    <row r="30" spans="1:5" ht="23.25" customHeight="1">
      <c r="A30" s="14" t="s">
        <v>279</v>
      </c>
      <c r="B30" s="25">
        <v>0</v>
      </c>
      <c r="C30" s="133">
        <v>0</v>
      </c>
    </row>
    <row r="31" spans="1:5" ht="23.25" customHeight="1">
      <c r="A31" s="22" t="s">
        <v>280</v>
      </c>
      <c r="B31" s="117">
        <v>0.91339999999999999</v>
      </c>
      <c r="C31" s="133"/>
    </row>
    <row r="32" spans="1:5" ht="23.25" customHeight="1">
      <c r="A32" s="61" t="s">
        <v>125</v>
      </c>
      <c r="B32" s="26"/>
      <c r="C32" s="135">
        <v>3779</v>
      </c>
    </row>
    <row r="33" spans="1:60" ht="23.25" hidden="1" customHeight="1">
      <c r="B33" s="136" t="s">
        <v>281</v>
      </c>
      <c r="C33" s="1" t="s">
        <v>282</v>
      </c>
      <c r="D33" t="s">
        <v>283</v>
      </c>
    </row>
    <row r="34" spans="1:60" ht="23.25" hidden="1" customHeight="1">
      <c r="B34" s="115"/>
      <c r="C34" s="26"/>
      <c r="D34" s="9"/>
    </row>
    <row r="35" spans="1:60" ht="23.25" hidden="1" customHeight="1">
      <c r="A35" s="137" t="s">
        <v>284</v>
      </c>
      <c r="B35" s="115">
        <v>0</v>
      </c>
      <c r="C35" s="26">
        <v>0</v>
      </c>
      <c r="D35" s="115">
        <v>0</v>
      </c>
    </row>
    <row r="36" spans="1:60" ht="23.25" hidden="1" customHeight="1">
      <c r="A36" s="61" t="s">
        <v>285</v>
      </c>
      <c r="B36" s="115">
        <v>0</v>
      </c>
      <c r="C36" s="26">
        <v>0</v>
      </c>
      <c r="D36" s="115">
        <v>0</v>
      </c>
    </row>
    <row r="37" spans="1:60" ht="23.25" hidden="1" customHeight="1">
      <c r="A37" s="61" t="s">
        <v>286</v>
      </c>
      <c r="B37" s="115">
        <v>0</v>
      </c>
      <c r="C37" s="26">
        <v>0</v>
      </c>
      <c r="D37" s="115">
        <v>0</v>
      </c>
    </row>
    <row r="38" spans="1:60" s="138" customFormat="1" ht="23.25" hidden="1" customHeight="1">
      <c r="A38" s="61" t="s">
        <v>287</v>
      </c>
      <c r="B38" s="115">
        <v>0</v>
      </c>
      <c r="C38" s="26">
        <v>0</v>
      </c>
      <c r="D38" s="115">
        <v>0</v>
      </c>
      <c r="E38"/>
      <c r="F38"/>
      <c r="G38"/>
      <c r="H38"/>
      <c r="I38"/>
      <c r="J38"/>
      <c r="K38"/>
      <c r="L38"/>
    </row>
    <row r="39" spans="1:60" ht="23.25" hidden="1" customHeight="1">
      <c r="A39" s="61" t="s">
        <v>288</v>
      </c>
      <c r="B39" s="115">
        <v>0</v>
      </c>
      <c r="C39" s="26">
        <v>0</v>
      </c>
      <c r="D39" s="115">
        <v>0</v>
      </c>
    </row>
    <row r="40" spans="1:60" ht="23.25" hidden="1" customHeight="1">
      <c r="A40" s="61" t="s">
        <v>289</v>
      </c>
      <c r="B40" s="115">
        <v>0</v>
      </c>
      <c r="C40" s="26">
        <v>0</v>
      </c>
      <c r="D40" s="115">
        <v>0</v>
      </c>
    </row>
    <row r="41" spans="1:60" ht="23.25" hidden="1" customHeight="1">
      <c r="A41" s="14" t="s">
        <v>290</v>
      </c>
      <c r="B41" s="115">
        <v>0</v>
      </c>
      <c r="C41" s="26">
        <v>0</v>
      </c>
      <c r="D41" s="115">
        <v>0</v>
      </c>
    </row>
    <row r="42" spans="1:60" ht="24" hidden="1" customHeight="1">
      <c r="A42" s="14" t="s">
        <v>291</v>
      </c>
      <c r="B42" s="115">
        <v>0</v>
      </c>
      <c r="C42" s="26">
        <v>0</v>
      </c>
      <c r="D42" s="115">
        <v>0</v>
      </c>
      <c r="AZ42" s="16"/>
      <c r="BA42" s="16"/>
      <c r="BB42" s="16"/>
      <c r="BC42" s="16"/>
      <c r="BD42" s="16"/>
      <c r="BE42" s="16"/>
      <c r="BF42" s="16"/>
      <c r="BG42" s="16"/>
      <c r="BH42" s="16"/>
    </row>
    <row r="43" spans="1:60" ht="23.25" hidden="1" customHeight="1">
      <c r="A43" s="14" t="s">
        <v>292</v>
      </c>
      <c r="B43" s="115"/>
      <c r="C43" s="26">
        <v>0</v>
      </c>
      <c r="D43" s="115">
        <v>0</v>
      </c>
    </row>
    <row r="44" spans="1:60" ht="23.25" hidden="1" customHeight="1">
      <c r="A44" s="14"/>
      <c r="B44" s="115"/>
      <c r="C44" s="26"/>
      <c r="D44" s="9"/>
    </row>
    <row r="45" spans="1:60" ht="23.25" hidden="1" customHeight="1">
      <c r="A45" s="14" t="s">
        <v>293</v>
      </c>
      <c r="B45" s="64">
        <v>0</v>
      </c>
      <c r="C45" s="26">
        <v>0</v>
      </c>
      <c r="D45" s="115">
        <v>0</v>
      </c>
    </row>
    <row r="46" spans="1:60" ht="23.25" hidden="1" customHeight="1">
      <c r="A46" s="14" t="s">
        <v>294</v>
      </c>
      <c r="B46" s="64">
        <v>0</v>
      </c>
      <c r="C46" s="26">
        <v>0</v>
      </c>
      <c r="D46" s="115">
        <v>0</v>
      </c>
    </row>
    <row r="47" spans="1:60" ht="23.25" hidden="1" customHeight="1">
      <c r="A47" s="14" t="s">
        <v>295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296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297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298</v>
      </c>
      <c r="B50" s="64">
        <v>0</v>
      </c>
      <c r="C50" s="26">
        <v>0</v>
      </c>
      <c r="D50" s="115">
        <v>0</v>
      </c>
    </row>
    <row r="51" spans="1:5" ht="23.25" hidden="1">
      <c r="A51" s="14" t="s">
        <v>299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300</v>
      </c>
      <c r="B52" s="64">
        <v>0</v>
      </c>
      <c r="C52" s="26">
        <v>0</v>
      </c>
      <c r="D52" s="115">
        <v>0</v>
      </c>
    </row>
    <row r="53" spans="1:5" ht="23.25" hidden="1" customHeight="1">
      <c r="A53" s="14" t="s">
        <v>301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302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303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304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305</v>
      </c>
      <c r="B57" s="84">
        <v>0</v>
      </c>
      <c r="C57" s="26">
        <v>0</v>
      </c>
      <c r="D57" s="115">
        <v>0</v>
      </c>
    </row>
    <row r="58" spans="1:5" ht="23.25" hidden="1" customHeight="1">
      <c r="A58" s="22"/>
      <c r="B58" s="78"/>
      <c r="C58" s="139"/>
    </row>
    <row r="59" spans="1:5" ht="23.25" hidden="1" customHeight="1">
      <c r="B59" s="78" t="s">
        <v>36</v>
      </c>
      <c r="C59" s="140"/>
    </row>
    <row r="60" spans="1:5" ht="23.25" hidden="1" customHeight="1">
      <c r="B60" s="141"/>
      <c r="C60" s="142"/>
      <c r="D60" s="143"/>
      <c r="E60" s="143"/>
    </row>
    <row r="61" spans="1:5" ht="23.25" hidden="1" customHeight="1">
      <c r="A61" s="142" t="s">
        <v>306</v>
      </c>
      <c r="B61" s="141"/>
      <c r="C61" s="142"/>
      <c r="D61" s="143"/>
      <c r="E61" s="143"/>
    </row>
    <row r="62" spans="1:5" ht="23.25" hidden="1" customHeight="1">
      <c r="A62" s="14" t="s">
        <v>307</v>
      </c>
      <c r="B62" s="14" t="s">
        <v>256</v>
      </c>
      <c r="C62" s="14" t="s">
        <v>281</v>
      </c>
      <c r="D62" s="9" t="s">
        <v>283</v>
      </c>
      <c r="E62" s="9" t="s">
        <v>308</v>
      </c>
    </row>
    <row r="63" spans="1:5" ht="23.25" hidden="1" customHeight="1">
      <c r="A63" s="144"/>
      <c r="B63" s="26"/>
      <c r="C63" s="145"/>
      <c r="D63" s="9"/>
      <c r="E63" s="9"/>
    </row>
    <row r="64" spans="1:5" ht="23.25" hidden="1" customHeight="1">
      <c r="A64" s="146">
        <v>1</v>
      </c>
      <c r="B64" s="146">
        <v>1</v>
      </c>
      <c r="C64" s="147">
        <v>2</v>
      </c>
      <c r="D64" s="147">
        <v>200</v>
      </c>
      <c r="E64" s="148">
        <v>2</v>
      </c>
    </row>
    <row r="65" spans="1:5" ht="23.25" hidden="1" customHeight="1">
      <c r="A65" s="146">
        <v>2</v>
      </c>
      <c r="B65" s="146">
        <v>2</v>
      </c>
      <c r="C65" s="147">
        <v>0</v>
      </c>
      <c r="D65" s="147">
        <v>0</v>
      </c>
      <c r="E65" s="148">
        <v>0</v>
      </c>
    </row>
    <row r="66" spans="1:5" ht="23.25" hidden="1" customHeight="1">
      <c r="A66" s="146">
        <v>3</v>
      </c>
      <c r="B66" s="146">
        <v>5</v>
      </c>
      <c r="C66" s="147">
        <v>2</v>
      </c>
      <c r="D66" s="147">
        <v>1000</v>
      </c>
      <c r="E66" s="148">
        <v>10</v>
      </c>
    </row>
    <row r="67" spans="1:5" ht="23.25" hidden="1" customHeight="1">
      <c r="A67" s="146">
        <v>4</v>
      </c>
      <c r="B67" s="146">
        <v>10</v>
      </c>
      <c r="C67" s="147">
        <v>2</v>
      </c>
      <c r="D67" s="147">
        <v>2000</v>
      </c>
      <c r="E67" s="148">
        <v>20</v>
      </c>
    </row>
    <row r="68" spans="1:5" ht="23.25" hidden="1" customHeight="1">
      <c r="A68" s="146">
        <v>5</v>
      </c>
      <c r="B68" s="146">
        <v>20</v>
      </c>
      <c r="C68" s="147">
        <v>2</v>
      </c>
      <c r="D68" s="147">
        <v>4000</v>
      </c>
      <c r="E68" s="148">
        <v>40</v>
      </c>
    </row>
    <row r="69" spans="1:5" ht="23.25" hidden="1" customHeight="1">
      <c r="A69" s="146">
        <v>6</v>
      </c>
      <c r="B69" s="146">
        <v>50</v>
      </c>
      <c r="C69" s="147">
        <v>2</v>
      </c>
      <c r="D69" s="147">
        <v>10000</v>
      </c>
      <c r="E69" s="148">
        <v>100</v>
      </c>
    </row>
    <row r="70" spans="1:5" ht="23.25" hidden="1" customHeight="1">
      <c r="A70" s="146">
        <v>7</v>
      </c>
      <c r="B70" s="146">
        <v>100</v>
      </c>
      <c r="C70" s="147">
        <v>14</v>
      </c>
      <c r="D70" s="147">
        <v>140000</v>
      </c>
      <c r="E70" s="148">
        <v>1400</v>
      </c>
    </row>
    <row r="71" spans="1:5" ht="23.25" hidden="1" customHeight="1">
      <c r="B71" s="78" t="s">
        <v>68</v>
      </c>
      <c r="C71" s="147">
        <v>24</v>
      </c>
      <c r="D71" s="147">
        <v>157200</v>
      </c>
      <c r="E71" s="148">
        <v>1572</v>
      </c>
    </row>
    <row r="72" spans="1:5" ht="23.25" hidden="1" customHeight="1">
      <c r="A72" s="1" t="s">
        <v>309</v>
      </c>
      <c r="B72" s="78"/>
      <c r="C72" s="103"/>
      <c r="D72" s="149"/>
    </row>
    <row r="73" spans="1:5" ht="23.25" hidden="1" customHeight="1">
      <c r="A73" s="14" t="s">
        <v>307</v>
      </c>
      <c r="B73" s="14" t="s">
        <v>256</v>
      </c>
      <c r="C73" s="145" t="s">
        <v>281</v>
      </c>
      <c r="D73" s="150" t="s">
        <v>310</v>
      </c>
      <c r="E73" s="9" t="s">
        <v>308</v>
      </c>
    </row>
    <row r="74" spans="1:5" ht="23.25" hidden="1" customHeight="1">
      <c r="A74" s="146">
        <v>1</v>
      </c>
      <c r="B74" s="26">
        <v>0</v>
      </c>
      <c r="C74" s="147">
        <v>0</v>
      </c>
      <c r="D74" s="147">
        <v>0</v>
      </c>
      <c r="E74" s="26">
        <v>0</v>
      </c>
    </row>
    <row r="75" spans="1:5" ht="23.25" hidden="1" customHeight="1">
      <c r="A75" s="146">
        <v>2</v>
      </c>
      <c r="B75" s="26">
        <v>0</v>
      </c>
      <c r="C75" s="147">
        <v>0</v>
      </c>
      <c r="D75" s="147">
        <v>0</v>
      </c>
      <c r="E75" s="26">
        <v>0</v>
      </c>
    </row>
    <row r="76" spans="1:5" ht="23.25" hidden="1" customHeight="1">
      <c r="A76" s="146">
        <v>3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4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5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>
      <c r="A79" s="146">
        <v>6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>
      <c r="A80" s="26"/>
      <c r="B80" s="14" t="s">
        <v>68</v>
      </c>
      <c r="C80" s="147">
        <v>0</v>
      </c>
      <c r="D80" s="147">
        <v>0</v>
      </c>
      <c r="E80" s="26">
        <v>0</v>
      </c>
    </row>
    <row r="81" spans="1:4" ht="23.25" hidden="1">
      <c r="B81" s="78"/>
      <c r="C81" s="1"/>
    </row>
    <row r="82" spans="1:4" ht="23.25" hidden="1">
      <c r="A82" s="136" t="s">
        <v>311</v>
      </c>
      <c r="B82" s="78"/>
      <c r="C82" s="1"/>
    </row>
    <row r="83" spans="1:4" ht="23.25" hidden="1">
      <c r="A83" s="78"/>
      <c r="B83" s="1" t="s">
        <v>312</v>
      </c>
      <c r="C83" s="1" t="s">
        <v>256</v>
      </c>
      <c r="D83" t="s">
        <v>313</v>
      </c>
    </row>
    <row r="84" spans="1:4" ht="23.25" hidden="1">
      <c r="A84" s="14" t="s">
        <v>314</v>
      </c>
      <c r="B84" s="115">
        <v>0</v>
      </c>
      <c r="C84" s="26">
        <v>0</v>
      </c>
      <c r="D84" s="26">
        <v>0</v>
      </c>
    </row>
    <row r="85" spans="1:4" ht="23.25" hidden="1">
      <c r="A85" s="14" t="s">
        <v>315</v>
      </c>
      <c r="B85" s="115">
        <v>0</v>
      </c>
      <c r="C85" s="26">
        <v>0</v>
      </c>
      <c r="D85" s="9"/>
    </row>
    <row r="86" spans="1:4" ht="23.25" hidden="1">
      <c r="A86" s="1" t="s">
        <v>316</v>
      </c>
      <c r="B86" s="115">
        <v>0</v>
      </c>
      <c r="C86" s="26">
        <v>0</v>
      </c>
      <c r="D86" s="14"/>
    </row>
    <row r="87" spans="1:4" ht="23.25" hidden="1">
      <c r="A87" s="14" t="s">
        <v>317</v>
      </c>
      <c r="B87" s="115">
        <v>0</v>
      </c>
      <c r="C87" s="26">
        <v>0</v>
      </c>
      <c r="D87" s="14"/>
    </row>
    <row r="88" spans="1:4" ht="23.25" hidden="1">
      <c r="A88" s="1" t="s">
        <v>318</v>
      </c>
      <c r="B88" s="115">
        <v>0</v>
      </c>
      <c r="C88" s="26">
        <v>0</v>
      </c>
      <c r="D88" s="14"/>
    </row>
    <row r="89" spans="1:4" ht="23.25" hidden="1">
      <c r="A89" s="151" t="s">
        <v>319</v>
      </c>
      <c r="B89" s="115">
        <v>0</v>
      </c>
      <c r="C89" s="26">
        <v>0</v>
      </c>
      <c r="D89" s="9"/>
    </row>
    <row r="90" spans="1:4" ht="23.25" hidden="1">
      <c r="A90" s="151" t="s">
        <v>320</v>
      </c>
      <c r="B90" s="115"/>
      <c r="C90" s="152"/>
      <c r="D90" s="26">
        <v>0</v>
      </c>
    </row>
    <row r="91" spans="1:4" ht="23.25" hidden="1">
      <c r="A91" s="14" t="s">
        <v>315</v>
      </c>
      <c r="B91" s="115">
        <v>0</v>
      </c>
      <c r="C91" s="26">
        <v>0</v>
      </c>
      <c r="D91" s="9"/>
    </row>
    <row r="92" spans="1:4" ht="23.25" hidden="1">
      <c r="A92" s="14" t="s">
        <v>316</v>
      </c>
      <c r="B92" s="115">
        <v>0</v>
      </c>
      <c r="C92" s="26">
        <v>0</v>
      </c>
      <c r="D92" s="9"/>
    </row>
    <row r="93" spans="1:4" ht="23.25" hidden="1">
      <c r="A93" s="151" t="s">
        <v>317</v>
      </c>
      <c r="B93" s="115">
        <v>0</v>
      </c>
      <c r="C93" s="26">
        <v>0</v>
      </c>
      <c r="D93" s="9"/>
    </row>
    <row r="94" spans="1:4" ht="23.25" hidden="1">
      <c r="A94" s="14" t="s">
        <v>318</v>
      </c>
      <c r="B94" s="115">
        <v>0</v>
      </c>
      <c r="C94" s="26">
        <v>0</v>
      </c>
      <c r="D94" s="9"/>
    </row>
    <row r="95" spans="1:4" ht="23.25" hidden="1">
      <c r="A95" s="14" t="s">
        <v>319</v>
      </c>
      <c r="B95" s="115">
        <v>0</v>
      </c>
      <c r="C95" s="26">
        <v>0</v>
      </c>
      <c r="D95" s="9"/>
    </row>
    <row r="96" spans="1:4" ht="23.25" hidden="1">
      <c r="A96" s="22"/>
      <c r="B96" s="153"/>
      <c r="C96" s="24"/>
      <c r="D96" s="24"/>
    </row>
    <row r="97" spans="1:3" ht="23.25">
      <c r="B97" s="78" t="s">
        <v>321</v>
      </c>
    </row>
    <row r="98" spans="1:3" ht="15" thickBot="1"/>
    <row r="99" spans="1:3" ht="24" thickBot="1">
      <c r="B99" s="154" t="s">
        <v>136</v>
      </c>
      <c r="C99" s="1000">
        <f>+B7</f>
        <v>360</v>
      </c>
    </row>
    <row r="100" spans="1:3" hidden="1">
      <c r="C100" s="1001"/>
    </row>
    <row r="101" spans="1:3" ht="23.25">
      <c r="B101" s="14" t="s">
        <v>322</v>
      </c>
      <c r="C101" s="1002">
        <f>+B16</f>
        <v>240.06</v>
      </c>
    </row>
    <row r="102" spans="1:3" hidden="1">
      <c r="C102" s="1001"/>
    </row>
    <row r="103" spans="1:3" ht="23.25">
      <c r="B103" s="14" t="s">
        <v>323</v>
      </c>
      <c r="C103" s="1002">
        <f>+C27*0.01</f>
        <v>1385</v>
      </c>
    </row>
    <row r="104" spans="1:3" hidden="1">
      <c r="C104" s="1001"/>
    </row>
    <row r="105" spans="1:3" ht="23.25">
      <c r="B105" s="14" t="s">
        <v>324</v>
      </c>
      <c r="C105" s="1002">
        <f>+C32</f>
        <v>3779</v>
      </c>
    </row>
    <row r="106" spans="1:3" hidden="1">
      <c r="C106" s="1001"/>
    </row>
    <row r="107" spans="1:3" ht="23.25">
      <c r="B107" s="14" t="s">
        <v>325</v>
      </c>
      <c r="C107" s="1002">
        <v>0</v>
      </c>
    </row>
    <row r="108" spans="1:3" hidden="1">
      <c r="C108" s="1001"/>
    </row>
    <row r="109" spans="1:3" ht="23.25">
      <c r="B109" s="14" t="s">
        <v>326</v>
      </c>
      <c r="C109" s="1002">
        <v>0</v>
      </c>
    </row>
    <row r="110" spans="1:3">
      <c r="C110" s="1001"/>
    </row>
    <row r="111" spans="1:3" ht="23.25">
      <c r="A111"/>
      <c r="B111" s="14" t="s">
        <v>327</v>
      </c>
      <c r="C111" s="1003">
        <f>C101</f>
        <v>240.06</v>
      </c>
    </row>
    <row r="112" spans="1:3">
      <c r="C112" s="1001"/>
    </row>
    <row r="113" spans="1:3" ht="23.25">
      <c r="A113"/>
      <c r="B113" s="14" t="s">
        <v>328</v>
      </c>
      <c r="C113" s="1003">
        <f>C99</f>
        <v>360</v>
      </c>
    </row>
    <row r="114" spans="1:3">
      <c r="C114" s="1001"/>
    </row>
    <row r="115" spans="1:3" ht="24" thickBot="1">
      <c r="A115"/>
      <c r="B115" s="14"/>
      <c r="C115" s="1004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H119"/>
  <sheetViews>
    <sheetView workbookViewId="0">
      <pane xSplit="3" ySplit="8" topLeftCell="D30" activePane="bottomRight" state="frozen"/>
      <selection pane="topRight" activeCell="D1" sqref="D1"/>
      <selection pane="bottomLeft" activeCell="A32" sqref="A32"/>
      <selection pane="bottomRight" activeCell="C99" sqref="C9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5" customWidth="1"/>
    <col min="6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11">
      <c r="A1" s="3"/>
      <c r="B1" s="4"/>
      <c r="C1" s="5"/>
    </row>
    <row r="2" spans="1:11" ht="15">
      <c r="A2" s="6" t="s">
        <v>0</v>
      </c>
      <c r="B2" s="7" t="s">
        <v>254</v>
      </c>
      <c r="C2" s="8" t="s">
        <v>2</v>
      </c>
    </row>
    <row r="3" spans="1:11" ht="15">
      <c r="A3" s="6"/>
      <c r="B3" s="7"/>
      <c r="C3" s="9"/>
    </row>
    <row r="4" spans="1:11" ht="15">
      <c r="A4" s="6" t="s">
        <v>4</v>
      </c>
      <c r="B4" s="10">
        <v>0.01</v>
      </c>
      <c r="C4" s="9"/>
    </row>
    <row r="5" spans="1:11">
      <c r="C5" s="9"/>
      <c r="G5" s="156"/>
      <c r="H5" s="156"/>
      <c r="I5" s="156"/>
      <c r="J5" s="156"/>
      <c r="K5" s="156"/>
    </row>
    <row r="6" spans="1:11" ht="21" customHeight="1">
      <c r="A6" s="11" t="s">
        <v>5</v>
      </c>
      <c r="B6" s="38">
        <v>79</v>
      </c>
      <c r="C6" s="9"/>
      <c r="G6" s="9"/>
      <c r="H6" s="9"/>
      <c r="I6" s="9"/>
      <c r="J6" s="9"/>
      <c r="K6" s="9"/>
    </row>
    <row r="7" spans="1:11" ht="24" customHeight="1">
      <c r="A7" s="12" t="s">
        <v>6</v>
      </c>
      <c r="B7" s="128" t="s">
        <v>255</v>
      </c>
      <c r="C7" s="9"/>
      <c r="G7" s="9"/>
      <c r="H7" s="9"/>
      <c r="I7" s="9"/>
      <c r="J7" s="9"/>
      <c r="K7" s="9"/>
    </row>
    <row r="8" spans="1:11" ht="24" customHeight="1">
      <c r="A8" s="12"/>
      <c r="B8" s="13" t="s">
        <v>256</v>
      </c>
      <c r="C8" s="129" t="s">
        <v>257</v>
      </c>
      <c r="G8" s="9"/>
      <c r="H8" s="9"/>
      <c r="I8" s="9"/>
      <c r="J8" s="9"/>
      <c r="K8" s="9"/>
    </row>
    <row r="9" spans="1:11" ht="23.25" customHeight="1">
      <c r="A9" s="130" t="s">
        <v>24</v>
      </c>
      <c r="B9" s="34">
        <f>C9/E9</f>
        <v>60</v>
      </c>
      <c r="C9" s="131">
        <v>6000</v>
      </c>
      <c r="E9" s="132">
        <v>100</v>
      </c>
      <c r="G9" s="9"/>
      <c r="H9" s="9"/>
      <c r="I9" s="9"/>
      <c r="J9" s="9"/>
      <c r="K9" s="9"/>
    </row>
    <row r="10" spans="1:11" ht="23.25" customHeight="1">
      <c r="A10" s="14" t="s">
        <v>258</v>
      </c>
      <c r="B10" s="15">
        <v>0</v>
      </c>
      <c r="C10" s="133">
        <v>0</v>
      </c>
      <c r="G10" s="9"/>
      <c r="H10" s="9"/>
      <c r="I10" s="9"/>
      <c r="J10" s="9"/>
      <c r="K10" s="9"/>
    </row>
    <row r="11" spans="1:11" ht="23.25" customHeight="1">
      <c r="A11" s="14" t="s">
        <v>231</v>
      </c>
      <c r="B11" s="15">
        <f>C11/E11</f>
        <v>60</v>
      </c>
      <c r="C11" s="133">
        <f>C9</f>
        <v>6000</v>
      </c>
      <c r="E11" s="132">
        <v>100</v>
      </c>
      <c r="G11" s="9"/>
      <c r="H11" s="9"/>
      <c r="I11" s="9"/>
      <c r="J11" s="9"/>
      <c r="K11" s="9"/>
    </row>
    <row r="12" spans="1:11" ht="23.25" customHeight="1">
      <c r="A12" s="14" t="s">
        <v>259</v>
      </c>
      <c r="B12" s="15">
        <v>0</v>
      </c>
      <c r="C12" s="133">
        <v>0</v>
      </c>
      <c r="G12" s="9"/>
      <c r="H12" s="9"/>
      <c r="I12" s="9"/>
      <c r="J12" s="9"/>
      <c r="K12" s="9"/>
    </row>
    <row r="13" spans="1:11" ht="23.25" customHeight="1">
      <c r="A13" s="14" t="s">
        <v>260</v>
      </c>
      <c r="B13" s="15">
        <v>0</v>
      </c>
      <c r="C13" s="133">
        <v>0</v>
      </c>
      <c r="G13" s="9"/>
      <c r="H13" s="9"/>
      <c r="I13" s="9"/>
      <c r="J13" s="9"/>
      <c r="K13" s="9"/>
    </row>
    <row r="14" spans="1:11" ht="23.25" customHeight="1">
      <c r="A14" s="14" t="s">
        <v>261</v>
      </c>
      <c r="B14" s="15">
        <v>0</v>
      </c>
      <c r="C14" s="133">
        <v>0</v>
      </c>
    </row>
    <row r="15" spans="1:11" ht="23.25" customHeight="1">
      <c r="A15" s="14" t="s">
        <v>262</v>
      </c>
      <c r="B15" s="15">
        <v>0</v>
      </c>
      <c r="C15" s="133">
        <v>0</v>
      </c>
    </row>
    <row r="16" spans="1:11" ht="23.25" customHeight="1">
      <c r="A16" s="14" t="s">
        <v>263</v>
      </c>
      <c r="B16" s="15">
        <v>0</v>
      </c>
      <c r="C16" s="133">
        <v>0</v>
      </c>
    </row>
    <row r="17" spans="1:7" ht="23.25" customHeight="1">
      <c r="A17" s="14" t="s">
        <v>264</v>
      </c>
      <c r="B17" s="15">
        <v>0</v>
      </c>
      <c r="C17" s="133">
        <v>0</v>
      </c>
    </row>
    <row r="18" spans="1:7" ht="23.25" customHeight="1">
      <c r="A18" s="130" t="s">
        <v>265</v>
      </c>
      <c r="B18" s="34">
        <f>C18/E18</f>
        <v>30.05</v>
      </c>
      <c r="C18" s="131">
        <v>3005</v>
      </c>
      <c r="E18" s="132">
        <v>100</v>
      </c>
      <c r="G18" t="b">
        <f>C9=C11+C12</f>
        <v>1</v>
      </c>
    </row>
    <row r="19" spans="1:7" ht="23.25" customHeight="1">
      <c r="A19" s="14" t="s">
        <v>266</v>
      </c>
      <c r="B19" s="15">
        <v>0</v>
      </c>
      <c r="C19" s="133">
        <v>0</v>
      </c>
    </row>
    <row r="20" spans="1:7" ht="23.25" customHeight="1">
      <c r="A20" s="14" t="s">
        <v>267</v>
      </c>
      <c r="B20" s="15">
        <f>B18</f>
        <v>30.05</v>
      </c>
      <c r="C20" s="133">
        <f>C18</f>
        <v>3005</v>
      </c>
    </row>
    <row r="21" spans="1:7" ht="23.25" customHeight="1">
      <c r="A21" s="14" t="s">
        <v>268</v>
      </c>
      <c r="B21" s="15">
        <v>0</v>
      </c>
      <c r="C21" s="133">
        <v>0</v>
      </c>
    </row>
    <row r="22" spans="1:7" ht="23.25" customHeight="1">
      <c r="A22" s="14" t="s">
        <v>269</v>
      </c>
      <c r="B22" s="15">
        <v>0</v>
      </c>
      <c r="C22" s="133">
        <v>0</v>
      </c>
    </row>
    <row r="23" spans="1:7" ht="23.25" customHeight="1">
      <c r="A23" s="14" t="s">
        <v>270</v>
      </c>
      <c r="B23" s="15">
        <v>0</v>
      </c>
      <c r="C23" s="133">
        <v>0</v>
      </c>
    </row>
    <row r="24" spans="1:7" ht="23.25" customHeight="1">
      <c r="A24" s="14" t="s">
        <v>271</v>
      </c>
      <c r="B24" s="15">
        <v>0</v>
      </c>
      <c r="C24" s="133">
        <v>0</v>
      </c>
    </row>
    <row r="25" spans="1:7" ht="23.25" customHeight="1">
      <c r="A25" s="14" t="s">
        <v>272</v>
      </c>
      <c r="B25" s="15">
        <v>0</v>
      </c>
      <c r="C25" s="133">
        <v>0</v>
      </c>
    </row>
    <row r="26" spans="1:7" ht="23.25" customHeight="1">
      <c r="A26" s="14" t="s">
        <v>273</v>
      </c>
      <c r="B26" s="15">
        <v>0</v>
      </c>
      <c r="C26" s="133">
        <v>0</v>
      </c>
    </row>
    <row r="27" spans="1:7" ht="23.25" customHeight="1">
      <c r="A27" s="14" t="s">
        <v>274</v>
      </c>
      <c r="B27" s="15">
        <v>0</v>
      </c>
      <c r="C27" s="133">
        <v>0</v>
      </c>
      <c r="G27" t="b">
        <f>C18=C20</f>
        <v>1</v>
      </c>
    </row>
    <row r="28" spans="1:7" ht="23.25" customHeight="1">
      <c r="A28" s="80" t="s">
        <v>275</v>
      </c>
      <c r="B28" s="134">
        <v>29.95</v>
      </c>
      <c r="C28" s="133">
        <v>0</v>
      </c>
      <c r="E28" s="133"/>
    </row>
    <row r="29" spans="1:7" ht="23.25" customHeight="1">
      <c r="A29" s="14" t="s">
        <v>276</v>
      </c>
      <c r="B29" s="14"/>
      <c r="C29" s="133">
        <v>17740</v>
      </c>
    </row>
    <row r="30" spans="1:7" ht="23.25" customHeight="1">
      <c r="A30" s="14" t="s">
        <v>277</v>
      </c>
      <c r="B30" s="15">
        <v>0</v>
      </c>
      <c r="C30" s="133">
        <v>14745</v>
      </c>
    </row>
    <row r="31" spans="1:7" ht="23.25" customHeight="1">
      <c r="A31" s="14" t="s">
        <v>278</v>
      </c>
      <c r="B31" s="15">
        <v>0</v>
      </c>
      <c r="C31" s="133">
        <f>C30</f>
        <v>14745</v>
      </c>
    </row>
    <row r="32" spans="1:7" ht="23.25" customHeight="1">
      <c r="A32" s="14" t="s">
        <v>279</v>
      </c>
      <c r="B32" s="25">
        <v>0</v>
      </c>
      <c r="C32" s="133">
        <v>0</v>
      </c>
    </row>
    <row r="33" spans="1:60" ht="23.25" customHeight="1">
      <c r="A33" s="22" t="s">
        <v>280</v>
      </c>
      <c r="B33" s="117">
        <v>0.83109999999999995</v>
      </c>
      <c r="C33" s="133"/>
    </row>
    <row r="34" spans="1:60" ht="23.25" customHeight="1">
      <c r="A34" s="61" t="s">
        <v>125</v>
      </c>
      <c r="B34" s="26">
        <v>0</v>
      </c>
      <c r="C34" s="135">
        <v>885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2</v>
      </c>
      <c r="D71" s="147">
        <v>10000</v>
      </c>
      <c r="E71" s="148">
        <v>100</v>
      </c>
    </row>
    <row r="72" spans="1:5" ht="23.25" hidden="1" customHeight="1">
      <c r="A72" s="146">
        <v>7</v>
      </c>
      <c r="B72" s="146">
        <v>100</v>
      </c>
      <c r="C72" s="147">
        <v>14</v>
      </c>
      <c r="D72" s="147">
        <v>140000</v>
      </c>
      <c r="E72" s="148">
        <v>1400</v>
      </c>
    </row>
    <row r="73" spans="1:5" ht="23.25" hidden="1" customHeight="1">
      <c r="B73" s="78" t="s">
        <v>68</v>
      </c>
      <c r="C73" s="147">
        <v>24</v>
      </c>
      <c r="D73" s="147">
        <v>157200</v>
      </c>
      <c r="E73" s="148">
        <v>1572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4" ht="23.25" hidden="1">
      <c r="A97" s="14" t="s">
        <v>319</v>
      </c>
      <c r="B97" s="115">
        <v>0</v>
      </c>
      <c r="C97" s="26">
        <v>0</v>
      </c>
      <c r="D97" s="9"/>
    </row>
    <row r="98" spans="1:4" ht="23.25" hidden="1">
      <c r="A98" s="22"/>
      <c r="B98" s="153"/>
      <c r="C98" s="24"/>
      <c r="D98" s="24"/>
    </row>
    <row r="99" spans="1:4" ht="24" thickBot="1">
      <c r="B99" s="78" t="s">
        <v>321</v>
      </c>
    </row>
    <row r="100" spans="1:4" hidden="1"/>
    <row r="101" spans="1:4" ht="24" thickBot="1">
      <c r="B101" s="154" t="s">
        <v>136</v>
      </c>
      <c r="C101" s="1000">
        <f>+B9</f>
        <v>60</v>
      </c>
    </row>
    <row r="102" spans="1:4" hidden="1">
      <c r="C102" s="1001"/>
    </row>
    <row r="103" spans="1:4" ht="23.25">
      <c r="B103" s="14" t="s">
        <v>322</v>
      </c>
      <c r="C103" s="1002">
        <f>+B18</f>
        <v>30.05</v>
      </c>
    </row>
    <row r="104" spans="1:4" hidden="1">
      <c r="C104" s="1001"/>
    </row>
    <row r="105" spans="1:4" ht="23.25">
      <c r="B105" s="14" t="s">
        <v>323</v>
      </c>
      <c r="C105" s="1002">
        <f>+C29*0.01</f>
        <v>177.4</v>
      </c>
    </row>
    <row r="106" spans="1:4" hidden="1">
      <c r="C106" s="1001"/>
    </row>
    <row r="107" spans="1:4" ht="23.25">
      <c r="B107" s="14" t="s">
        <v>324</v>
      </c>
      <c r="C107" s="1002">
        <f>+C34</f>
        <v>885</v>
      </c>
    </row>
    <row r="108" spans="1:4" hidden="1">
      <c r="C108" s="1001"/>
    </row>
    <row r="109" spans="1:4" ht="23.25">
      <c r="B109" s="14" t="s">
        <v>325</v>
      </c>
      <c r="C109" s="1002">
        <v>0</v>
      </c>
    </row>
    <row r="110" spans="1:4" hidden="1">
      <c r="C110" s="1001"/>
    </row>
    <row r="111" spans="1:4" ht="23.25">
      <c r="B111" s="14" t="s">
        <v>326</v>
      </c>
      <c r="C111" s="1002">
        <v>0</v>
      </c>
    </row>
    <row r="112" spans="1:4" hidden="1">
      <c r="C112" s="1001"/>
    </row>
    <row r="113" spans="1:6" ht="23.25">
      <c r="A113"/>
      <c r="B113" s="14" t="s">
        <v>327</v>
      </c>
      <c r="C113" s="1003">
        <f>C103</f>
        <v>30.05</v>
      </c>
    </row>
    <row r="114" spans="1:6" hidden="1">
      <c r="C114" s="1001"/>
    </row>
    <row r="115" spans="1:6" ht="23.25">
      <c r="A115"/>
      <c r="B115" s="14" t="s">
        <v>328</v>
      </c>
      <c r="C115" s="1003">
        <f>C101</f>
        <v>60</v>
      </c>
    </row>
    <row r="116" spans="1:6">
      <c r="C116" s="1001"/>
    </row>
    <row r="117" spans="1:6" ht="24" thickBot="1">
      <c r="A117"/>
      <c r="B117" s="14"/>
      <c r="C117" s="1004"/>
    </row>
    <row r="118" spans="1:6">
      <c r="F118" s="132"/>
    </row>
    <row r="119" spans="1:6">
      <c r="A119" s="1" t="s">
        <v>307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indexed="10"/>
  </sheetPr>
  <dimension ref="A1:BJ79"/>
  <sheetViews>
    <sheetView topLeftCell="A6" workbookViewId="0">
      <pane ySplit="1" topLeftCell="A61" activePane="bottomLeft" state="frozen"/>
      <selection activeCell="A6" sqref="A6"/>
      <selection pane="bottomLeft" activeCell="B70" sqref="B70"/>
    </sheetView>
  </sheetViews>
  <sheetFormatPr defaultColWidth="11" defaultRowHeight="14.25"/>
  <cols>
    <col min="1" max="1" width="54.42578125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50">
        <v>114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4952057.51</v>
      </c>
      <c r="C8" s="14"/>
    </row>
    <row r="9" spans="1:7" ht="24" customHeight="1">
      <c r="A9" s="14" t="s">
        <v>9</v>
      </c>
      <c r="B9" s="15">
        <f>B8</f>
        <v>4952057.51</v>
      </c>
      <c r="C9" s="14"/>
    </row>
    <row r="10" spans="1:7" ht="24" customHeight="1">
      <c r="A10" s="14" t="s">
        <v>10</v>
      </c>
      <c r="B10" s="15">
        <v>0</v>
      </c>
      <c r="C10" s="14"/>
    </row>
    <row r="11" spans="1:7" ht="24" customHeight="1">
      <c r="A11" s="14" t="s">
        <v>11</v>
      </c>
      <c r="B11" s="15">
        <v>0</v>
      </c>
      <c r="C11" s="14"/>
    </row>
    <row r="12" spans="1:7" ht="24" customHeight="1">
      <c r="A12" s="14"/>
      <c r="B12" s="15"/>
      <c r="C12" s="14"/>
    </row>
    <row r="13" spans="1:7" ht="24" customHeight="1">
      <c r="A13" s="14" t="s">
        <v>12</v>
      </c>
      <c r="B13" s="15">
        <v>4706171.3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4675947.3</v>
      </c>
      <c r="C14" s="9"/>
      <c r="D14" s="16"/>
      <c r="E14" s="16"/>
      <c r="F14" s="16"/>
      <c r="G14" s="16"/>
    </row>
    <row r="15" spans="1:7" ht="24" customHeight="1">
      <c r="A15" s="14" t="s">
        <v>14</v>
      </c>
      <c r="B15" s="15">
        <f>B14</f>
        <v>4675947.3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7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30224</v>
      </c>
      <c r="C18" s="9"/>
      <c r="D18" s="16"/>
      <c r="E18" s="16"/>
      <c r="F18" s="16"/>
      <c r="G18" s="16"/>
    </row>
    <row r="19" spans="1:62" ht="24" customHeight="1">
      <c r="A19" s="14" t="s">
        <v>18</v>
      </c>
      <c r="B19" s="15">
        <f>+B18</f>
        <v>30224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</row>
    <row r="23" spans="1:62" ht="5.25" customHeight="1">
      <c r="A23" s="18"/>
      <c r="B23" s="19">
        <v>0</v>
      </c>
      <c r="C23" s="20"/>
    </row>
    <row r="24" spans="1:62" ht="24" customHeight="1">
      <c r="A24" s="14" t="s">
        <v>21</v>
      </c>
      <c r="B24" s="21">
        <v>4.9700000000000001E-2</v>
      </c>
      <c r="C24" s="9"/>
    </row>
    <row r="25" spans="1:62" ht="24" customHeight="1">
      <c r="A25" s="14" t="s">
        <v>22</v>
      </c>
      <c r="B25" s="21">
        <v>0.95030000000000003</v>
      </c>
      <c r="C25" s="9"/>
    </row>
    <row r="26" spans="1:62" ht="24" customHeight="1">
      <c r="A26" s="22" t="s">
        <v>23</v>
      </c>
      <c r="B26" s="23">
        <v>0.95699999999999996</v>
      </c>
      <c r="C26" s="24"/>
    </row>
    <row r="27" spans="1:62" ht="5.25" customHeight="1">
      <c r="A27" s="18"/>
      <c r="B27" s="19"/>
      <c r="C27" s="20"/>
    </row>
    <row r="28" spans="1:62" ht="24" customHeight="1">
      <c r="A28" s="14" t="s">
        <v>24</v>
      </c>
      <c r="B28" s="15">
        <v>1108884.23</v>
      </c>
      <c r="C28" s="9"/>
    </row>
    <row r="29" spans="1:62" ht="24" customHeight="1">
      <c r="A29" s="14" t="s">
        <v>25</v>
      </c>
      <c r="B29" s="15">
        <v>0</v>
      </c>
      <c r="C29" s="9"/>
    </row>
    <row r="30" spans="1:62" ht="24" customHeight="1">
      <c r="A30" s="22" t="s">
        <v>26</v>
      </c>
      <c r="B30" s="25">
        <v>761401</v>
      </c>
      <c r="C30" s="24"/>
    </row>
    <row r="31" spans="1:62" ht="24" customHeight="1">
      <c r="A31" s="14" t="s">
        <v>27</v>
      </c>
      <c r="B31" s="26">
        <v>347483.23</v>
      </c>
      <c r="C31" s="9"/>
    </row>
    <row r="32" spans="1:62" ht="24" customHeight="1">
      <c r="A32" s="1" t="s">
        <v>28</v>
      </c>
      <c r="B32" s="26">
        <f>B31</f>
        <v>347483.23</v>
      </c>
      <c r="C32" s="27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29</v>
      </c>
      <c r="B33" s="29">
        <v>0</v>
      </c>
      <c r="C33" s="27"/>
    </row>
    <row r="34" spans="1:62" ht="24" customHeight="1">
      <c r="A34" s="14" t="s">
        <v>30</v>
      </c>
      <c r="B34" s="29">
        <v>0</v>
      </c>
      <c r="C34" s="9"/>
    </row>
    <row r="35" spans="1:62" ht="24" customHeight="1">
      <c r="A35" s="14" t="s">
        <v>31</v>
      </c>
      <c r="B35" s="29">
        <v>0</v>
      </c>
      <c r="C35" s="9"/>
    </row>
    <row r="36" spans="1:62" ht="24" customHeight="1">
      <c r="A36" s="14" t="s">
        <v>32</v>
      </c>
      <c r="B36" s="29">
        <v>0</v>
      </c>
      <c r="C36" s="9"/>
    </row>
    <row r="37" spans="1:62" ht="24" customHeight="1">
      <c r="A37" s="14" t="s">
        <v>33</v>
      </c>
      <c r="B37" s="29">
        <v>0</v>
      </c>
      <c r="C37" s="9"/>
    </row>
    <row r="38" spans="1:62" ht="24" customHeight="1">
      <c r="A38" s="14" t="s">
        <v>34</v>
      </c>
      <c r="B38" s="29">
        <v>0</v>
      </c>
      <c r="C38" s="9"/>
    </row>
    <row r="39" spans="1:62" ht="24" customHeight="1">
      <c r="A39" s="14" t="s">
        <v>35</v>
      </c>
      <c r="B39" s="29">
        <v>0</v>
      </c>
      <c r="C39" s="9"/>
    </row>
    <row r="40" spans="1:62" ht="24" customHeight="1">
      <c r="A40" s="14" t="s">
        <v>36</v>
      </c>
      <c r="B40" s="30"/>
      <c r="C40" s="9"/>
    </row>
    <row r="41" spans="1:62" ht="24" customHeight="1">
      <c r="A41" s="14" t="s">
        <v>37</v>
      </c>
      <c r="B41" s="15">
        <v>862998.02</v>
      </c>
      <c r="C41" s="9"/>
    </row>
    <row r="42" spans="1:62" ht="24" customHeight="1">
      <c r="A42" s="14" t="s">
        <v>38</v>
      </c>
      <c r="B42" s="25">
        <v>0</v>
      </c>
      <c r="C42" s="24"/>
    </row>
    <row r="43" spans="1:62" ht="24" customHeight="1">
      <c r="A43" s="1" t="s">
        <v>39</v>
      </c>
      <c r="B43" s="26">
        <v>30224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40</v>
      </c>
      <c r="B44" s="26">
        <v>107.98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31" t="s">
        <v>41</v>
      </c>
      <c r="B45" s="32">
        <v>0</v>
      </c>
      <c r="C45" s="33"/>
    </row>
    <row r="46" spans="1:62" ht="24" customHeight="1">
      <c r="A46" s="14" t="s">
        <v>42</v>
      </c>
      <c r="B46" s="15">
        <v>0</v>
      </c>
      <c r="C46" s="9"/>
    </row>
    <row r="47" spans="1:62" ht="24" customHeight="1">
      <c r="A47" s="14" t="s">
        <v>43</v>
      </c>
      <c r="B47" s="15">
        <v>0</v>
      </c>
      <c r="C47" s="9"/>
    </row>
    <row r="48" spans="1:62" ht="24" customHeight="1">
      <c r="A48" s="14" t="s">
        <v>44</v>
      </c>
      <c r="B48" s="15">
        <v>832666.04</v>
      </c>
      <c r="C48" s="9"/>
    </row>
    <row r="49" spans="1:3" ht="24" customHeight="1">
      <c r="A49" s="14" t="s">
        <v>45</v>
      </c>
      <c r="B49" s="15">
        <f>B48</f>
        <v>832666.04</v>
      </c>
      <c r="C49" s="9"/>
    </row>
    <row r="50" spans="1:3" ht="24" customHeight="1">
      <c r="A50" s="14" t="s">
        <v>46</v>
      </c>
      <c r="B50" s="17">
        <v>0</v>
      </c>
      <c r="C50" s="9"/>
    </row>
    <row r="51" spans="1:3" ht="24" customHeight="1">
      <c r="A51" s="14" t="s">
        <v>47</v>
      </c>
      <c r="B51" s="17">
        <v>0</v>
      </c>
      <c r="C51" s="9"/>
    </row>
    <row r="52" spans="1:3" ht="8.25" customHeight="1">
      <c r="A52" s="18"/>
      <c r="B52" s="19"/>
      <c r="C52" s="20"/>
    </row>
    <row r="53" spans="1:3" ht="24" customHeight="1">
      <c r="A53" s="14" t="s">
        <v>48</v>
      </c>
      <c r="B53" s="15">
        <v>832774.02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49</v>
      </c>
      <c r="B55" s="17">
        <v>0</v>
      </c>
      <c r="C55" s="9"/>
    </row>
    <row r="56" spans="1:3" ht="24" customHeight="1">
      <c r="A56" s="14" t="s">
        <v>50</v>
      </c>
      <c r="B56" s="17">
        <v>0</v>
      </c>
      <c r="C56" s="9"/>
    </row>
    <row r="57" spans="1:3" ht="24" customHeight="1">
      <c r="A57" s="14" t="s">
        <v>51</v>
      </c>
      <c r="B57" s="17">
        <v>0</v>
      </c>
      <c r="C57" s="9"/>
    </row>
    <row r="58" spans="1:3" ht="24" customHeight="1">
      <c r="A58" s="14"/>
      <c r="B58" s="17">
        <v>0</v>
      </c>
      <c r="C58" s="9"/>
    </row>
    <row r="59" spans="1:3" ht="24" customHeight="1">
      <c r="A59" s="14" t="s">
        <v>52</v>
      </c>
      <c r="B59" s="17">
        <v>0</v>
      </c>
      <c r="C59" s="9"/>
    </row>
    <row r="60" spans="1:3" ht="24" customHeight="1">
      <c r="A60" s="14" t="s">
        <v>53</v>
      </c>
      <c r="B60" s="17">
        <v>0</v>
      </c>
      <c r="C60" s="9"/>
    </row>
    <row r="61" spans="1:3" ht="24" customHeight="1">
      <c r="A61" s="14" t="s">
        <v>54</v>
      </c>
      <c r="B61" s="17">
        <v>0</v>
      </c>
      <c r="C61" s="9"/>
    </row>
    <row r="62" spans="1:3" ht="24" customHeight="1">
      <c r="A62" s="14" t="s">
        <v>55</v>
      </c>
      <c r="B62" s="17">
        <v>0</v>
      </c>
      <c r="C62" s="9"/>
    </row>
    <row r="63" spans="1:3" ht="24" customHeight="1">
      <c r="A63" s="14" t="s">
        <v>56</v>
      </c>
      <c r="B63" s="17">
        <v>0</v>
      </c>
      <c r="C63" s="9"/>
    </row>
    <row r="64" spans="1:3" ht="24" customHeight="1">
      <c r="A64" s="14" t="s">
        <v>57</v>
      </c>
      <c r="B64" s="17">
        <v>0</v>
      </c>
      <c r="C64" s="9"/>
    </row>
    <row r="65" spans="1:3" ht="24" customHeight="1">
      <c r="A65" s="14"/>
      <c r="B65" s="17"/>
      <c r="C65" s="9"/>
    </row>
    <row r="66" spans="1:3" ht="24" customHeight="1">
      <c r="A66" s="14" t="s">
        <v>58</v>
      </c>
      <c r="B66" s="35">
        <v>3958790</v>
      </c>
      <c r="C66" s="9"/>
    </row>
    <row r="67" spans="1:3" ht="24" customHeight="1">
      <c r="A67" s="14" t="s">
        <v>59</v>
      </c>
      <c r="B67" s="35">
        <v>647513</v>
      </c>
      <c r="C67" s="9"/>
    </row>
    <row r="68" spans="1:3" ht="24" customHeight="1">
      <c r="A68" s="14" t="s">
        <v>60</v>
      </c>
      <c r="B68" s="35">
        <v>3311277</v>
      </c>
      <c r="C68" s="9"/>
    </row>
    <row r="69" spans="1:3" ht="24" customHeight="1">
      <c r="A69" s="14" t="s">
        <v>61</v>
      </c>
      <c r="B69" s="35">
        <v>3311086</v>
      </c>
      <c r="C69" s="9"/>
    </row>
    <row r="70" spans="1:3" ht="24" customHeight="1">
      <c r="A70" s="14" t="s">
        <v>62</v>
      </c>
      <c r="B70" s="35">
        <f>+B68-B69</f>
        <v>191</v>
      </c>
      <c r="C70" s="9"/>
    </row>
    <row r="71" spans="1:3" ht="24" customHeight="1">
      <c r="A71" s="14"/>
      <c r="B71" s="35"/>
      <c r="C71" s="9"/>
    </row>
    <row r="72" spans="1:3" ht="24" customHeight="1">
      <c r="A72" s="14" t="s">
        <v>63</v>
      </c>
      <c r="B72" s="17"/>
      <c r="C72" s="9"/>
    </row>
    <row r="73" spans="1:3" ht="24" customHeight="1">
      <c r="A73" s="14" t="s">
        <v>64</v>
      </c>
      <c r="B73" s="17">
        <v>0</v>
      </c>
      <c r="C73" s="9"/>
    </row>
    <row r="74" spans="1:3" ht="24" customHeight="1">
      <c r="A74" s="14" t="s">
        <v>65</v>
      </c>
      <c r="B74" s="17">
        <v>0</v>
      </c>
      <c r="C74" s="9"/>
    </row>
    <row r="75" spans="1:3" ht="24" customHeight="1">
      <c r="A75" s="14" t="s">
        <v>66</v>
      </c>
      <c r="B75" s="17">
        <v>0</v>
      </c>
      <c r="C75" s="9"/>
    </row>
    <row r="76" spans="1:3" ht="24" customHeight="1">
      <c r="A76" s="14" t="s">
        <v>67</v>
      </c>
      <c r="B76" s="17">
        <v>0</v>
      </c>
      <c r="C76" s="9"/>
    </row>
    <row r="77" spans="1:3" ht="24" customHeight="1">
      <c r="A77" s="14"/>
      <c r="B77" s="17"/>
      <c r="C77" s="9"/>
    </row>
    <row r="78" spans="1:3" ht="24" customHeight="1">
      <c r="A78" s="14" t="s">
        <v>68</v>
      </c>
      <c r="B78" s="36">
        <f>+SUM(B73:B76)</f>
        <v>0</v>
      </c>
      <c r="C78" s="9"/>
    </row>
    <row r="79" spans="1:3" ht="15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indexed="54"/>
  </sheetPr>
  <dimension ref="A1:BJ79"/>
  <sheetViews>
    <sheetView topLeftCell="A60" workbookViewId="0">
      <selection activeCell="B70" sqref="B70"/>
    </sheetView>
  </sheetViews>
  <sheetFormatPr defaultColWidth="11" defaultRowHeight="14.25"/>
  <cols>
    <col min="1" max="1" width="54.42578125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510">
        <v>119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4047293.49</v>
      </c>
      <c r="C8" s="14"/>
    </row>
    <row r="9" spans="1:7" ht="24" customHeight="1">
      <c r="A9" s="14" t="s">
        <v>9</v>
      </c>
      <c r="B9" s="15">
        <f>B8</f>
        <v>4047293.49</v>
      </c>
      <c r="C9" s="14"/>
    </row>
    <row r="10" spans="1:7" ht="24" customHeight="1">
      <c r="A10" s="14" t="s">
        <v>10</v>
      </c>
      <c r="B10" s="15">
        <v>0</v>
      </c>
      <c r="C10" s="14"/>
    </row>
    <row r="11" spans="1:7" ht="24" customHeight="1">
      <c r="A11" s="14" t="s">
        <v>11</v>
      </c>
      <c r="B11" s="15">
        <v>0</v>
      </c>
      <c r="C11" s="14"/>
    </row>
    <row r="12" spans="1:7" ht="24" customHeight="1">
      <c r="A12" s="14"/>
      <c r="B12" s="15"/>
      <c r="C12" s="14"/>
    </row>
    <row r="13" spans="1:7" ht="24" customHeight="1">
      <c r="A13" s="14" t="s">
        <v>12</v>
      </c>
      <c r="B13" s="15">
        <v>3888867.39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3782037.39</v>
      </c>
      <c r="C14" s="9"/>
      <c r="D14" s="16"/>
      <c r="E14" s="16"/>
      <c r="F14" s="16"/>
      <c r="G14" s="16"/>
    </row>
    <row r="15" spans="1:7" ht="24" customHeight="1">
      <c r="A15" s="14" t="s">
        <v>14</v>
      </c>
      <c r="B15" s="15">
        <f>B14</f>
        <v>3782037.39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7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106830</v>
      </c>
      <c r="C18" s="9"/>
      <c r="D18" s="16"/>
      <c r="E18" s="16"/>
      <c r="F18" s="16"/>
      <c r="G18" s="16"/>
    </row>
    <row r="19" spans="1:62" ht="24" customHeight="1">
      <c r="A19" s="14" t="s">
        <v>18</v>
      </c>
      <c r="B19" s="15">
        <f>B18</f>
        <v>106830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</row>
    <row r="23" spans="1:62" ht="5.25" customHeight="1">
      <c r="A23" s="18"/>
      <c r="B23" s="19">
        <v>0</v>
      </c>
      <c r="C23" s="20"/>
    </row>
    <row r="24" spans="1:62" ht="24" customHeight="1">
      <c r="A24" s="14" t="s">
        <v>21</v>
      </c>
      <c r="B24" s="21">
        <v>3.9199999999999999E-2</v>
      </c>
      <c r="C24" s="9"/>
    </row>
    <row r="25" spans="1:62" ht="24" customHeight="1">
      <c r="A25" s="14" t="s">
        <v>22</v>
      </c>
      <c r="B25" s="21">
        <v>0.96079999999999999</v>
      </c>
      <c r="C25" s="9"/>
    </row>
    <row r="26" spans="1:62" ht="24" customHeight="1">
      <c r="A26" s="22" t="s">
        <v>23</v>
      </c>
      <c r="B26" s="23">
        <v>0.95660000000000001</v>
      </c>
      <c r="C26" s="24"/>
    </row>
    <row r="27" spans="1:62" ht="5.25" customHeight="1">
      <c r="A27" s="18"/>
      <c r="B27" s="19"/>
      <c r="C27" s="20"/>
    </row>
    <row r="28" spans="1:62" ht="24" customHeight="1">
      <c r="A28" s="14" t="s">
        <v>24</v>
      </c>
      <c r="B28" s="15">
        <v>942388.09</v>
      </c>
      <c r="C28" s="9"/>
    </row>
    <row r="29" spans="1:62" ht="24" customHeight="1">
      <c r="A29" s="14" t="s">
        <v>25</v>
      </c>
      <c r="B29" s="15">
        <v>0</v>
      </c>
      <c r="C29" s="9"/>
    </row>
    <row r="30" spans="1:62" ht="24" customHeight="1">
      <c r="A30" s="22" t="s">
        <v>26</v>
      </c>
      <c r="B30" s="25">
        <v>583315</v>
      </c>
      <c r="C30" s="24"/>
    </row>
    <row r="31" spans="1:62" ht="24" customHeight="1">
      <c r="A31" s="14" t="s">
        <v>27</v>
      </c>
      <c r="B31" s="26">
        <v>359073.09</v>
      </c>
      <c r="C31" s="9"/>
    </row>
    <row r="32" spans="1:62" ht="24" customHeight="1">
      <c r="A32" s="1" t="s">
        <v>28</v>
      </c>
      <c r="B32" s="26">
        <f>+B31</f>
        <v>359073.09</v>
      </c>
      <c r="C32" s="27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29</v>
      </c>
      <c r="B33" s="29">
        <v>0</v>
      </c>
      <c r="C33" s="27"/>
    </row>
    <row r="34" spans="1:62" ht="24" customHeight="1">
      <c r="A34" s="14" t="s">
        <v>30</v>
      </c>
      <c r="B34" s="29">
        <v>0</v>
      </c>
      <c r="C34" s="9"/>
    </row>
    <row r="35" spans="1:62" ht="24" customHeight="1">
      <c r="A35" s="14" t="s">
        <v>31</v>
      </c>
      <c r="B35" s="29">
        <v>0</v>
      </c>
      <c r="C35" s="9"/>
    </row>
    <row r="36" spans="1:62" ht="24" customHeight="1">
      <c r="A36" s="14" t="s">
        <v>32</v>
      </c>
      <c r="B36" s="29">
        <v>0</v>
      </c>
      <c r="C36" s="9"/>
    </row>
    <row r="37" spans="1:62" ht="24" customHeight="1">
      <c r="A37" s="14" t="s">
        <v>33</v>
      </c>
      <c r="B37" s="29">
        <v>0</v>
      </c>
      <c r="C37" s="9"/>
    </row>
    <row r="38" spans="1:62" ht="24" customHeight="1">
      <c r="A38" s="14" t="s">
        <v>34</v>
      </c>
      <c r="B38" s="29">
        <v>0</v>
      </c>
      <c r="C38" s="9"/>
    </row>
    <row r="39" spans="1:62" ht="24" customHeight="1">
      <c r="A39" s="14" t="s">
        <v>35</v>
      </c>
      <c r="B39" s="29">
        <v>0</v>
      </c>
      <c r="C39" s="9"/>
    </row>
    <row r="40" spans="1:62" ht="24" customHeight="1">
      <c r="A40" s="14" t="s">
        <v>36</v>
      </c>
      <c r="B40" s="29">
        <v>0</v>
      </c>
      <c r="C40" s="9"/>
    </row>
    <row r="41" spans="1:62" ht="24" customHeight="1">
      <c r="A41" s="14" t="s">
        <v>37</v>
      </c>
      <c r="B41" s="15">
        <v>783961.99</v>
      </c>
      <c r="C41" s="9"/>
    </row>
    <row r="42" spans="1:62" ht="24" customHeight="1">
      <c r="A42" s="14" t="s">
        <v>38</v>
      </c>
      <c r="B42" s="25">
        <v>0</v>
      </c>
      <c r="C42" s="24"/>
    </row>
    <row r="43" spans="1:62" ht="24" customHeight="1">
      <c r="A43" s="1" t="s">
        <v>39</v>
      </c>
      <c r="B43" s="26">
        <v>106830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40</v>
      </c>
      <c r="B44" s="26">
        <v>10.26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31" t="s">
        <v>41</v>
      </c>
      <c r="B45" s="32">
        <v>0</v>
      </c>
      <c r="C45" s="33"/>
    </row>
    <row r="46" spans="1:62" ht="24" customHeight="1">
      <c r="A46" s="14" t="s">
        <v>42</v>
      </c>
      <c r="B46" s="15">
        <v>0</v>
      </c>
      <c r="C46" s="9"/>
    </row>
    <row r="47" spans="1:62" ht="24" customHeight="1">
      <c r="A47" s="14" t="s">
        <v>43</v>
      </c>
      <c r="B47" s="15">
        <v>0</v>
      </c>
      <c r="C47" s="9"/>
    </row>
    <row r="48" spans="1:62" ht="24" customHeight="1">
      <c r="A48" s="14" t="s">
        <v>44</v>
      </c>
      <c r="B48" s="15">
        <v>677121.73</v>
      </c>
      <c r="C48" s="9"/>
    </row>
    <row r="49" spans="1:3" ht="24" customHeight="1">
      <c r="A49" s="14" t="s">
        <v>45</v>
      </c>
      <c r="B49" s="15">
        <f>+B48</f>
        <v>677121.73</v>
      </c>
      <c r="C49" s="9"/>
    </row>
    <row r="50" spans="1:3" ht="24" customHeight="1">
      <c r="A50" s="14" t="s">
        <v>46</v>
      </c>
      <c r="B50" s="17">
        <v>0</v>
      </c>
      <c r="C50" s="9"/>
    </row>
    <row r="51" spans="1:3" ht="24" customHeight="1">
      <c r="A51" s="14" t="s">
        <v>47</v>
      </c>
      <c r="B51" s="17">
        <v>0</v>
      </c>
      <c r="C51" s="9"/>
    </row>
    <row r="52" spans="1:3" ht="8.25" customHeight="1">
      <c r="A52" s="18"/>
      <c r="B52" s="19"/>
      <c r="C52" s="20"/>
    </row>
    <row r="53" spans="1:3" ht="24" customHeight="1">
      <c r="A53" s="14" t="s">
        <v>48</v>
      </c>
      <c r="B53" s="15">
        <v>677131.99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49</v>
      </c>
      <c r="B55" s="17">
        <v>0</v>
      </c>
      <c r="C55" s="9"/>
    </row>
    <row r="56" spans="1:3" ht="24" customHeight="1">
      <c r="A56" s="14" t="s">
        <v>50</v>
      </c>
      <c r="B56" s="17">
        <v>0</v>
      </c>
      <c r="C56" s="9"/>
    </row>
    <row r="57" spans="1:3" ht="24" customHeight="1">
      <c r="A57" s="14" t="s">
        <v>51</v>
      </c>
      <c r="B57" s="17">
        <v>0</v>
      </c>
      <c r="C57" s="9"/>
    </row>
    <row r="58" spans="1:3" ht="24" customHeight="1">
      <c r="A58" s="14"/>
      <c r="B58" s="17">
        <v>0</v>
      </c>
      <c r="C58" s="9"/>
    </row>
    <row r="59" spans="1:3" ht="24" customHeight="1">
      <c r="A59" s="14" t="s">
        <v>52</v>
      </c>
      <c r="B59" s="17">
        <v>0</v>
      </c>
      <c r="C59" s="9"/>
    </row>
    <row r="60" spans="1:3" ht="24" customHeight="1">
      <c r="A60" s="14" t="s">
        <v>53</v>
      </c>
      <c r="B60" s="17">
        <v>0</v>
      </c>
      <c r="C60" s="9"/>
    </row>
    <row r="61" spans="1:3" ht="24" customHeight="1">
      <c r="A61" s="14" t="s">
        <v>54</v>
      </c>
      <c r="B61" s="17">
        <v>0</v>
      </c>
      <c r="C61" s="9"/>
    </row>
    <row r="62" spans="1:3" ht="24" customHeight="1">
      <c r="A62" s="14" t="s">
        <v>55</v>
      </c>
      <c r="B62" s="17">
        <v>0</v>
      </c>
      <c r="C62" s="9"/>
    </row>
    <row r="63" spans="1:3" ht="24" customHeight="1">
      <c r="A63" s="14" t="s">
        <v>56</v>
      </c>
      <c r="B63" s="17">
        <v>0</v>
      </c>
      <c r="C63" s="9"/>
    </row>
    <row r="64" spans="1:3" ht="24" customHeight="1">
      <c r="A64" s="14" t="s">
        <v>57</v>
      </c>
      <c r="B64" s="17">
        <v>0</v>
      </c>
      <c r="C64" s="9"/>
    </row>
    <row r="65" spans="1:3" ht="24" customHeight="1">
      <c r="A65" s="14"/>
      <c r="B65" s="17"/>
      <c r="C65" s="9"/>
    </row>
    <row r="66" spans="1:3" ht="24" customHeight="1">
      <c r="A66" s="14" t="s">
        <v>58</v>
      </c>
      <c r="B66" s="35">
        <v>4131075</v>
      </c>
      <c r="C66" s="9"/>
    </row>
    <row r="67" spans="1:3" ht="24" customHeight="1">
      <c r="A67" s="14" t="s">
        <v>59</v>
      </c>
      <c r="B67" s="35">
        <v>658178</v>
      </c>
      <c r="C67" s="9"/>
    </row>
    <row r="68" spans="1:3" ht="24" customHeight="1">
      <c r="A68" s="14" t="s">
        <v>60</v>
      </c>
      <c r="B68" s="35">
        <v>3472897</v>
      </c>
      <c r="C68" s="9"/>
    </row>
    <row r="69" spans="1:3" ht="24" customHeight="1">
      <c r="A69" s="14" t="s">
        <v>61</v>
      </c>
      <c r="B69" s="35">
        <v>3472722</v>
      </c>
      <c r="C69" s="9"/>
    </row>
    <row r="70" spans="1:3" ht="24" customHeight="1">
      <c r="A70" s="14" t="s">
        <v>62</v>
      </c>
      <c r="B70" s="35">
        <f>B68-B69</f>
        <v>175</v>
      </c>
      <c r="C70" s="9"/>
    </row>
    <row r="71" spans="1:3" ht="24" customHeight="1">
      <c r="A71" s="14"/>
      <c r="B71" s="35"/>
      <c r="C71" s="9"/>
    </row>
    <row r="72" spans="1:3" ht="24" customHeight="1">
      <c r="A72" s="14" t="s">
        <v>63</v>
      </c>
      <c r="B72" s="17"/>
      <c r="C72" s="9"/>
    </row>
    <row r="73" spans="1:3" ht="24" customHeight="1">
      <c r="A73" s="14" t="s">
        <v>64</v>
      </c>
      <c r="B73" s="17">
        <v>0</v>
      </c>
      <c r="C73" s="9"/>
    </row>
    <row r="74" spans="1:3" ht="24" customHeight="1">
      <c r="A74" s="14" t="s">
        <v>65</v>
      </c>
      <c r="B74" s="17">
        <v>0</v>
      </c>
      <c r="C74" s="9"/>
    </row>
    <row r="75" spans="1:3" ht="24" customHeight="1">
      <c r="A75" s="14" t="s">
        <v>66</v>
      </c>
      <c r="B75" s="17">
        <v>0</v>
      </c>
      <c r="C75" s="9"/>
    </row>
    <row r="76" spans="1:3" ht="24" customHeight="1">
      <c r="A76" s="14" t="s">
        <v>67</v>
      </c>
      <c r="B76" s="17">
        <v>0</v>
      </c>
      <c r="C76" s="9"/>
    </row>
    <row r="77" spans="1:3" ht="24" customHeight="1">
      <c r="A77" s="14"/>
      <c r="B77" s="17"/>
      <c r="C77" s="9"/>
    </row>
    <row r="78" spans="1:3" ht="24" customHeight="1">
      <c r="A78" s="14" t="s">
        <v>68</v>
      </c>
      <c r="B78" s="36">
        <f>+SUM(B73:B76)</f>
        <v>0</v>
      </c>
      <c r="C78" s="9"/>
    </row>
    <row r="79" spans="1:3" ht="15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indexed="54"/>
  </sheetPr>
  <dimension ref="A1:BJ79"/>
  <sheetViews>
    <sheetView topLeftCell="A60" workbookViewId="0">
      <selection activeCell="B70" sqref="B70"/>
    </sheetView>
  </sheetViews>
  <sheetFormatPr defaultColWidth="11" defaultRowHeight="14.25"/>
  <cols>
    <col min="1" max="1" width="54.42578125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508">
        <v>120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4530329.7699999996</v>
      </c>
      <c r="C8" s="14"/>
    </row>
    <row r="9" spans="1:7" ht="24" customHeight="1">
      <c r="A9" s="14" t="s">
        <v>9</v>
      </c>
      <c r="B9" s="15">
        <f>B8</f>
        <v>4530329.7699999996</v>
      </c>
      <c r="C9" s="14"/>
    </row>
    <row r="10" spans="1:7" ht="24" customHeight="1">
      <c r="A10" s="14" t="s">
        <v>10</v>
      </c>
      <c r="B10" s="15">
        <v>0</v>
      </c>
      <c r="C10" s="14"/>
    </row>
    <row r="11" spans="1:7" ht="24" customHeight="1">
      <c r="A11" s="14" t="s">
        <v>11</v>
      </c>
      <c r="B11" s="15">
        <v>0</v>
      </c>
      <c r="C11" s="14"/>
    </row>
    <row r="12" spans="1:7" ht="24" customHeight="1">
      <c r="A12" s="14"/>
      <c r="B12" s="15"/>
      <c r="C12" s="14"/>
    </row>
    <row r="13" spans="1:7" ht="24" customHeight="1">
      <c r="A13" s="14" t="s">
        <v>12</v>
      </c>
      <c r="B13" s="15">
        <v>4347075.08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4289524.08</v>
      </c>
      <c r="C14" s="9"/>
      <c r="D14" s="16"/>
      <c r="E14" s="16"/>
      <c r="F14" s="16"/>
      <c r="G14" s="16"/>
    </row>
    <row r="15" spans="1:7" ht="24" customHeight="1">
      <c r="A15" s="14" t="s">
        <v>14</v>
      </c>
      <c r="B15" s="15">
        <f>B14</f>
        <v>4289524.08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7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57551</v>
      </c>
      <c r="C18" s="9"/>
      <c r="D18" s="16"/>
      <c r="E18" s="16"/>
      <c r="F18" s="16"/>
      <c r="G18" s="16"/>
    </row>
    <row r="19" spans="1:62" ht="24" customHeight="1">
      <c r="A19" s="14" t="s">
        <v>18</v>
      </c>
      <c r="B19" s="15">
        <f>B18</f>
        <v>57551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</row>
    <row r="23" spans="1:62" ht="5.25" customHeight="1">
      <c r="A23" s="18"/>
      <c r="B23" s="19">
        <v>0</v>
      </c>
      <c r="C23" s="20"/>
    </row>
    <row r="24" spans="1:62" ht="24" customHeight="1">
      <c r="A24" s="14" t="s">
        <v>21</v>
      </c>
      <c r="B24" s="21">
        <v>4.0500000000000001E-2</v>
      </c>
      <c r="C24" s="9"/>
    </row>
    <row r="25" spans="1:62" ht="24" customHeight="1">
      <c r="A25" s="14" t="s">
        <v>22</v>
      </c>
      <c r="B25" s="21">
        <v>0.95950000000000002</v>
      </c>
      <c r="C25" s="9"/>
    </row>
    <row r="26" spans="1:62" ht="24" customHeight="1">
      <c r="A26" s="22" t="s">
        <v>23</v>
      </c>
      <c r="B26" s="23">
        <v>0.95699999999999996</v>
      </c>
      <c r="C26" s="24"/>
    </row>
    <row r="27" spans="1:62" ht="5.25" customHeight="1">
      <c r="A27" s="18"/>
      <c r="B27" s="19"/>
      <c r="C27" s="20"/>
    </row>
    <row r="28" spans="1:62" ht="24" customHeight="1">
      <c r="A28" s="14" t="s">
        <v>24</v>
      </c>
      <c r="B28" s="15">
        <v>1078710.05</v>
      </c>
      <c r="C28" s="9"/>
    </row>
    <row r="29" spans="1:62" ht="24" customHeight="1">
      <c r="A29" s="14" t="s">
        <v>25</v>
      </c>
      <c r="B29" s="15">
        <v>0</v>
      </c>
      <c r="C29" s="9"/>
    </row>
    <row r="30" spans="1:62" ht="24" customHeight="1">
      <c r="A30" s="22" t="s">
        <v>26</v>
      </c>
      <c r="B30" s="25">
        <v>687432</v>
      </c>
      <c r="C30" s="24"/>
    </row>
    <row r="31" spans="1:62" ht="24" customHeight="1">
      <c r="A31" s="14" t="s">
        <v>27</v>
      </c>
      <c r="B31" s="26">
        <v>391278.05</v>
      </c>
      <c r="C31" s="9"/>
    </row>
    <row r="32" spans="1:62" ht="24" customHeight="1">
      <c r="A32" s="1" t="s">
        <v>28</v>
      </c>
      <c r="B32" s="26">
        <f>+B31</f>
        <v>391278.05</v>
      </c>
      <c r="C32" s="27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29</v>
      </c>
      <c r="B33" s="29">
        <v>0</v>
      </c>
      <c r="C33" s="27"/>
    </row>
    <row r="34" spans="1:62" ht="24" customHeight="1">
      <c r="A34" s="14" t="s">
        <v>30</v>
      </c>
      <c r="B34" s="29">
        <v>0</v>
      </c>
      <c r="C34" s="9"/>
    </row>
    <row r="35" spans="1:62" ht="24" customHeight="1">
      <c r="A35" s="14" t="s">
        <v>31</v>
      </c>
      <c r="B35" s="29">
        <v>0</v>
      </c>
      <c r="C35" s="9"/>
    </row>
    <row r="36" spans="1:62" ht="24" customHeight="1">
      <c r="A36" s="14" t="s">
        <v>32</v>
      </c>
      <c r="B36" s="29">
        <v>0</v>
      </c>
      <c r="C36" s="9"/>
    </row>
    <row r="37" spans="1:62" ht="24" customHeight="1">
      <c r="A37" s="14" t="s">
        <v>33</v>
      </c>
      <c r="B37" s="29">
        <v>0</v>
      </c>
      <c r="C37" s="9"/>
    </row>
    <row r="38" spans="1:62" ht="24" customHeight="1">
      <c r="A38" s="14" t="s">
        <v>34</v>
      </c>
      <c r="B38" s="29">
        <v>0</v>
      </c>
      <c r="C38" s="9"/>
    </row>
    <row r="39" spans="1:62" ht="24" customHeight="1">
      <c r="A39" s="14" t="s">
        <v>35</v>
      </c>
      <c r="B39" s="29">
        <v>0</v>
      </c>
      <c r="C39" s="9"/>
    </row>
    <row r="40" spans="1:62" ht="24" customHeight="1">
      <c r="A40" s="14" t="s">
        <v>36</v>
      </c>
      <c r="B40" s="30"/>
      <c r="C40" s="9"/>
    </row>
    <row r="41" spans="1:62" ht="24" customHeight="1">
      <c r="A41" s="14" t="s">
        <v>37</v>
      </c>
      <c r="B41" s="15">
        <v>895455.36</v>
      </c>
      <c r="C41" s="9"/>
    </row>
    <row r="42" spans="1:62" ht="24" customHeight="1">
      <c r="A42" s="14" t="s">
        <v>38</v>
      </c>
      <c r="B42" s="25">
        <v>0</v>
      </c>
      <c r="C42" s="24"/>
    </row>
    <row r="43" spans="1:62" ht="24" customHeight="1">
      <c r="A43" s="1" t="s">
        <v>39</v>
      </c>
      <c r="B43" s="26">
        <v>57551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40</v>
      </c>
      <c r="B44" s="26">
        <v>55.3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31" t="s">
        <v>41</v>
      </c>
      <c r="B45" s="32">
        <v>0</v>
      </c>
      <c r="C45" s="33"/>
    </row>
    <row r="46" spans="1:62" ht="24" customHeight="1">
      <c r="A46" s="14" t="s">
        <v>42</v>
      </c>
      <c r="B46" s="15">
        <v>0</v>
      </c>
      <c r="C46" s="9"/>
    </row>
    <row r="47" spans="1:62" ht="24" customHeight="1">
      <c r="A47" s="14" t="s">
        <v>43</v>
      </c>
      <c r="B47" s="15">
        <v>0</v>
      </c>
      <c r="C47" s="9"/>
    </row>
    <row r="48" spans="1:62" ht="24" customHeight="1">
      <c r="A48" s="14" t="s">
        <v>44</v>
      </c>
      <c r="B48" s="15">
        <v>837849.06</v>
      </c>
      <c r="C48" s="9"/>
    </row>
    <row r="49" spans="1:3" ht="24" customHeight="1">
      <c r="A49" s="14" t="s">
        <v>45</v>
      </c>
      <c r="B49" s="15">
        <f>+B48</f>
        <v>837849.06</v>
      </c>
      <c r="C49" s="9"/>
    </row>
    <row r="50" spans="1:3" ht="24" customHeight="1">
      <c r="A50" s="14" t="s">
        <v>46</v>
      </c>
      <c r="B50" s="17">
        <v>0</v>
      </c>
      <c r="C50" s="9"/>
    </row>
    <row r="51" spans="1:3" ht="24" customHeight="1">
      <c r="A51" s="14" t="s">
        <v>47</v>
      </c>
      <c r="B51" s="17">
        <v>0</v>
      </c>
      <c r="C51" s="9"/>
    </row>
    <row r="52" spans="1:3" ht="8.25" customHeight="1">
      <c r="A52" s="18"/>
      <c r="B52" s="19"/>
      <c r="C52" s="20"/>
    </row>
    <row r="53" spans="1:3" ht="24" customHeight="1">
      <c r="A53" s="14" t="s">
        <v>48</v>
      </c>
      <c r="B53" s="15">
        <v>837904.36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49</v>
      </c>
      <c r="B55" s="17">
        <v>0</v>
      </c>
      <c r="C55" s="9"/>
    </row>
    <row r="56" spans="1:3" ht="24" customHeight="1">
      <c r="A56" s="14" t="s">
        <v>50</v>
      </c>
      <c r="B56" s="17">
        <v>0</v>
      </c>
      <c r="C56" s="9"/>
    </row>
    <row r="57" spans="1:3" ht="24" customHeight="1">
      <c r="A57" s="14" t="s">
        <v>51</v>
      </c>
      <c r="B57" s="17">
        <v>0</v>
      </c>
      <c r="C57" s="9"/>
    </row>
    <row r="58" spans="1:3" ht="24" customHeight="1">
      <c r="A58" s="14"/>
      <c r="B58" s="17">
        <v>0</v>
      </c>
      <c r="C58" s="9"/>
    </row>
    <row r="59" spans="1:3" ht="24" customHeight="1">
      <c r="A59" s="14" t="s">
        <v>52</v>
      </c>
      <c r="B59" s="17">
        <v>0</v>
      </c>
      <c r="C59" s="9"/>
    </row>
    <row r="60" spans="1:3" ht="24" customHeight="1">
      <c r="A60" s="14" t="s">
        <v>53</v>
      </c>
      <c r="B60" s="17">
        <v>0</v>
      </c>
      <c r="C60" s="9"/>
    </row>
    <row r="61" spans="1:3" ht="24" customHeight="1">
      <c r="A61" s="14" t="s">
        <v>54</v>
      </c>
      <c r="B61" s="17">
        <v>0</v>
      </c>
      <c r="C61" s="9"/>
    </row>
    <row r="62" spans="1:3" ht="24" customHeight="1">
      <c r="A62" s="14" t="s">
        <v>55</v>
      </c>
      <c r="B62" s="17">
        <v>0</v>
      </c>
      <c r="C62" s="9"/>
    </row>
    <row r="63" spans="1:3" ht="24" customHeight="1">
      <c r="A63" s="14" t="s">
        <v>56</v>
      </c>
      <c r="B63" s="17">
        <v>0</v>
      </c>
      <c r="C63" s="9"/>
    </row>
    <row r="64" spans="1:3" ht="24" customHeight="1">
      <c r="A64" s="14" t="s">
        <v>57</v>
      </c>
      <c r="B64" s="17">
        <v>0</v>
      </c>
      <c r="C64" s="9"/>
    </row>
    <row r="65" spans="1:5" ht="24" customHeight="1">
      <c r="A65" s="14"/>
      <c r="B65" s="17"/>
      <c r="C65" s="9"/>
    </row>
    <row r="66" spans="1:5" ht="24" customHeight="1">
      <c r="A66" s="14" t="s">
        <v>58</v>
      </c>
      <c r="B66" s="35">
        <v>4653505</v>
      </c>
      <c r="C66" s="9"/>
    </row>
    <row r="67" spans="1:5" ht="24" customHeight="1">
      <c r="A67" s="14" t="s">
        <v>59</v>
      </c>
      <c r="B67" s="35">
        <v>742124</v>
      </c>
      <c r="C67" s="9"/>
    </row>
    <row r="68" spans="1:5" ht="24" customHeight="1">
      <c r="A68" s="14" t="s">
        <v>60</v>
      </c>
      <c r="B68" s="35">
        <v>3911381</v>
      </c>
      <c r="C68" s="9"/>
    </row>
    <row r="69" spans="1:5" ht="24" customHeight="1">
      <c r="A69" s="14" t="s">
        <v>61</v>
      </c>
      <c r="B69" s="35">
        <v>3911233</v>
      </c>
      <c r="C69" s="9"/>
    </row>
    <row r="70" spans="1:5" ht="24" customHeight="1">
      <c r="A70" s="14" t="s">
        <v>62</v>
      </c>
      <c r="B70" s="35">
        <f>B68-B69</f>
        <v>148</v>
      </c>
      <c r="C70" s="9"/>
      <c r="E70">
        <v>2536718</v>
      </c>
    </row>
    <row r="71" spans="1:5" ht="24" customHeight="1">
      <c r="A71" s="14"/>
      <c r="B71" s="35"/>
      <c r="C71" s="9"/>
      <c r="E71">
        <v>402482</v>
      </c>
    </row>
    <row r="72" spans="1:5" ht="24" customHeight="1">
      <c r="A72" s="14" t="s">
        <v>63</v>
      </c>
      <c r="B72" s="17"/>
      <c r="C72" s="9"/>
      <c r="E72">
        <v>2134236</v>
      </c>
    </row>
    <row r="73" spans="1:5" ht="24" customHeight="1">
      <c r="A73" s="14" t="s">
        <v>64</v>
      </c>
      <c r="B73" s="17">
        <v>0</v>
      </c>
      <c r="C73" s="9"/>
    </row>
    <row r="74" spans="1:5" ht="24" customHeight="1">
      <c r="A74" s="14" t="s">
        <v>65</v>
      </c>
      <c r="B74" s="17">
        <v>0</v>
      </c>
      <c r="C74" s="9"/>
    </row>
    <row r="75" spans="1:5" ht="24" customHeight="1">
      <c r="A75" s="14" t="s">
        <v>66</v>
      </c>
      <c r="B75" s="17">
        <v>0</v>
      </c>
      <c r="C75" s="9"/>
    </row>
    <row r="76" spans="1:5" ht="24" customHeight="1">
      <c r="A76" s="14" t="s">
        <v>67</v>
      </c>
      <c r="B76" s="17">
        <v>0</v>
      </c>
      <c r="C76" s="9"/>
    </row>
    <row r="77" spans="1:5" ht="24" customHeight="1">
      <c r="A77" s="14"/>
      <c r="B77" s="17"/>
      <c r="C77" s="9"/>
    </row>
    <row r="78" spans="1:5" ht="24" customHeight="1">
      <c r="A78" s="14" t="s">
        <v>68</v>
      </c>
      <c r="B78" s="36">
        <f>+SUM(B73:B76)</f>
        <v>0</v>
      </c>
      <c r="C78" s="9"/>
    </row>
    <row r="79" spans="1:5" ht="15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indexed="10"/>
  </sheetPr>
  <dimension ref="A1:BJ321266"/>
  <sheetViews>
    <sheetView tabSelected="1" topLeftCell="A60" workbookViewId="0">
      <selection activeCell="H68" sqref="H68"/>
    </sheetView>
  </sheetViews>
  <sheetFormatPr defaultColWidth="11" defaultRowHeight="14.25"/>
  <cols>
    <col min="1" max="1" width="54.42578125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15">
      <c r="A4" s="6" t="s">
        <v>4</v>
      </c>
      <c r="B4" s="10">
        <v>1</v>
      </c>
      <c r="C4" s="9"/>
    </row>
    <row r="5" spans="1:7" ht="12.75" customHeight="1">
      <c r="C5" s="9"/>
    </row>
    <row r="6" spans="1:7" ht="23.25">
      <c r="A6" s="11" t="s">
        <v>5</v>
      </c>
      <c r="B6" s="509">
        <v>115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8</v>
      </c>
      <c r="B8" s="15">
        <v>4340601.2300000004</v>
      </c>
      <c r="C8" s="14"/>
    </row>
    <row r="9" spans="1:7" ht="24" customHeight="1">
      <c r="A9" s="14" t="s">
        <v>9</v>
      </c>
      <c r="B9" s="15">
        <f>B8</f>
        <v>4340601.2300000004</v>
      </c>
      <c r="C9" s="14"/>
    </row>
    <row r="10" spans="1:7" ht="24" customHeight="1">
      <c r="A10" s="14" t="s">
        <v>10</v>
      </c>
      <c r="B10" s="15">
        <v>0</v>
      </c>
      <c r="C10" s="14"/>
    </row>
    <row r="11" spans="1:7" ht="24" customHeight="1">
      <c r="A11" s="14" t="s">
        <v>11</v>
      </c>
      <c r="B11" s="15">
        <v>0</v>
      </c>
      <c r="C11" s="14"/>
    </row>
    <row r="12" spans="1:7" ht="24" customHeight="1">
      <c r="A12" s="14"/>
      <c r="B12" s="15">
        <v>0</v>
      </c>
      <c r="C12" s="14"/>
    </row>
    <row r="13" spans="1:7" ht="24" customHeight="1">
      <c r="A13" s="14" t="s">
        <v>12</v>
      </c>
      <c r="B13" s="15">
        <v>4223551.3600000003</v>
      </c>
      <c r="C13" s="9"/>
      <c r="D13" s="16"/>
      <c r="E13" s="16"/>
      <c r="F13" s="16"/>
      <c r="G13" s="16"/>
    </row>
    <row r="14" spans="1:7" ht="24" customHeight="1">
      <c r="A14" s="14" t="s">
        <v>13</v>
      </c>
      <c r="B14" s="15">
        <v>4147214.36</v>
      </c>
      <c r="C14" s="9"/>
      <c r="D14" s="16"/>
      <c r="E14" s="16"/>
      <c r="F14" s="16"/>
      <c r="G14" s="16"/>
    </row>
    <row r="15" spans="1:7" ht="24" customHeight="1">
      <c r="A15" s="14" t="s">
        <v>14</v>
      </c>
      <c r="B15" s="15">
        <f>+B14</f>
        <v>4147214.36</v>
      </c>
      <c r="C15" s="9"/>
      <c r="D15" s="16"/>
      <c r="E15" s="16"/>
      <c r="F15" s="16"/>
      <c r="G15" s="16"/>
    </row>
    <row r="16" spans="1:7" ht="24" customHeight="1">
      <c r="A16" s="14" t="s">
        <v>15</v>
      </c>
      <c r="B16" s="17">
        <v>0</v>
      </c>
      <c r="C16" s="9"/>
      <c r="D16" s="16"/>
      <c r="E16" s="16"/>
      <c r="F16" s="16"/>
      <c r="G16" s="16"/>
    </row>
    <row r="17" spans="1:62" ht="24" customHeight="1">
      <c r="A17" s="14" t="s">
        <v>16</v>
      </c>
      <c r="B17" s="17">
        <v>0</v>
      </c>
      <c r="C17" s="9"/>
      <c r="D17" s="16"/>
      <c r="E17" s="16"/>
      <c r="F17" s="16"/>
      <c r="G17" s="16"/>
    </row>
    <row r="18" spans="1:62" ht="24" customHeight="1">
      <c r="A18" s="14" t="s">
        <v>17</v>
      </c>
      <c r="B18" s="15">
        <v>76337</v>
      </c>
      <c r="C18" s="9"/>
      <c r="D18" s="16"/>
      <c r="E18" s="16"/>
      <c r="F18" s="16"/>
      <c r="G18" s="16"/>
    </row>
    <row r="19" spans="1:62" ht="24" customHeight="1">
      <c r="A19" s="14" t="s">
        <v>18</v>
      </c>
      <c r="B19" s="15">
        <f>+B18</f>
        <v>76337</v>
      </c>
      <c r="C19" s="9"/>
    </row>
    <row r="20" spans="1:62" ht="24" customHeight="1">
      <c r="A20" s="14" t="s">
        <v>19</v>
      </c>
      <c r="B20" s="17">
        <v>0</v>
      </c>
      <c r="C20" s="9"/>
    </row>
    <row r="21" spans="1:62" ht="24" customHeight="1">
      <c r="A21" s="14" t="s">
        <v>20</v>
      </c>
      <c r="B21" s="17">
        <v>0</v>
      </c>
      <c r="C21" s="9"/>
    </row>
    <row r="22" spans="1:62" ht="24" customHeight="1">
      <c r="A22" s="14"/>
      <c r="B22" s="17"/>
      <c r="C22" s="9"/>
    </row>
    <row r="23" spans="1:62" ht="5.25" customHeight="1">
      <c r="A23" s="18"/>
      <c r="B23" s="19">
        <v>0</v>
      </c>
      <c r="C23" s="20"/>
    </row>
    <row r="24" spans="1:62" ht="24" customHeight="1">
      <c r="A24" s="14" t="s">
        <v>21</v>
      </c>
      <c r="B24" s="21">
        <v>2.7E-2</v>
      </c>
      <c r="C24" s="9"/>
    </row>
    <row r="25" spans="1:62" ht="24" customHeight="1">
      <c r="A25" s="14" t="s">
        <v>22</v>
      </c>
      <c r="B25" s="21">
        <v>0.97299999999999998</v>
      </c>
      <c r="C25" s="9"/>
    </row>
    <row r="26" spans="1:62" ht="24" customHeight="1">
      <c r="A26" s="22" t="s">
        <v>23</v>
      </c>
      <c r="B26" s="23">
        <v>0.95679999999999998</v>
      </c>
      <c r="C26" s="24"/>
    </row>
    <row r="27" spans="1:62" ht="5.25" customHeight="1">
      <c r="A27" s="18"/>
      <c r="B27" s="19"/>
      <c r="C27" s="20"/>
    </row>
    <row r="28" spans="1:62" ht="24" customHeight="1">
      <c r="A28" s="14" t="s">
        <v>24</v>
      </c>
      <c r="B28" s="15">
        <v>1010900.96</v>
      </c>
      <c r="C28" s="9"/>
    </row>
    <row r="29" spans="1:62" ht="24" customHeight="1">
      <c r="A29" s="14" t="s">
        <v>25</v>
      </c>
      <c r="B29" s="15">
        <v>0</v>
      </c>
      <c r="C29" s="9"/>
    </row>
    <row r="30" spans="1:62" ht="24" customHeight="1">
      <c r="A30" s="22" t="s">
        <v>26</v>
      </c>
      <c r="B30" s="25">
        <v>577867</v>
      </c>
      <c r="C30" s="24"/>
    </row>
    <row r="31" spans="1:62" ht="24" customHeight="1">
      <c r="A31" s="14" t="s">
        <v>27</v>
      </c>
      <c r="B31" s="26">
        <v>433033.96</v>
      </c>
      <c r="C31" s="9"/>
    </row>
    <row r="32" spans="1:62" ht="24" customHeight="1">
      <c r="A32" s="1" t="s">
        <v>28</v>
      </c>
      <c r="B32" s="26">
        <f>B31</f>
        <v>433033.96</v>
      </c>
      <c r="C32" s="27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29</v>
      </c>
      <c r="B33" s="29">
        <v>0</v>
      </c>
      <c r="C33" s="27"/>
    </row>
    <row r="34" spans="1:62" ht="24" customHeight="1">
      <c r="A34" s="14" t="s">
        <v>30</v>
      </c>
      <c r="B34" s="29">
        <v>0</v>
      </c>
      <c r="C34" s="9"/>
    </row>
    <row r="35" spans="1:62" ht="24" customHeight="1">
      <c r="A35" s="14" t="s">
        <v>31</v>
      </c>
      <c r="B35" s="29">
        <v>0</v>
      </c>
      <c r="C35" s="9"/>
    </row>
    <row r="36" spans="1:62" ht="24" customHeight="1">
      <c r="A36" s="14" t="s">
        <v>32</v>
      </c>
      <c r="B36" s="29">
        <v>0</v>
      </c>
      <c r="C36" s="9"/>
    </row>
    <row r="37" spans="1:62" ht="24" customHeight="1">
      <c r="A37" s="14" t="s">
        <v>33</v>
      </c>
      <c r="B37" s="29">
        <v>0</v>
      </c>
      <c r="C37" s="9"/>
    </row>
    <row r="38" spans="1:62" ht="24" customHeight="1">
      <c r="A38" s="14" t="s">
        <v>34</v>
      </c>
      <c r="B38" s="29">
        <v>0</v>
      </c>
      <c r="C38" s="9"/>
    </row>
    <row r="39" spans="1:62" ht="24" customHeight="1">
      <c r="A39" s="14" t="s">
        <v>35</v>
      </c>
      <c r="B39" s="29">
        <v>0</v>
      </c>
      <c r="C39" s="9"/>
    </row>
    <row r="40" spans="1:62" ht="24" customHeight="1">
      <c r="A40" s="14" t="s">
        <v>36</v>
      </c>
      <c r="B40" s="30"/>
      <c r="C40" s="9"/>
    </row>
    <row r="41" spans="1:62" ht="24" customHeight="1">
      <c r="A41" s="14" t="s">
        <v>37</v>
      </c>
      <c r="B41" s="15">
        <v>893851.09</v>
      </c>
      <c r="C41" s="9"/>
    </row>
    <row r="42" spans="1:62" ht="24" customHeight="1">
      <c r="A42" s="14" t="s">
        <v>38</v>
      </c>
      <c r="B42" s="25">
        <v>0</v>
      </c>
      <c r="C42" s="24"/>
    </row>
    <row r="43" spans="1:62" ht="24" customHeight="1">
      <c r="A43" s="1" t="s">
        <v>39</v>
      </c>
      <c r="B43" s="26">
        <v>76337</v>
      </c>
      <c r="C43" s="9"/>
      <c r="BB43" s="28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40</v>
      </c>
      <c r="B44" s="26">
        <v>0.01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31" t="s">
        <v>41</v>
      </c>
      <c r="B45" s="32">
        <v>0</v>
      </c>
      <c r="C45" s="33"/>
    </row>
    <row r="46" spans="1:62" ht="24" customHeight="1">
      <c r="A46" s="14" t="s">
        <v>42</v>
      </c>
      <c r="B46" s="15">
        <v>0</v>
      </c>
      <c r="C46" s="9"/>
    </row>
    <row r="47" spans="1:62" ht="24" customHeight="1">
      <c r="A47" s="14" t="s">
        <v>43</v>
      </c>
      <c r="B47" s="15">
        <v>0</v>
      </c>
      <c r="C47" s="9"/>
    </row>
    <row r="48" spans="1:62" ht="24" customHeight="1">
      <c r="A48" s="14" t="s">
        <v>44</v>
      </c>
      <c r="B48" s="15">
        <v>817514.08</v>
      </c>
      <c r="C48" s="9"/>
    </row>
    <row r="49" spans="1:3" ht="24" customHeight="1">
      <c r="A49" s="14" t="s">
        <v>45</v>
      </c>
      <c r="B49" s="15">
        <f>+B48</f>
        <v>817514.08</v>
      </c>
      <c r="C49" s="9"/>
    </row>
    <row r="50" spans="1:3" ht="24" customHeight="1">
      <c r="A50" s="14" t="s">
        <v>46</v>
      </c>
      <c r="B50" s="17">
        <v>0</v>
      </c>
      <c r="C50" s="9"/>
    </row>
    <row r="51" spans="1:3" ht="24" customHeight="1">
      <c r="A51" s="14" t="s">
        <v>47</v>
      </c>
      <c r="B51" s="17">
        <v>0</v>
      </c>
      <c r="C51" s="9"/>
    </row>
    <row r="52" spans="1:3" ht="8.25" customHeight="1">
      <c r="A52" s="18"/>
      <c r="B52" s="19"/>
      <c r="C52" s="20"/>
    </row>
    <row r="53" spans="1:3" ht="24" customHeight="1">
      <c r="A53" s="14" t="s">
        <v>48</v>
      </c>
      <c r="B53" s="15">
        <v>817514.09</v>
      </c>
      <c r="C53" s="9"/>
    </row>
    <row r="54" spans="1:3" ht="24" customHeight="1">
      <c r="A54" s="14"/>
      <c r="B54" s="17">
        <v>0</v>
      </c>
      <c r="C54" s="9"/>
    </row>
    <row r="55" spans="1:3" ht="24" customHeight="1">
      <c r="A55" s="14" t="s">
        <v>49</v>
      </c>
      <c r="B55" s="17">
        <v>0</v>
      </c>
      <c r="C55" s="9"/>
    </row>
    <row r="56" spans="1:3" ht="24" customHeight="1">
      <c r="A56" s="14" t="s">
        <v>50</v>
      </c>
      <c r="B56" s="17">
        <v>0</v>
      </c>
      <c r="C56" s="9"/>
    </row>
    <row r="57" spans="1:3" ht="24" customHeight="1">
      <c r="A57" s="14" t="s">
        <v>51</v>
      </c>
      <c r="B57" s="17">
        <v>0</v>
      </c>
      <c r="C57" s="9"/>
    </row>
    <row r="58" spans="1:3" ht="24" customHeight="1">
      <c r="A58" s="14"/>
      <c r="B58" s="17">
        <v>0</v>
      </c>
      <c r="C58" s="9"/>
    </row>
    <row r="59" spans="1:3" ht="24" customHeight="1">
      <c r="A59" s="14" t="s">
        <v>52</v>
      </c>
      <c r="B59" s="17">
        <v>0</v>
      </c>
      <c r="C59" s="9"/>
    </row>
    <row r="60" spans="1:3" ht="24" customHeight="1">
      <c r="A60" s="14" t="s">
        <v>53</v>
      </c>
      <c r="B60" s="17">
        <v>0</v>
      </c>
      <c r="C60" s="9"/>
    </row>
    <row r="61" spans="1:3" ht="24" customHeight="1">
      <c r="A61" s="14" t="s">
        <v>54</v>
      </c>
      <c r="B61" s="17">
        <v>0</v>
      </c>
      <c r="C61" s="9"/>
    </row>
    <row r="62" spans="1:3" ht="24" customHeight="1">
      <c r="A62" s="14" t="s">
        <v>55</v>
      </c>
      <c r="B62" s="17">
        <v>0</v>
      </c>
      <c r="C62" s="9"/>
    </row>
    <row r="63" spans="1:3" ht="24" customHeight="1">
      <c r="A63" s="14" t="s">
        <v>56</v>
      </c>
      <c r="B63" s="17">
        <v>0</v>
      </c>
      <c r="C63" s="9"/>
    </row>
    <row r="64" spans="1:3" ht="24" customHeight="1">
      <c r="A64" s="14" t="s">
        <v>57</v>
      </c>
      <c r="B64" s="17">
        <v>0</v>
      </c>
      <c r="C64" s="9"/>
    </row>
    <row r="65" spans="1:3" ht="24" customHeight="1">
      <c r="A65" s="14"/>
      <c r="B65" s="17"/>
      <c r="C65" s="9"/>
    </row>
    <row r="66" spans="1:3" ht="24" customHeight="1">
      <c r="A66" s="14" t="s">
        <v>58</v>
      </c>
      <c r="B66" s="35">
        <v>3851260</v>
      </c>
      <c r="C66" s="9"/>
    </row>
    <row r="67" spans="1:3" ht="24" customHeight="1">
      <c r="A67" s="14" t="s">
        <v>59</v>
      </c>
      <c r="B67" s="35">
        <v>632680</v>
      </c>
      <c r="C67" s="9"/>
    </row>
    <row r="68" spans="1:3" ht="24" customHeight="1">
      <c r="A68" s="14" t="s">
        <v>60</v>
      </c>
      <c r="B68" s="35">
        <v>3218580</v>
      </c>
      <c r="C68" s="9"/>
    </row>
    <row r="69" spans="1:3" ht="24" customHeight="1">
      <c r="A69" s="14" t="s">
        <v>61</v>
      </c>
      <c r="B69" s="35">
        <v>3218480</v>
      </c>
      <c r="C69" s="9"/>
    </row>
    <row r="70" spans="1:3" ht="24" customHeight="1">
      <c r="A70" s="14" t="s">
        <v>62</v>
      </c>
      <c r="B70" s="35">
        <f>+B68-B69</f>
        <v>100</v>
      </c>
      <c r="C70" s="9"/>
    </row>
    <row r="71" spans="1:3" ht="24" customHeight="1">
      <c r="A71" s="14"/>
      <c r="B71" s="35"/>
      <c r="C71" s="9"/>
    </row>
    <row r="72" spans="1:3" ht="24" customHeight="1">
      <c r="A72" s="14" t="s">
        <v>63</v>
      </c>
      <c r="B72" s="17"/>
      <c r="C72" s="9"/>
    </row>
    <row r="73" spans="1:3" ht="24" customHeight="1">
      <c r="A73" s="14" t="s">
        <v>64</v>
      </c>
      <c r="B73" s="17">
        <v>0</v>
      </c>
      <c r="C73" s="9"/>
    </row>
    <row r="74" spans="1:3" ht="24" customHeight="1">
      <c r="A74" s="14" t="s">
        <v>65</v>
      </c>
      <c r="B74" s="17">
        <v>0</v>
      </c>
      <c r="C74" s="9"/>
    </row>
    <row r="75" spans="1:3" ht="24" customHeight="1">
      <c r="A75" s="14" t="s">
        <v>66</v>
      </c>
      <c r="B75" s="17">
        <v>0</v>
      </c>
      <c r="C75" s="9"/>
    </row>
    <row r="76" spans="1:3" ht="24" customHeight="1">
      <c r="A76" s="14" t="s">
        <v>67</v>
      </c>
      <c r="B76" s="17">
        <v>0</v>
      </c>
      <c r="C76" s="9"/>
    </row>
    <row r="77" spans="1:3" ht="24" customHeight="1">
      <c r="A77" s="14"/>
      <c r="B77" s="17"/>
      <c r="C77" s="9"/>
    </row>
    <row r="78" spans="1:3" ht="24" customHeight="1">
      <c r="A78" s="14" t="s">
        <v>68</v>
      </c>
      <c r="B78" s="36">
        <f>+SUM(B73:B76)</f>
        <v>0</v>
      </c>
      <c r="C78" s="9"/>
    </row>
    <row r="79" spans="1:3" ht="15.75" customHeight="1"/>
    <row r="321266" spans="9:9">
      <c r="I321266">
        <v>3313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U51"/>
  <sheetViews>
    <sheetView zoomScale="90" zoomScaleNormal="90" zoomScaleSheetLayoutView="90" workbookViewId="0">
      <pane xSplit="3" ySplit="3" topLeftCell="J14" activePane="bottomRight" state="frozen"/>
      <selection pane="topRight" activeCell="D1" sqref="D1"/>
      <selection pane="bottomLeft" activeCell="A4" sqref="A4"/>
      <selection pane="bottomRight" activeCell="E35" sqref="E35"/>
    </sheetView>
  </sheetViews>
  <sheetFormatPr defaultColWidth="8.7109375" defaultRowHeight="12"/>
  <cols>
    <col min="1" max="1" width="23" style="484" customWidth="1"/>
    <col min="2" max="2" width="17.5703125" style="484" bestFit="1" customWidth="1"/>
    <col min="3" max="3" width="5.42578125" style="484" customWidth="1"/>
    <col min="4" max="5" width="17.28515625" style="484" bestFit="1" customWidth="1"/>
    <col min="6" max="6" width="19" style="484" customWidth="1"/>
    <col min="7" max="7" width="12.42578125" style="484" bestFit="1" customWidth="1"/>
    <col min="8" max="8" width="10" style="484" customWidth="1"/>
    <col min="9" max="9" width="14.85546875" style="484" customWidth="1"/>
    <col min="10" max="10" width="17.28515625" style="484" bestFit="1" customWidth="1"/>
    <col min="11" max="11" width="10.85546875" style="484" customWidth="1"/>
    <col min="12" max="12" width="17.85546875" style="484" customWidth="1"/>
    <col min="13" max="13" width="16.85546875" style="484" customWidth="1"/>
    <col min="14" max="14" width="18.42578125" style="484" bestFit="1" customWidth="1"/>
    <col min="15" max="15" width="17.28515625" style="484" customWidth="1"/>
    <col min="16" max="16" width="9" style="484" customWidth="1"/>
    <col min="17" max="16384" width="8.7109375" style="484"/>
  </cols>
  <sheetData>
    <row r="1" spans="1:255" ht="12.75" thickBot="1"/>
    <row r="2" spans="1:255" ht="19.5" customHeight="1" thickBot="1">
      <c r="D2" s="1071">
        <v>44680</v>
      </c>
      <c r="E2" s="1072"/>
      <c r="F2" s="1073"/>
      <c r="G2" s="997"/>
    </row>
    <row r="3" spans="1:255" ht="40.5">
      <c r="A3" s="610" t="s">
        <v>410</v>
      </c>
      <c r="B3" s="611" t="s">
        <v>411</v>
      </c>
      <c r="C3" s="612" t="s">
        <v>412</v>
      </c>
      <c r="D3" s="613" t="s">
        <v>328</v>
      </c>
      <c r="E3" s="613" t="s">
        <v>183</v>
      </c>
      <c r="F3" s="614" t="s">
        <v>44</v>
      </c>
      <c r="G3" s="614" t="s">
        <v>574</v>
      </c>
      <c r="H3" s="614" t="s">
        <v>575</v>
      </c>
      <c r="I3" s="614" t="s">
        <v>235</v>
      </c>
      <c r="J3" s="614" t="s">
        <v>825</v>
      </c>
      <c r="K3" s="614" t="s">
        <v>577</v>
      </c>
      <c r="L3" s="614" t="s">
        <v>830</v>
      </c>
      <c r="M3" s="614" t="s">
        <v>579</v>
      </c>
      <c r="N3" s="615" t="s">
        <v>837</v>
      </c>
      <c r="O3" s="486"/>
      <c r="P3" s="486"/>
      <c r="Q3" s="486"/>
      <c r="R3" s="486"/>
      <c r="S3" s="486"/>
      <c r="T3" s="486"/>
      <c r="U3" s="486"/>
      <c r="V3" s="486"/>
      <c r="W3" s="486"/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  <c r="AO3" s="486"/>
      <c r="AP3" s="486"/>
      <c r="AQ3" s="486"/>
      <c r="AR3" s="486"/>
      <c r="AS3" s="486"/>
      <c r="AT3" s="486"/>
      <c r="AU3" s="486"/>
      <c r="AV3" s="486"/>
      <c r="AW3" s="486"/>
      <c r="AX3" s="486"/>
      <c r="AY3" s="486"/>
      <c r="AZ3" s="486"/>
      <c r="BA3" s="486"/>
      <c r="BB3" s="486"/>
      <c r="BC3" s="486"/>
      <c r="BD3" s="486"/>
      <c r="BE3" s="486"/>
      <c r="BF3" s="486"/>
      <c r="BG3" s="486"/>
      <c r="BH3" s="486"/>
      <c r="BI3" s="486"/>
      <c r="BJ3" s="486"/>
      <c r="BK3" s="486"/>
      <c r="BL3" s="486"/>
      <c r="BM3" s="486"/>
      <c r="BN3" s="486"/>
      <c r="BO3" s="486"/>
      <c r="BP3" s="486"/>
      <c r="BQ3" s="486"/>
      <c r="BR3" s="486"/>
      <c r="BS3" s="486"/>
      <c r="BT3" s="486"/>
      <c r="BU3" s="486"/>
      <c r="BV3" s="486"/>
      <c r="BW3" s="486"/>
      <c r="BX3" s="486"/>
      <c r="BY3" s="486"/>
      <c r="BZ3" s="486"/>
      <c r="CA3" s="486"/>
      <c r="CB3" s="486"/>
      <c r="CC3" s="486"/>
      <c r="CD3" s="486"/>
      <c r="CE3" s="486"/>
      <c r="CF3" s="486"/>
      <c r="CG3" s="486"/>
      <c r="CH3" s="486"/>
      <c r="CI3" s="486"/>
      <c r="CJ3" s="486"/>
      <c r="CK3" s="486"/>
      <c r="CL3" s="486"/>
      <c r="CM3" s="486"/>
      <c r="CN3" s="486"/>
      <c r="CO3" s="486"/>
      <c r="CP3" s="486"/>
      <c r="CQ3" s="486"/>
      <c r="CR3" s="486"/>
      <c r="CS3" s="486"/>
      <c r="CT3" s="486"/>
      <c r="CU3" s="486"/>
      <c r="CV3" s="486"/>
      <c r="CW3" s="486"/>
      <c r="CX3" s="486"/>
      <c r="CY3" s="486"/>
      <c r="CZ3" s="486"/>
      <c r="DA3" s="486"/>
      <c r="DB3" s="486"/>
      <c r="DC3" s="486"/>
      <c r="DD3" s="486"/>
      <c r="DE3" s="486"/>
      <c r="DF3" s="486"/>
      <c r="DG3" s="486"/>
      <c r="DH3" s="486"/>
      <c r="DI3" s="486"/>
      <c r="DJ3" s="486"/>
      <c r="DK3" s="486"/>
      <c r="DL3" s="486"/>
      <c r="DM3" s="486"/>
      <c r="DN3" s="486"/>
      <c r="DO3" s="486"/>
      <c r="DP3" s="486"/>
      <c r="DQ3" s="486"/>
      <c r="DR3" s="486"/>
      <c r="DS3" s="486"/>
      <c r="DT3" s="486"/>
      <c r="DU3" s="486"/>
      <c r="DV3" s="486"/>
      <c r="DW3" s="486"/>
      <c r="DX3" s="486"/>
      <c r="DY3" s="486"/>
      <c r="DZ3" s="486"/>
      <c r="EA3" s="486"/>
      <c r="EB3" s="486"/>
      <c r="EC3" s="486"/>
      <c r="ED3" s="486"/>
      <c r="EE3" s="486"/>
      <c r="EF3" s="486"/>
      <c r="EG3" s="486"/>
      <c r="EH3" s="486"/>
      <c r="EI3" s="486"/>
      <c r="EJ3" s="486"/>
      <c r="EK3" s="486"/>
      <c r="EL3" s="486"/>
      <c r="EM3" s="486"/>
      <c r="EN3" s="486"/>
      <c r="EO3" s="486"/>
      <c r="EP3" s="486"/>
      <c r="EQ3" s="486"/>
      <c r="ER3" s="486"/>
      <c r="ES3" s="486"/>
      <c r="ET3" s="486"/>
      <c r="EU3" s="486"/>
      <c r="EV3" s="486"/>
      <c r="EW3" s="486"/>
      <c r="EX3" s="486"/>
      <c r="EY3" s="486"/>
      <c r="EZ3" s="486"/>
      <c r="FA3" s="486"/>
      <c r="FB3" s="486"/>
      <c r="FC3" s="486"/>
      <c r="FD3" s="486"/>
      <c r="FE3" s="486"/>
      <c r="FF3" s="486"/>
      <c r="FG3" s="486"/>
      <c r="FH3" s="486"/>
      <c r="FI3" s="486"/>
      <c r="FJ3" s="486"/>
      <c r="FK3" s="486"/>
      <c r="FL3" s="486"/>
      <c r="FM3" s="486"/>
      <c r="FN3" s="486"/>
      <c r="FO3" s="486"/>
      <c r="FP3" s="486"/>
      <c r="FQ3" s="486"/>
      <c r="FR3" s="486"/>
      <c r="FS3" s="486"/>
      <c r="FT3" s="486"/>
      <c r="FU3" s="486"/>
      <c r="FV3" s="486"/>
      <c r="FW3" s="486"/>
      <c r="FX3" s="486"/>
      <c r="FY3" s="486"/>
      <c r="FZ3" s="486"/>
      <c r="GA3" s="486"/>
      <c r="GB3" s="486"/>
      <c r="GC3" s="486"/>
      <c r="GD3" s="486"/>
      <c r="GE3" s="486"/>
      <c r="GF3" s="486"/>
      <c r="GG3" s="486"/>
      <c r="GH3" s="486"/>
      <c r="GI3" s="486"/>
      <c r="GJ3" s="486"/>
      <c r="GK3" s="486"/>
      <c r="GL3" s="486"/>
      <c r="GM3" s="486"/>
      <c r="GN3" s="486"/>
      <c r="GO3" s="486"/>
      <c r="GP3" s="486"/>
      <c r="GQ3" s="486"/>
      <c r="GR3" s="486"/>
      <c r="GS3" s="486"/>
      <c r="GT3" s="486"/>
      <c r="GU3" s="486"/>
      <c r="GV3" s="486"/>
      <c r="GW3" s="486"/>
      <c r="GX3" s="486"/>
      <c r="GY3" s="486"/>
      <c r="GZ3" s="486"/>
      <c r="HA3" s="486"/>
      <c r="HB3" s="486"/>
      <c r="HC3" s="486"/>
      <c r="HD3" s="486"/>
      <c r="HE3" s="486"/>
      <c r="HF3" s="486"/>
      <c r="HG3" s="486"/>
      <c r="HH3" s="486"/>
      <c r="HI3" s="486"/>
      <c r="HJ3" s="486"/>
      <c r="HK3" s="486"/>
      <c r="HL3" s="486"/>
      <c r="HM3" s="486"/>
      <c r="HN3" s="486"/>
      <c r="HO3" s="486"/>
      <c r="HP3" s="486"/>
      <c r="HQ3" s="486"/>
      <c r="HR3" s="486"/>
      <c r="HS3" s="486"/>
      <c r="HT3" s="486"/>
      <c r="HU3" s="486"/>
      <c r="HV3" s="486"/>
      <c r="HW3" s="486"/>
      <c r="HX3" s="486"/>
      <c r="HY3" s="486"/>
      <c r="HZ3" s="486"/>
      <c r="IA3" s="486"/>
      <c r="IB3" s="486"/>
      <c r="IC3" s="486"/>
      <c r="ID3" s="486"/>
      <c r="IE3" s="486"/>
      <c r="IF3" s="486"/>
      <c r="IG3" s="486"/>
      <c r="IH3" s="486"/>
      <c r="II3" s="486"/>
      <c r="IJ3" s="486"/>
      <c r="IK3" s="486"/>
      <c r="IL3" s="486"/>
      <c r="IM3" s="486"/>
      <c r="IN3" s="486"/>
      <c r="IO3" s="486"/>
      <c r="IP3" s="486"/>
      <c r="IQ3" s="486"/>
      <c r="IR3" s="486"/>
      <c r="IS3" s="486"/>
      <c r="IT3" s="486"/>
    </row>
    <row r="4" spans="1:255" s="465" customFormat="1" ht="21" customHeight="1">
      <c r="A4" s="616" t="s">
        <v>611</v>
      </c>
      <c r="B4" s="485" t="s">
        <v>70</v>
      </c>
      <c r="C4" s="487">
        <v>101</v>
      </c>
      <c r="D4" s="488">
        <f>'101 (R)'!$H$43</f>
        <v>26521</v>
      </c>
      <c r="E4" s="489">
        <f>'101 (R)'!$I$23</f>
        <v>17558.68</v>
      </c>
      <c r="F4" s="490">
        <f>'101 (R)'!$H$24</f>
        <v>46284.399999999994</v>
      </c>
      <c r="G4" s="490">
        <v>0</v>
      </c>
      <c r="H4" s="490">
        <v>0</v>
      </c>
      <c r="I4" s="490">
        <v>0</v>
      </c>
      <c r="J4" s="491">
        <f t="shared" ref="J4:J41" si="0">D4+E4-F4-G4-H4-I4</f>
        <v>-2204.7199999999939</v>
      </c>
      <c r="K4" s="492">
        <v>0</v>
      </c>
      <c r="L4" s="491">
        <f t="shared" ref="L4:L41" si="1">J4-K4</f>
        <v>-2204.7199999999939</v>
      </c>
      <c r="M4" s="554">
        <v>0</v>
      </c>
      <c r="N4" s="617">
        <f t="shared" ref="N4:N41" si="2">M4-L4</f>
        <v>2204.7199999999939</v>
      </c>
      <c r="O4" s="493"/>
      <c r="P4" s="486"/>
      <c r="Q4" s="486"/>
      <c r="R4" s="486"/>
      <c r="S4" s="486"/>
      <c r="T4" s="486"/>
      <c r="U4" s="486"/>
      <c r="V4" s="486"/>
      <c r="W4" s="486"/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  <c r="AO4" s="486"/>
      <c r="AP4" s="486"/>
      <c r="AQ4" s="486"/>
      <c r="AR4" s="486"/>
      <c r="AS4" s="486"/>
      <c r="AT4" s="486"/>
      <c r="AU4" s="486"/>
      <c r="AV4" s="486"/>
      <c r="AW4" s="486"/>
      <c r="AX4" s="486"/>
      <c r="AY4" s="486"/>
      <c r="AZ4" s="486"/>
      <c r="BA4" s="486"/>
      <c r="BB4" s="486"/>
      <c r="BC4" s="486"/>
      <c r="BD4" s="486"/>
      <c r="BE4" s="486"/>
      <c r="BF4" s="486"/>
      <c r="BG4" s="486"/>
      <c r="BH4" s="486"/>
      <c r="BI4" s="486"/>
      <c r="BJ4" s="486"/>
      <c r="BK4" s="486"/>
      <c r="BL4" s="486"/>
      <c r="BM4" s="486"/>
      <c r="BN4" s="486"/>
      <c r="BO4" s="486"/>
      <c r="BP4" s="486"/>
      <c r="BQ4" s="486"/>
      <c r="BR4" s="486"/>
      <c r="BS4" s="486"/>
      <c r="BT4" s="486"/>
      <c r="BU4" s="486"/>
      <c r="BV4" s="486"/>
      <c r="BW4" s="486"/>
      <c r="BX4" s="486"/>
      <c r="BY4" s="486"/>
      <c r="BZ4" s="486"/>
      <c r="CA4" s="486"/>
      <c r="CB4" s="486"/>
      <c r="CC4" s="486"/>
      <c r="CD4" s="486"/>
      <c r="CE4" s="486"/>
      <c r="CF4" s="486"/>
      <c r="CG4" s="486"/>
      <c r="CH4" s="486"/>
      <c r="CI4" s="486"/>
      <c r="CJ4" s="486"/>
      <c r="CK4" s="486"/>
      <c r="CL4" s="486"/>
      <c r="CM4" s="486"/>
      <c r="CN4" s="486"/>
      <c r="CO4" s="486"/>
      <c r="CP4" s="486"/>
      <c r="CQ4" s="486"/>
      <c r="CR4" s="486"/>
      <c r="CS4" s="486"/>
      <c r="CT4" s="486"/>
      <c r="CU4" s="486"/>
      <c r="CV4" s="486"/>
      <c r="CW4" s="486"/>
      <c r="CX4" s="486"/>
      <c r="CY4" s="486"/>
      <c r="CZ4" s="486"/>
      <c r="DA4" s="486"/>
      <c r="DB4" s="486"/>
      <c r="DC4" s="486"/>
      <c r="DD4" s="486"/>
      <c r="DE4" s="486"/>
      <c r="DF4" s="486"/>
      <c r="DG4" s="486"/>
      <c r="DH4" s="486"/>
      <c r="DI4" s="486"/>
      <c r="DJ4" s="486"/>
      <c r="DK4" s="486"/>
      <c r="DL4" s="486"/>
      <c r="DM4" s="486"/>
      <c r="DN4" s="486"/>
      <c r="DO4" s="486"/>
      <c r="DP4" s="486"/>
      <c r="DQ4" s="486"/>
      <c r="DR4" s="486"/>
      <c r="DS4" s="486"/>
      <c r="DT4" s="486"/>
      <c r="DU4" s="486"/>
      <c r="DV4" s="486"/>
      <c r="DW4" s="486"/>
      <c r="DX4" s="486"/>
      <c r="DY4" s="486"/>
      <c r="DZ4" s="486"/>
      <c r="EA4" s="486"/>
      <c r="EB4" s="486"/>
      <c r="EC4" s="486"/>
      <c r="ED4" s="486"/>
      <c r="EE4" s="486"/>
      <c r="EF4" s="486"/>
      <c r="EG4" s="486"/>
      <c r="EH4" s="486"/>
      <c r="EI4" s="486"/>
      <c r="EJ4" s="486"/>
      <c r="EK4" s="486"/>
      <c r="EL4" s="486"/>
      <c r="EM4" s="486"/>
      <c r="EN4" s="486"/>
      <c r="EO4" s="486"/>
      <c r="EP4" s="486"/>
      <c r="EQ4" s="486"/>
      <c r="ER4" s="486"/>
      <c r="ES4" s="486"/>
      <c r="ET4" s="486"/>
      <c r="EU4" s="486"/>
      <c r="EV4" s="486"/>
      <c r="EW4" s="486"/>
      <c r="EX4" s="486"/>
      <c r="EY4" s="486"/>
      <c r="EZ4" s="486"/>
      <c r="FA4" s="486"/>
      <c r="FB4" s="486"/>
      <c r="FC4" s="486"/>
      <c r="FD4" s="486"/>
      <c r="FE4" s="486"/>
      <c r="FF4" s="486"/>
      <c r="FG4" s="486"/>
      <c r="FH4" s="486"/>
      <c r="FI4" s="486"/>
      <c r="FJ4" s="486"/>
      <c r="FK4" s="486"/>
      <c r="FL4" s="486"/>
      <c r="FM4" s="486"/>
      <c r="FN4" s="486"/>
      <c r="FO4" s="486"/>
      <c r="FP4" s="486"/>
      <c r="FQ4" s="486"/>
      <c r="FR4" s="486"/>
      <c r="FS4" s="486"/>
      <c r="FT4" s="486"/>
      <c r="FU4" s="486"/>
      <c r="FV4" s="486"/>
      <c r="FW4" s="486"/>
      <c r="FX4" s="486"/>
      <c r="FY4" s="486"/>
      <c r="FZ4" s="486"/>
      <c r="GA4" s="486"/>
      <c r="GB4" s="486"/>
      <c r="GC4" s="486"/>
      <c r="GD4" s="486"/>
      <c r="GE4" s="486"/>
      <c r="GF4" s="486"/>
      <c r="GG4" s="486"/>
      <c r="GH4" s="486"/>
      <c r="GI4" s="486"/>
      <c r="GJ4" s="486"/>
      <c r="GK4" s="486"/>
      <c r="GL4" s="486"/>
      <c r="GM4" s="486"/>
      <c r="GN4" s="486"/>
      <c r="GO4" s="486"/>
      <c r="GP4" s="486"/>
      <c r="GQ4" s="486"/>
      <c r="GR4" s="486"/>
      <c r="GS4" s="486"/>
      <c r="GT4" s="486"/>
      <c r="GU4" s="486"/>
      <c r="GV4" s="486"/>
      <c r="GW4" s="486"/>
      <c r="GX4" s="486"/>
      <c r="GY4" s="486"/>
      <c r="GZ4" s="486"/>
      <c r="HA4" s="486"/>
      <c r="HB4" s="486"/>
      <c r="HC4" s="486"/>
      <c r="HD4" s="486"/>
      <c r="HE4" s="486"/>
      <c r="HF4" s="486"/>
      <c r="HG4" s="486"/>
      <c r="HH4" s="486"/>
      <c r="HI4" s="486"/>
      <c r="HJ4" s="486"/>
      <c r="HK4" s="486"/>
      <c r="HL4" s="486"/>
      <c r="HM4" s="486"/>
      <c r="HN4" s="486"/>
      <c r="HO4" s="486"/>
      <c r="HP4" s="486"/>
      <c r="HQ4" s="486"/>
      <c r="HR4" s="486"/>
      <c r="HS4" s="486"/>
      <c r="HT4" s="486"/>
      <c r="HU4" s="486"/>
      <c r="HV4" s="486"/>
      <c r="HW4" s="486"/>
      <c r="HX4" s="486"/>
      <c r="HY4" s="486"/>
      <c r="HZ4" s="486"/>
      <c r="IA4" s="486"/>
      <c r="IB4" s="486"/>
      <c r="IC4" s="486"/>
      <c r="ID4" s="486"/>
      <c r="IE4" s="486"/>
      <c r="IF4" s="486"/>
      <c r="IG4" s="486"/>
      <c r="IH4" s="486"/>
      <c r="II4" s="486"/>
      <c r="IJ4" s="486"/>
      <c r="IK4" s="486"/>
      <c r="IL4" s="486"/>
      <c r="IM4" s="486"/>
      <c r="IN4" s="486"/>
      <c r="IO4" s="486"/>
      <c r="IP4" s="486"/>
      <c r="IQ4" s="486"/>
      <c r="IR4" s="486"/>
      <c r="IS4" s="486"/>
      <c r="IT4" s="486"/>
      <c r="IU4" s="486"/>
    </row>
    <row r="5" spans="1:255" s="465" customFormat="1" ht="21" customHeight="1">
      <c r="A5" s="616" t="s">
        <v>610</v>
      </c>
      <c r="B5" s="485" t="s">
        <v>70</v>
      </c>
      <c r="C5" s="487">
        <v>102</v>
      </c>
      <c r="D5" s="488">
        <f>'102 (R)'!H43</f>
        <v>44684</v>
      </c>
      <c r="E5" s="489">
        <f>'102 (R)'!I23</f>
        <v>42839.079999999987</v>
      </c>
      <c r="F5" s="490">
        <f>'102 (R)'!H24</f>
        <v>75985.820000000007</v>
      </c>
      <c r="G5" s="490">
        <v>0</v>
      </c>
      <c r="H5" s="490">
        <v>0</v>
      </c>
      <c r="I5" s="490">
        <v>0</v>
      </c>
      <c r="J5" s="491">
        <f t="shared" si="0"/>
        <v>11537.25999999998</v>
      </c>
      <c r="K5" s="492">
        <v>0</v>
      </c>
      <c r="L5" s="491">
        <f t="shared" si="1"/>
        <v>11537.25999999998</v>
      </c>
      <c r="M5" s="554">
        <v>0</v>
      </c>
      <c r="N5" s="617">
        <f t="shared" si="2"/>
        <v>-11537.25999999998</v>
      </c>
      <c r="O5" s="493"/>
      <c r="P5" s="486"/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6"/>
      <c r="AK5" s="486"/>
      <c r="AL5" s="486"/>
      <c r="AM5" s="486"/>
      <c r="AN5" s="486"/>
      <c r="AO5" s="486"/>
      <c r="AP5" s="486"/>
      <c r="AQ5" s="486"/>
      <c r="AR5" s="486"/>
      <c r="AS5" s="486"/>
      <c r="AT5" s="486"/>
      <c r="AU5" s="486"/>
      <c r="AV5" s="486"/>
      <c r="AW5" s="486"/>
      <c r="AX5" s="486"/>
      <c r="AY5" s="486"/>
      <c r="AZ5" s="486"/>
      <c r="BA5" s="486"/>
      <c r="BB5" s="486"/>
      <c r="BC5" s="486"/>
      <c r="BD5" s="486"/>
      <c r="BE5" s="486"/>
      <c r="BF5" s="486"/>
      <c r="BG5" s="486"/>
      <c r="BH5" s="486"/>
      <c r="BI5" s="486"/>
      <c r="BJ5" s="486"/>
      <c r="BK5" s="486"/>
      <c r="BL5" s="486"/>
      <c r="BM5" s="486"/>
      <c r="BN5" s="486"/>
      <c r="BO5" s="486"/>
      <c r="BP5" s="486"/>
      <c r="BQ5" s="486"/>
      <c r="BR5" s="486"/>
      <c r="BS5" s="486"/>
      <c r="BT5" s="486"/>
      <c r="BU5" s="486"/>
      <c r="BV5" s="486"/>
      <c r="BW5" s="486"/>
      <c r="BX5" s="486"/>
      <c r="BY5" s="486"/>
      <c r="BZ5" s="486"/>
      <c r="CA5" s="486"/>
      <c r="CB5" s="486"/>
      <c r="CC5" s="486"/>
      <c r="CD5" s="486"/>
      <c r="CE5" s="486"/>
      <c r="CF5" s="486"/>
      <c r="CG5" s="486"/>
      <c r="CH5" s="486"/>
      <c r="CI5" s="486"/>
      <c r="CJ5" s="486"/>
      <c r="CK5" s="486"/>
      <c r="CL5" s="486"/>
      <c r="CM5" s="486"/>
      <c r="CN5" s="486"/>
      <c r="CO5" s="486"/>
      <c r="CP5" s="486"/>
      <c r="CQ5" s="486"/>
      <c r="CR5" s="486"/>
      <c r="CS5" s="486"/>
      <c r="CT5" s="486"/>
      <c r="CU5" s="486"/>
      <c r="CV5" s="486"/>
      <c r="CW5" s="486"/>
      <c r="CX5" s="486"/>
      <c r="CY5" s="486"/>
      <c r="CZ5" s="486"/>
      <c r="DA5" s="486"/>
      <c r="DB5" s="486"/>
      <c r="DC5" s="486"/>
      <c r="DD5" s="486"/>
      <c r="DE5" s="486"/>
      <c r="DF5" s="486"/>
      <c r="DG5" s="486"/>
      <c r="DH5" s="486"/>
      <c r="DI5" s="486"/>
      <c r="DJ5" s="486"/>
      <c r="DK5" s="486"/>
      <c r="DL5" s="486"/>
      <c r="DM5" s="486"/>
      <c r="DN5" s="486"/>
      <c r="DO5" s="486"/>
      <c r="DP5" s="486"/>
      <c r="DQ5" s="486"/>
      <c r="DR5" s="486"/>
      <c r="DS5" s="486"/>
      <c r="DT5" s="486"/>
      <c r="DU5" s="486"/>
      <c r="DV5" s="486"/>
      <c r="DW5" s="486"/>
      <c r="DX5" s="486"/>
      <c r="DY5" s="486"/>
      <c r="DZ5" s="486"/>
      <c r="EA5" s="486"/>
      <c r="EB5" s="486"/>
      <c r="EC5" s="486"/>
      <c r="ED5" s="486"/>
      <c r="EE5" s="486"/>
      <c r="EF5" s="486"/>
      <c r="EG5" s="486"/>
      <c r="EH5" s="486"/>
      <c r="EI5" s="486"/>
      <c r="EJ5" s="486"/>
      <c r="EK5" s="486"/>
      <c r="EL5" s="486"/>
      <c r="EM5" s="486"/>
      <c r="EN5" s="486"/>
      <c r="EO5" s="486"/>
      <c r="EP5" s="486"/>
      <c r="EQ5" s="486"/>
      <c r="ER5" s="486"/>
      <c r="ES5" s="486"/>
      <c r="ET5" s="486"/>
      <c r="EU5" s="486"/>
      <c r="EV5" s="486"/>
      <c r="EW5" s="486"/>
      <c r="EX5" s="486"/>
      <c r="EY5" s="486"/>
      <c r="EZ5" s="486"/>
      <c r="FA5" s="486"/>
      <c r="FB5" s="486"/>
      <c r="FC5" s="486"/>
      <c r="FD5" s="486"/>
      <c r="FE5" s="486"/>
      <c r="FF5" s="486"/>
      <c r="FG5" s="486"/>
      <c r="FH5" s="486"/>
      <c r="FI5" s="486"/>
      <c r="FJ5" s="486"/>
      <c r="FK5" s="486"/>
      <c r="FL5" s="486"/>
      <c r="FM5" s="486"/>
      <c r="FN5" s="486"/>
      <c r="FO5" s="486"/>
      <c r="FP5" s="486"/>
      <c r="FQ5" s="486"/>
      <c r="FR5" s="486"/>
      <c r="FS5" s="486"/>
      <c r="FT5" s="486"/>
      <c r="FU5" s="486"/>
      <c r="FV5" s="486"/>
      <c r="FW5" s="486"/>
      <c r="FX5" s="486"/>
      <c r="FY5" s="486"/>
      <c r="FZ5" s="486"/>
      <c r="GA5" s="486"/>
      <c r="GB5" s="486"/>
      <c r="GC5" s="486"/>
      <c r="GD5" s="486"/>
      <c r="GE5" s="486"/>
      <c r="GF5" s="486"/>
      <c r="GG5" s="486"/>
      <c r="GH5" s="486"/>
      <c r="GI5" s="486"/>
      <c r="GJ5" s="486"/>
      <c r="GK5" s="486"/>
      <c r="GL5" s="486"/>
      <c r="GM5" s="486"/>
      <c r="GN5" s="486"/>
      <c r="GO5" s="486"/>
      <c r="GP5" s="486"/>
      <c r="GQ5" s="486"/>
      <c r="GR5" s="486"/>
      <c r="GS5" s="486"/>
      <c r="GT5" s="486"/>
      <c r="GU5" s="486"/>
      <c r="GV5" s="486"/>
      <c r="GW5" s="486"/>
      <c r="GX5" s="486"/>
      <c r="GY5" s="486"/>
      <c r="GZ5" s="486"/>
      <c r="HA5" s="486"/>
      <c r="HB5" s="486"/>
      <c r="HC5" s="486"/>
      <c r="HD5" s="486"/>
      <c r="HE5" s="486"/>
      <c r="HF5" s="486"/>
      <c r="HG5" s="486"/>
      <c r="HH5" s="486"/>
      <c r="HI5" s="486"/>
      <c r="HJ5" s="486"/>
      <c r="HK5" s="486"/>
      <c r="HL5" s="486"/>
      <c r="HM5" s="486"/>
      <c r="HN5" s="486"/>
      <c r="HO5" s="486"/>
      <c r="HP5" s="486"/>
      <c r="HQ5" s="486"/>
      <c r="HR5" s="486"/>
      <c r="HS5" s="486"/>
      <c r="HT5" s="486"/>
      <c r="HU5" s="486"/>
      <c r="HV5" s="486"/>
      <c r="HW5" s="486"/>
      <c r="HX5" s="486"/>
      <c r="HY5" s="486"/>
      <c r="HZ5" s="486"/>
      <c r="IA5" s="486"/>
      <c r="IB5" s="486"/>
      <c r="IC5" s="486"/>
      <c r="ID5" s="486"/>
      <c r="IE5" s="486"/>
      <c r="IF5" s="486"/>
      <c r="IG5" s="486"/>
      <c r="IH5" s="486"/>
      <c r="II5" s="486"/>
      <c r="IJ5" s="486"/>
      <c r="IK5" s="486"/>
      <c r="IL5" s="486"/>
      <c r="IM5" s="486"/>
      <c r="IN5" s="486"/>
      <c r="IO5" s="486"/>
      <c r="IP5" s="486"/>
      <c r="IQ5" s="486"/>
      <c r="IR5" s="486"/>
      <c r="IS5" s="486"/>
      <c r="IT5" s="486"/>
      <c r="IU5" s="486"/>
    </row>
    <row r="6" spans="1:255" s="465" customFormat="1" ht="21" customHeight="1">
      <c r="A6" s="616" t="s">
        <v>609</v>
      </c>
      <c r="B6" s="485" t="s">
        <v>70</v>
      </c>
      <c r="C6" s="487">
        <v>103</v>
      </c>
      <c r="D6" s="488">
        <f>'103 (R)'!H43</f>
        <v>-206</v>
      </c>
      <c r="E6" s="489">
        <f>'103 (R)'!I23</f>
        <v>-4081.17</v>
      </c>
      <c r="F6" s="490">
        <f>'103 (R)'!H24</f>
        <v>-6417.67</v>
      </c>
      <c r="G6" s="490">
        <v>0</v>
      </c>
      <c r="H6" s="490">
        <v>0</v>
      </c>
      <c r="I6" s="490">
        <v>0</v>
      </c>
      <c r="J6" s="491">
        <f t="shared" si="0"/>
        <v>2130.5</v>
      </c>
      <c r="K6" s="492">
        <v>0</v>
      </c>
      <c r="L6" s="491">
        <f t="shared" si="1"/>
        <v>2130.5</v>
      </c>
      <c r="M6" s="554">
        <v>0</v>
      </c>
      <c r="N6" s="617">
        <f t="shared" si="2"/>
        <v>-2130.5</v>
      </c>
      <c r="O6" s="493"/>
      <c r="P6" s="486"/>
      <c r="Q6" s="486"/>
      <c r="R6" s="486"/>
      <c r="S6" s="486"/>
      <c r="T6" s="486"/>
      <c r="U6" s="486"/>
      <c r="V6" s="486"/>
      <c r="W6" s="486"/>
      <c r="X6" s="486"/>
      <c r="Y6" s="486"/>
      <c r="Z6" s="486"/>
      <c r="AA6" s="486"/>
      <c r="AB6" s="486"/>
      <c r="AC6" s="486"/>
      <c r="AD6" s="486"/>
      <c r="AE6" s="486"/>
      <c r="AF6" s="486"/>
      <c r="AG6" s="486"/>
      <c r="AH6" s="486"/>
      <c r="AI6" s="486"/>
      <c r="AJ6" s="486"/>
      <c r="AK6" s="486"/>
      <c r="AL6" s="486"/>
      <c r="AM6" s="486"/>
      <c r="AN6" s="486"/>
      <c r="AO6" s="486"/>
      <c r="AP6" s="486"/>
      <c r="AQ6" s="486"/>
      <c r="AR6" s="486"/>
      <c r="AS6" s="486"/>
      <c r="AT6" s="486"/>
      <c r="AU6" s="486"/>
      <c r="AV6" s="486"/>
      <c r="AW6" s="486"/>
      <c r="AX6" s="486"/>
      <c r="AY6" s="486"/>
      <c r="AZ6" s="486"/>
      <c r="BA6" s="486"/>
      <c r="BB6" s="486"/>
      <c r="BC6" s="486"/>
      <c r="BD6" s="486"/>
      <c r="BE6" s="486"/>
      <c r="BF6" s="486"/>
      <c r="BG6" s="486"/>
      <c r="BH6" s="486"/>
      <c r="BI6" s="486"/>
      <c r="BJ6" s="486"/>
      <c r="BK6" s="486"/>
      <c r="BL6" s="486"/>
      <c r="BM6" s="486"/>
      <c r="BN6" s="486"/>
      <c r="BO6" s="486"/>
      <c r="BP6" s="486"/>
      <c r="BQ6" s="486"/>
      <c r="BR6" s="486"/>
      <c r="BS6" s="486"/>
      <c r="BT6" s="486"/>
      <c r="BU6" s="486"/>
      <c r="BV6" s="486"/>
      <c r="BW6" s="486"/>
      <c r="BX6" s="486"/>
      <c r="BY6" s="486"/>
      <c r="BZ6" s="486"/>
      <c r="CA6" s="486"/>
      <c r="CB6" s="486"/>
      <c r="CC6" s="486"/>
      <c r="CD6" s="486"/>
      <c r="CE6" s="486"/>
      <c r="CF6" s="486"/>
      <c r="CG6" s="486"/>
      <c r="CH6" s="486"/>
      <c r="CI6" s="486"/>
      <c r="CJ6" s="486"/>
      <c r="CK6" s="486"/>
      <c r="CL6" s="486"/>
      <c r="CM6" s="486"/>
      <c r="CN6" s="486"/>
      <c r="CO6" s="486"/>
      <c r="CP6" s="486"/>
      <c r="CQ6" s="486"/>
      <c r="CR6" s="486"/>
      <c r="CS6" s="486"/>
      <c r="CT6" s="486"/>
      <c r="CU6" s="486"/>
      <c r="CV6" s="486"/>
      <c r="CW6" s="486"/>
      <c r="CX6" s="486"/>
      <c r="CY6" s="486"/>
      <c r="CZ6" s="486"/>
      <c r="DA6" s="486"/>
      <c r="DB6" s="486"/>
      <c r="DC6" s="486"/>
      <c r="DD6" s="486"/>
      <c r="DE6" s="486"/>
      <c r="DF6" s="486"/>
      <c r="DG6" s="486"/>
      <c r="DH6" s="486"/>
      <c r="DI6" s="486"/>
      <c r="DJ6" s="486"/>
      <c r="DK6" s="486"/>
      <c r="DL6" s="486"/>
      <c r="DM6" s="486"/>
      <c r="DN6" s="486"/>
      <c r="DO6" s="486"/>
      <c r="DP6" s="486"/>
      <c r="DQ6" s="486"/>
      <c r="DR6" s="486"/>
      <c r="DS6" s="486"/>
      <c r="DT6" s="486"/>
      <c r="DU6" s="486"/>
      <c r="DV6" s="486"/>
      <c r="DW6" s="486"/>
      <c r="DX6" s="486"/>
      <c r="DY6" s="486"/>
      <c r="DZ6" s="486"/>
      <c r="EA6" s="486"/>
      <c r="EB6" s="486"/>
      <c r="EC6" s="486"/>
      <c r="ED6" s="486"/>
      <c r="EE6" s="486"/>
      <c r="EF6" s="486"/>
      <c r="EG6" s="486"/>
      <c r="EH6" s="486"/>
      <c r="EI6" s="486"/>
      <c r="EJ6" s="486"/>
      <c r="EK6" s="486"/>
      <c r="EL6" s="486"/>
      <c r="EM6" s="486"/>
      <c r="EN6" s="486"/>
      <c r="EO6" s="486"/>
      <c r="EP6" s="486"/>
      <c r="EQ6" s="486"/>
      <c r="ER6" s="486"/>
      <c r="ES6" s="486"/>
      <c r="ET6" s="486"/>
      <c r="EU6" s="486"/>
      <c r="EV6" s="486"/>
      <c r="EW6" s="486"/>
      <c r="EX6" s="486"/>
      <c r="EY6" s="486"/>
      <c r="EZ6" s="486"/>
      <c r="FA6" s="486"/>
      <c r="FB6" s="486"/>
      <c r="FC6" s="486"/>
      <c r="FD6" s="486"/>
      <c r="FE6" s="486"/>
      <c r="FF6" s="486"/>
      <c r="FG6" s="486"/>
      <c r="FH6" s="486"/>
      <c r="FI6" s="486"/>
      <c r="FJ6" s="486"/>
      <c r="FK6" s="486"/>
      <c r="FL6" s="486"/>
      <c r="FM6" s="486"/>
      <c r="FN6" s="486"/>
      <c r="FO6" s="486"/>
      <c r="FP6" s="486"/>
      <c r="FQ6" s="486"/>
      <c r="FR6" s="486"/>
      <c r="FS6" s="486"/>
      <c r="FT6" s="486"/>
      <c r="FU6" s="486"/>
      <c r="FV6" s="486"/>
      <c r="FW6" s="486"/>
      <c r="FX6" s="486"/>
      <c r="FY6" s="486"/>
      <c r="FZ6" s="486"/>
      <c r="GA6" s="486"/>
      <c r="GB6" s="486"/>
      <c r="GC6" s="486"/>
      <c r="GD6" s="486"/>
      <c r="GE6" s="486"/>
      <c r="GF6" s="486"/>
      <c r="GG6" s="486"/>
      <c r="GH6" s="486"/>
      <c r="GI6" s="486"/>
      <c r="GJ6" s="486"/>
      <c r="GK6" s="486"/>
      <c r="GL6" s="486"/>
      <c r="GM6" s="486"/>
      <c r="GN6" s="486"/>
      <c r="GO6" s="486"/>
      <c r="GP6" s="486"/>
      <c r="GQ6" s="486"/>
      <c r="GR6" s="486"/>
      <c r="GS6" s="486"/>
      <c r="GT6" s="486"/>
      <c r="GU6" s="486"/>
      <c r="GV6" s="486"/>
      <c r="GW6" s="486"/>
      <c r="GX6" s="486"/>
      <c r="GY6" s="486"/>
      <c r="GZ6" s="486"/>
      <c r="HA6" s="486"/>
      <c r="HB6" s="486"/>
      <c r="HC6" s="486"/>
      <c r="HD6" s="486"/>
      <c r="HE6" s="486"/>
      <c r="HF6" s="486"/>
      <c r="HG6" s="486"/>
      <c r="HH6" s="486"/>
      <c r="HI6" s="486"/>
      <c r="HJ6" s="486"/>
      <c r="HK6" s="486"/>
      <c r="HL6" s="486"/>
      <c r="HM6" s="486"/>
      <c r="HN6" s="486"/>
      <c r="HO6" s="486"/>
      <c r="HP6" s="486"/>
      <c r="HQ6" s="486"/>
      <c r="HR6" s="486"/>
      <c r="HS6" s="486"/>
      <c r="HT6" s="486"/>
      <c r="HU6" s="486"/>
      <c r="HV6" s="486"/>
      <c r="HW6" s="486"/>
      <c r="HX6" s="486"/>
      <c r="HY6" s="486"/>
      <c r="HZ6" s="486"/>
      <c r="IA6" s="486"/>
      <c r="IB6" s="486"/>
      <c r="IC6" s="486"/>
      <c r="ID6" s="486"/>
      <c r="IE6" s="486"/>
      <c r="IF6" s="486"/>
      <c r="IG6" s="486"/>
      <c r="IH6" s="486"/>
      <c r="II6" s="486"/>
      <c r="IJ6" s="486"/>
      <c r="IK6" s="486"/>
      <c r="IL6" s="486"/>
      <c r="IM6" s="486"/>
      <c r="IN6" s="486"/>
      <c r="IO6" s="486"/>
      <c r="IP6" s="486"/>
      <c r="IQ6" s="486"/>
      <c r="IR6" s="486"/>
      <c r="IS6" s="486"/>
      <c r="IT6" s="486"/>
      <c r="IU6" s="486"/>
    </row>
    <row r="7" spans="1:255" s="465" customFormat="1" ht="21" customHeight="1">
      <c r="A7" s="616" t="s">
        <v>607</v>
      </c>
      <c r="B7" s="485" t="s">
        <v>607</v>
      </c>
      <c r="C7" s="487">
        <v>114</v>
      </c>
      <c r="D7" s="488">
        <f>+'114 (R)'!H26</f>
        <v>679467</v>
      </c>
      <c r="E7" s="489">
        <f>+'114 (R)'!H27</f>
        <v>285741.02999999997</v>
      </c>
      <c r="F7" s="490">
        <f>+'114 (R)'!H39</f>
        <v>748736.46000000008</v>
      </c>
      <c r="G7" s="490">
        <f>+'114 (R)'!H36</f>
        <v>107.98</v>
      </c>
      <c r="H7" s="490">
        <v>0</v>
      </c>
      <c r="I7" s="490">
        <f>+'114 (R)'!H35</f>
        <v>12400</v>
      </c>
      <c r="J7" s="491">
        <f t="shared" si="0"/>
        <v>203963.58999999994</v>
      </c>
      <c r="K7" s="492">
        <v>0</v>
      </c>
      <c r="L7" s="491">
        <f t="shared" si="1"/>
        <v>203963.58999999994</v>
      </c>
      <c r="M7" s="554">
        <v>0</v>
      </c>
      <c r="N7" s="617">
        <f t="shared" si="2"/>
        <v>-203963.58999999994</v>
      </c>
      <c r="O7" s="493"/>
      <c r="P7" s="486"/>
      <c r="Q7" s="486"/>
      <c r="R7" s="486"/>
      <c r="S7" s="486"/>
      <c r="T7" s="486"/>
      <c r="U7" s="486"/>
      <c r="V7" s="486"/>
      <c r="W7" s="486"/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6"/>
      <c r="AK7" s="486"/>
      <c r="AL7" s="486"/>
      <c r="AM7" s="486"/>
      <c r="AN7" s="486"/>
      <c r="AO7" s="486"/>
      <c r="AP7" s="486"/>
      <c r="AQ7" s="486"/>
      <c r="AR7" s="486"/>
      <c r="AS7" s="486"/>
      <c r="AT7" s="486"/>
      <c r="AU7" s="486"/>
      <c r="AV7" s="486"/>
      <c r="AW7" s="486"/>
      <c r="AX7" s="486"/>
      <c r="AY7" s="486"/>
      <c r="AZ7" s="486"/>
      <c r="BA7" s="486"/>
      <c r="BB7" s="486"/>
      <c r="BC7" s="486"/>
      <c r="BD7" s="486"/>
      <c r="BE7" s="486"/>
      <c r="BF7" s="486"/>
      <c r="BG7" s="486"/>
      <c r="BH7" s="486"/>
      <c r="BI7" s="486"/>
      <c r="BJ7" s="486"/>
      <c r="BK7" s="486"/>
      <c r="BL7" s="486"/>
      <c r="BM7" s="486"/>
      <c r="BN7" s="486"/>
      <c r="BO7" s="486"/>
      <c r="BP7" s="486"/>
      <c r="BQ7" s="486"/>
      <c r="BR7" s="486"/>
      <c r="BS7" s="486"/>
      <c r="BT7" s="486"/>
      <c r="BU7" s="486"/>
      <c r="BV7" s="486"/>
      <c r="BW7" s="486"/>
      <c r="BX7" s="486"/>
      <c r="BY7" s="486"/>
      <c r="BZ7" s="486"/>
      <c r="CA7" s="486"/>
      <c r="CB7" s="486"/>
      <c r="CC7" s="486"/>
      <c r="CD7" s="486"/>
      <c r="CE7" s="486"/>
      <c r="CF7" s="486"/>
      <c r="CG7" s="486"/>
      <c r="CH7" s="486"/>
      <c r="CI7" s="486"/>
      <c r="CJ7" s="486"/>
      <c r="CK7" s="486"/>
      <c r="CL7" s="486"/>
      <c r="CM7" s="486"/>
      <c r="CN7" s="486"/>
      <c r="CO7" s="486"/>
      <c r="CP7" s="486"/>
      <c r="CQ7" s="486"/>
      <c r="CR7" s="486"/>
      <c r="CS7" s="486"/>
      <c r="CT7" s="486"/>
      <c r="CU7" s="486"/>
      <c r="CV7" s="486"/>
      <c r="CW7" s="486"/>
      <c r="CX7" s="486"/>
      <c r="CY7" s="486"/>
      <c r="CZ7" s="486"/>
      <c r="DA7" s="486"/>
      <c r="DB7" s="486"/>
      <c r="DC7" s="486"/>
      <c r="DD7" s="486"/>
      <c r="DE7" s="486"/>
      <c r="DF7" s="486"/>
      <c r="DG7" s="486"/>
      <c r="DH7" s="486"/>
      <c r="DI7" s="486"/>
      <c r="DJ7" s="486"/>
      <c r="DK7" s="486"/>
      <c r="DL7" s="486"/>
      <c r="DM7" s="486"/>
      <c r="DN7" s="486"/>
      <c r="DO7" s="486"/>
      <c r="DP7" s="486"/>
      <c r="DQ7" s="486"/>
      <c r="DR7" s="486"/>
      <c r="DS7" s="486"/>
      <c r="DT7" s="486"/>
      <c r="DU7" s="486"/>
      <c r="DV7" s="486"/>
      <c r="DW7" s="486"/>
      <c r="DX7" s="486"/>
      <c r="DY7" s="486"/>
      <c r="DZ7" s="486"/>
      <c r="EA7" s="486"/>
      <c r="EB7" s="486"/>
      <c r="EC7" s="486"/>
      <c r="ED7" s="486"/>
      <c r="EE7" s="486"/>
      <c r="EF7" s="486"/>
      <c r="EG7" s="486"/>
      <c r="EH7" s="486"/>
      <c r="EI7" s="486"/>
      <c r="EJ7" s="486"/>
      <c r="EK7" s="486"/>
      <c r="EL7" s="486"/>
      <c r="EM7" s="486"/>
      <c r="EN7" s="486"/>
      <c r="EO7" s="486"/>
      <c r="EP7" s="486"/>
      <c r="EQ7" s="486"/>
      <c r="ER7" s="486"/>
      <c r="ES7" s="486"/>
      <c r="ET7" s="486"/>
      <c r="EU7" s="486"/>
      <c r="EV7" s="486"/>
      <c r="EW7" s="486"/>
      <c r="EX7" s="486"/>
      <c r="EY7" s="486"/>
      <c r="EZ7" s="486"/>
      <c r="FA7" s="486"/>
      <c r="FB7" s="486"/>
      <c r="FC7" s="486"/>
      <c r="FD7" s="486"/>
      <c r="FE7" s="486"/>
      <c r="FF7" s="486"/>
      <c r="FG7" s="486"/>
      <c r="FH7" s="486"/>
      <c r="FI7" s="486"/>
      <c r="FJ7" s="486"/>
      <c r="FK7" s="486"/>
      <c r="FL7" s="486"/>
      <c r="FM7" s="486"/>
      <c r="FN7" s="486"/>
      <c r="FO7" s="486"/>
      <c r="FP7" s="486"/>
      <c r="FQ7" s="486"/>
      <c r="FR7" s="486"/>
      <c r="FS7" s="486"/>
      <c r="FT7" s="486"/>
      <c r="FU7" s="486"/>
      <c r="FV7" s="486"/>
      <c r="FW7" s="486"/>
      <c r="FX7" s="486"/>
      <c r="FY7" s="486"/>
      <c r="FZ7" s="486"/>
      <c r="GA7" s="486"/>
      <c r="GB7" s="486"/>
      <c r="GC7" s="486"/>
      <c r="GD7" s="486"/>
      <c r="GE7" s="486"/>
      <c r="GF7" s="486"/>
      <c r="GG7" s="486"/>
      <c r="GH7" s="486"/>
      <c r="GI7" s="486"/>
      <c r="GJ7" s="486"/>
      <c r="GK7" s="486"/>
      <c r="GL7" s="486"/>
      <c r="GM7" s="486"/>
      <c r="GN7" s="486"/>
      <c r="GO7" s="486"/>
      <c r="GP7" s="486"/>
      <c r="GQ7" s="486"/>
      <c r="GR7" s="486"/>
      <c r="GS7" s="486"/>
      <c r="GT7" s="486"/>
      <c r="GU7" s="486"/>
      <c r="GV7" s="486"/>
      <c r="GW7" s="486"/>
      <c r="GX7" s="486"/>
      <c r="GY7" s="486"/>
      <c r="GZ7" s="486"/>
      <c r="HA7" s="486"/>
      <c r="HB7" s="486"/>
      <c r="HC7" s="486"/>
      <c r="HD7" s="486"/>
      <c r="HE7" s="486"/>
      <c r="HF7" s="486"/>
      <c r="HG7" s="486"/>
      <c r="HH7" s="486"/>
      <c r="HI7" s="486"/>
      <c r="HJ7" s="486"/>
      <c r="HK7" s="486"/>
      <c r="HL7" s="486"/>
      <c r="HM7" s="486"/>
      <c r="HN7" s="486"/>
      <c r="HO7" s="486"/>
      <c r="HP7" s="486"/>
      <c r="HQ7" s="486"/>
      <c r="HR7" s="486"/>
      <c r="HS7" s="486"/>
      <c r="HT7" s="486"/>
      <c r="HU7" s="486"/>
      <c r="HV7" s="486"/>
      <c r="HW7" s="486"/>
      <c r="HX7" s="486"/>
      <c r="HY7" s="486"/>
      <c r="HZ7" s="486"/>
      <c r="IA7" s="486"/>
      <c r="IB7" s="486"/>
      <c r="IC7" s="486"/>
      <c r="ID7" s="486"/>
      <c r="IE7" s="486"/>
      <c r="IF7" s="486"/>
      <c r="IG7" s="486"/>
      <c r="IH7" s="486"/>
      <c r="II7" s="486"/>
      <c r="IJ7" s="486"/>
      <c r="IK7" s="486"/>
      <c r="IL7" s="486"/>
      <c r="IM7" s="486"/>
      <c r="IN7" s="486"/>
      <c r="IO7" s="486"/>
      <c r="IP7" s="486"/>
      <c r="IQ7" s="486"/>
      <c r="IR7" s="486"/>
      <c r="IS7" s="486"/>
      <c r="IT7" s="486"/>
      <c r="IU7" s="486"/>
    </row>
    <row r="8" spans="1:255" s="465" customFormat="1" ht="21" customHeight="1">
      <c r="A8" s="616" t="s">
        <v>607</v>
      </c>
      <c r="B8" s="485" t="s">
        <v>826</v>
      </c>
      <c r="C8" s="487">
        <v>119</v>
      </c>
      <c r="D8" s="488">
        <f>+'119 (R)'!H25</f>
        <v>521802</v>
      </c>
      <c r="E8" s="490">
        <f>+'119 (R)'!H26</f>
        <v>229036.09000000003</v>
      </c>
      <c r="F8" s="490">
        <f>+'119 (R)'!H38</f>
        <v>577189.78</v>
      </c>
      <c r="G8" s="490">
        <f>+'119 (R)'!H35</f>
        <v>10.209999999999999</v>
      </c>
      <c r="H8" s="490">
        <v>0</v>
      </c>
      <c r="I8" s="490">
        <f>+'119 (R)'!H34</f>
        <v>32150</v>
      </c>
      <c r="J8" s="491">
        <f t="shared" si="0"/>
        <v>141488.10000000006</v>
      </c>
      <c r="K8" s="492">
        <v>0</v>
      </c>
      <c r="L8" s="491">
        <f t="shared" si="1"/>
        <v>141488.10000000006</v>
      </c>
      <c r="M8" s="554">
        <v>0</v>
      </c>
      <c r="N8" s="617">
        <f t="shared" si="2"/>
        <v>-141488.10000000006</v>
      </c>
      <c r="O8" s="493"/>
      <c r="P8" s="486"/>
      <c r="Q8" s="486"/>
      <c r="R8" s="486"/>
      <c r="S8" s="486"/>
      <c r="T8" s="486"/>
      <c r="U8" s="486"/>
      <c r="V8" s="486"/>
      <c r="W8" s="486"/>
      <c r="X8" s="486"/>
      <c r="Y8" s="486"/>
      <c r="Z8" s="486"/>
      <c r="AA8" s="486"/>
      <c r="AB8" s="486"/>
      <c r="AC8" s="486"/>
      <c r="AD8" s="486"/>
      <c r="AE8" s="486"/>
      <c r="AF8" s="486"/>
      <c r="AG8" s="486"/>
      <c r="AH8" s="486"/>
      <c r="AI8" s="486"/>
      <c r="AJ8" s="486"/>
      <c r="AK8" s="486"/>
      <c r="AL8" s="486"/>
      <c r="AM8" s="486"/>
      <c r="AN8" s="486"/>
      <c r="AO8" s="486"/>
      <c r="AP8" s="486"/>
      <c r="AQ8" s="486"/>
      <c r="AR8" s="486"/>
      <c r="AS8" s="486"/>
      <c r="AT8" s="486"/>
      <c r="AU8" s="486"/>
      <c r="AV8" s="486"/>
      <c r="AW8" s="486"/>
      <c r="AX8" s="486"/>
      <c r="AY8" s="486"/>
      <c r="AZ8" s="486"/>
      <c r="BA8" s="486"/>
      <c r="BB8" s="486"/>
      <c r="BC8" s="486"/>
      <c r="BD8" s="486"/>
      <c r="BE8" s="486"/>
      <c r="BF8" s="486"/>
      <c r="BG8" s="486"/>
      <c r="BH8" s="486"/>
      <c r="BI8" s="486"/>
      <c r="BJ8" s="486"/>
      <c r="BK8" s="486"/>
      <c r="BL8" s="486"/>
      <c r="BM8" s="486"/>
      <c r="BN8" s="486"/>
      <c r="BO8" s="486"/>
      <c r="BP8" s="486"/>
      <c r="BQ8" s="486"/>
      <c r="BR8" s="486"/>
      <c r="BS8" s="486"/>
      <c r="BT8" s="486"/>
      <c r="BU8" s="486"/>
      <c r="BV8" s="486"/>
      <c r="BW8" s="486"/>
      <c r="BX8" s="486"/>
      <c r="BY8" s="486"/>
      <c r="BZ8" s="486"/>
      <c r="CA8" s="486"/>
      <c r="CB8" s="486"/>
      <c r="CC8" s="486"/>
      <c r="CD8" s="486"/>
      <c r="CE8" s="486"/>
      <c r="CF8" s="486"/>
      <c r="CG8" s="486"/>
      <c r="CH8" s="486"/>
      <c r="CI8" s="486"/>
      <c r="CJ8" s="486"/>
      <c r="CK8" s="486"/>
      <c r="CL8" s="486"/>
      <c r="CM8" s="486"/>
      <c r="CN8" s="486"/>
      <c r="CO8" s="486"/>
      <c r="CP8" s="486"/>
      <c r="CQ8" s="486"/>
      <c r="CR8" s="486"/>
      <c r="CS8" s="486"/>
      <c r="CT8" s="486"/>
      <c r="CU8" s="486"/>
      <c r="CV8" s="486"/>
      <c r="CW8" s="486"/>
      <c r="CX8" s="486"/>
      <c r="CY8" s="486"/>
      <c r="CZ8" s="486"/>
      <c r="DA8" s="486"/>
      <c r="DB8" s="486"/>
      <c r="DC8" s="486"/>
      <c r="DD8" s="486"/>
      <c r="DE8" s="486"/>
      <c r="DF8" s="486"/>
      <c r="DG8" s="486"/>
      <c r="DH8" s="486"/>
      <c r="DI8" s="486"/>
      <c r="DJ8" s="486"/>
      <c r="DK8" s="486"/>
      <c r="DL8" s="486"/>
      <c r="DM8" s="486"/>
      <c r="DN8" s="486"/>
      <c r="DO8" s="486"/>
      <c r="DP8" s="486"/>
      <c r="DQ8" s="486"/>
      <c r="DR8" s="486"/>
      <c r="DS8" s="486"/>
      <c r="DT8" s="486"/>
      <c r="DU8" s="486"/>
      <c r="DV8" s="486"/>
      <c r="DW8" s="486"/>
      <c r="DX8" s="486"/>
      <c r="DY8" s="486"/>
      <c r="DZ8" s="486"/>
      <c r="EA8" s="486"/>
      <c r="EB8" s="486"/>
      <c r="EC8" s="486"/>
      <c r="ED8" s="486"/>
      <c r="EE8" s="486"/>
      <c r="EF8" s="486"/>
      <c r="EG8" s="486"/>
      <c r="EH8" s="486"/>
      <c r="EI8" s="486"/>
      <c r="EJ8" s="486"/>
      <c r="EK8" s="486"/>
      <c r="EL8" s="486"/>
      <c r="EM8" s="486"/>
      <c r="EN8" s="486"/>
      <c r="EO8" s="486"/>
      <c r="EP8" s="486"/>
      <c r="EQ8" s="486"/>
      <c r="ER8" s="486"/>
      <c r="ES8" s="486"/>
      <c r="ET8" s="486"/>
      <c r="EU8" s="486"/>
      <c r="EV8" s="486"/>
      <c r="EW8" s="486"/>
      <c r="EX8" s="486"/>
      <c r="EY8" s="486"/>
      <c r="EZ8" s="486"/>
      <c r="FA8" s="486"/>
      <c r="FB8" s="486"/>
      <c r="FC8" s="486"/>
      <c r="FD8" s="486"/>
      <c r="FE8" s="486"/>
      <c r="FF8" s="486"/>
      <c r="FG8" s="486"/>
      <c r="FH8" s="486"/>
      <c r="FI8" s="486"/>
      <c r="FJ8" s="486"/>
      <c r="FK8" s="486"/>
      <c r="FL8" s="486"/>
      <c r="FM8" s="486"/>
      <c r="FN8" s="486"/>
      <c r="FO8" s="486"/>
      <c r="FP8" s="486"/>
      <c r="FQ8" s="486"/>
      <c r="FR8" s="486"/>
      <c r="FS8" s="486"/>
      <c r="FT8" s="486"/>
      <c r="FU8" s="486"/>
      <c r="FV8" s="486"/>
      <c r="FW8" s="486"/>
      <c r="FX8" s="486"/>
      <c r="FY8" s="486"/>
      <c r="FZ8" s="486"/>
      <c r="GA8" s="486"/>
      <c r="GB8" s="486"/>
      <c r="GC8" s="486"/>
      <c r="GD8" s="486"/>
      <c r="GE8" s="486"/>
      <c r="GF8" s="486"/>
      <c r="GG8" s="486"/>
      <c r="GH8" s="486"/>
      <c r="GI8" s="486"/>
      <c r="GJ8" s="486"/>
      <c r="GK8" s="486"/>
      <c r="GL8" s="486"/>
      <c r="GM8" s="486"/>
      <c r="GN8" s="486"/>
      <c r="GO8" s="486"/>
      <c r="GP8" s="486"/>
      <c r="GQ8" s="486"/>
      <c r="GR8" s="486"/>
      <c r="GS8" s="486"/>
      <c r="GT8" s="486"/>
      <c r="GU8" s="486"/>
      <c r="GV8" s="486"/>
      <c r="GW8" s="486"/>
      <c r="GX8" s="486"/>
      <c r="GY8" s="486"/>
      <c r="GZ8" s="486"/>
      <c r="HA8" s="486"/>
      <c r="HB8" s="486"/>
      <c r="HC8" s="486"/>
      <c r="HD8" s="486"/>
      <c r="HE8" s="486"/>
      <c r="HF8" s="486"/>
      <c r="HG8" s="486"/>
      <c r="HH8" s="486"/>
      <c r="HI8" s="486"/>
      <c r="HJ8" s="486"/>
      <c r="HK8" s="486"/>
      <c r="HL8" s="486"/>
      <c r="HM8" s="486"/>
      <c r="HN8" s="486"/>
      <c r="HO8" s="486"/>
      <c r="HP8" s="486"/>
      <c r="HQ8" s="486"/>
      <c r="HR8" s="486"/>
      <c r="HS8" s="486"/>
      <c r="HT8" s="486"/>
      <c r="HU8" s="486"/>
      <c r="HV8" s="486"/>
      <c r="HW8" s="486"/>
      <c r="HX8" s="486"/>
      <c r="HY8" s="486"/>
      <c r="HZ8" s="486"/>
      <c r="IA8" s="486"/>
      <c r="IB8" s="486"/>
      <c r="IC8" s="486"/>
      <c r="ID8" s="486"/>
      <c r="IE8" s="486"/>
      <c r="IF8" s="486"/>
      <c r="IG8" s="486"/>
      <c r="IH8" s="486"/>
      <c r="II8" s="486"/>
      <c r="IJ8" s="486"/>
      <c r="IK8" s="486"/>
      <c r="IL8" s="486"/>
      <c r="IM8" s="486"/>
      <c r="IN8" s="486"/>
      <c r="IO8" s="486"/>
      <c r="IP8" s="486"/>
      <c r="IQ8" s="486"/>
      <c r="IR8" s="486"/>
      <c r="IS8" s="486"/>
      <c r="IT8" s="486"/>
      <c r="IU8" s="486"/>
    </row>
    <row r="9" spans="1:255" s="465" customFormat="1" ht="21" customHeight="1">
      <c r="A9" s="616" t="s">
        <v>607</v>
      </c>
      <c r="B9" s="485" t="s">
        <v>827</v>
      </c>
      <c r="C9" s="487">
        <v>115</v>
      </c>
      <c r="D9" s="488">
        <f>+'115 (R)'!H26</f>
        <v>560307</v>
      </c>
      <c r="E9" s="489">
        <f>+'115 (R)'!H27</f>
        <v>354253.44</v>
      </c>
      <c r="F9" s="490">
        <f>+'115 (R)'!H39</f>
        <v>764607.61</v>
      </c>
      <c r="G9" s="490">
        <f>+'115 (R)'!H36</f>
        <v>0.01</v>
      </c>
      <c r="H9" s="490">
        <v>0</v>
      </c>
      <c r="I9" s="490">
        <f>+'115 (R)'!H35</f>
        <v>54600</v>
      </c>
      <c r="J9" s="491">
        <f t="shared" si="0"/>
        <v>95352.819999999949</v>
      </c>
      <c r="K9" s="492">
        <v>0</v>
      </c>
      <c r="L9" s="491">
        <f t="shared" si="1"/>
        <v>95352.819999999949</v>
      </c>
      <c r="M9" s="554">
        <v>0</v>
      </c>
      <c r="N9" s="617">
        <f t="shared" si="2"/>
        <v>-95352.819999999949</v>
      </c>
      <c r="O9" s="493"/>
      <c r="P9" s="486"/>
      <c r="Q9" s="486"/>
      <c r="R9" s="486"/>
      <c r="S9" s="486"/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  <c r="AO9" s="486"/>
      <c r="AP9" s="486"/>
      <c r="AQ9" s="486"/>
      <c r="AR9" s="486"/>
      <c r="AS9" s="486"/>
      <c r="AT9" s="486"/>
      <c r="AU9" s="486"/>
      <c r="AV9" s="486"/>
      <c r="AW9" s="486"/>
      <c r="AX9" s="486"/>
      <c r="AY9" s="486"/>
      <c r="AZ9" s="486"/>
      <c r="BA9" s="486"/>
      <c r="BB9" s="486"/>
      <c r="BC9" s="486"/>
      <c r="BD9" s="486"/>
      <c r="BE9" s="486"/>
      <c r="BF9" s="486"/>
      <c r="BG9" s="486"/>
      <c r="BH9" s="486"/>
      <c r="BI9" s="486"/>
      <c r="BJ9" s="486"/>
      <c r="BK9" s="486"/>
      <c r="BL9" s="486"/>
      <c r="BM9" s="486"/>
      <c r="BN9" s="486"/>
      <c r="BO9" s="486"/>
      <c r="BP9" s="486"/>
      <c r="BQ9" s="486"/>
      <c r="BR9" s="486"/>
      <c r="BS9" s="486"/>
      <c r="BT9" s="486"/>
      <c r="BU9" s="486"/>
      <c r="BV9" s="486"/>
      <c r="BW9" s="486"/>
      <c r="BX9" s="486"/>
      <c r="BY9" s="486"/>
      <c r="BZ9" s="486"/>
      <c r="CA9" s="486"/>
      <c r="CB9" s="486"/>
      <c r="CC9" s="486"/>
      <c r="CD9" s="486"/>
      <c r="CE9" s="486"/>
      <c r="CF9" s="486"/>
      <c r="CG9" s="486"/>
      <c r="CH9" s="486"/>
      <c r="CI9" s="486"/>
      <c r="CJ9" s="486"/>
      <c r="CK9" s="486"/>
      <c r="CL9" s="486"/>
      <c r="CM9" s="486"/>
      <c r="CN9" s="486"/>
      <c r="CO9" s="486"/>
      <c r="CP9" s="486"/>
      <c r="CQ9" s="486"/>
      <c r="CR9" s="486"/>
      <c r="CS9" s="486"/>
      <c r="CT9" s="486"/>
      <c r="CU9" s="486"/>
      <c r="CV9" s="486"/>
      <c r="CW9" s="486"/>
      <c r="CX9" s="486"/>
      <c r="CY9" s="486"/>
      <c r="CZ9" s="486"/>
      <c r="DA9" s="486"/>
      <c r="DB9" s="486"/>
      <c r="DC9" s="486"/>
      <c r="DD9" s="486"/>
      <c r="DE9" s="486"/>
      <c r="DF9" s="486"/>
      <c r="DG9" s="486"/>
      <c r="DH9" s="486"/>
      <c r="DI9" s="486"/>
      <c r="DJ9" s="486"/>
      <c r="DK9" s="486"/>
      <c r="DL9" s="486"/>
      <c r="DM9" s="486"/>
      <c r="DN9" s="486"/>
      <c r="DO9" s="486"/>
      <c r="DP9" s="486"/>
      <c r="DQ9" s="486"/>
      <c r="DR9" s="486"/>
      <c r="DS9" s="486"/>
      <c r="DT9" s="486"/>
      <c r="DU9" s="486"/>
      <c r="DV9" s="486"/>
      <c r="DW9" s="486"/>
      <c r="DX9" s="486"/>
      <c r="DY9" s="486"/>
      <c r="DZ9" s="486"/>
      <c r="EA9" s="486"/>
      <c r="EB9" s="486"/>
      <c r="EC9" s="486"/>
      <c r="ED9" s="486"/>
      <c r="EE9" s="486"/>
      <c r="EF9" s="486"/>
      <c r="EG9" s="486"/>
      <c r="EH9" s="486"/>
      <c r="EI9" s="486"/>
      <c r="EJ9" s="486"/>
      <c r="EK9" s="486"/>
      <c r="EL9" s="486"/>
      <c r="EM9" s="486"/>
      <c r="EN9" s="486"/>
      <c r="EO9" s="486"/>
      <c r="EP9" s="486"/>
      <c r="EQ9" s="486"/>
      <c r="ER9" s="486"/>
      <c r="ES9" s="486"/>
      <c r="ET9" s="486"/>
      <c r="EU9" s="486"/>
      <c r="EV9" s="486"/>
      <c r="EW9" s="486"/>
      <c r="EX9" s="486"/>
      <c r="EY9" s="486"/>
      <c r="EZ9" s="486"/>
      <c r="FA9" s="486"/>
      <c r="FB9" s="486"/>
      <c r="FC9" s="486"/>
      <c r="FD9" s="486"/>
      <c r="FE9" s="486"/>
      <c r="FF9" s="486"/>
      <c r="FG9" s="486"/>
      <c r="FH9" s="486"/>
      <c r="FI9" s="486"/>
      <c r="FJ9" s="486"/>
      <c r="FK9" s="486"/>
      <c r="FL9" s="486"/>
      <c r="FM9" s="486"/>
      <c r="FN9" s="486"/>
      <c r="FO9" s="486"/>
      <c r="FP9" s="486"/>
      <c r="FQ9" s="486"/>
      <c r="FR9" s="486"/>
      <c r="FS9" s="486"/>
      <c r="FT9" s="486"/>
      <c r="FU9" s="486"/>
      <c r="FV9" s="486"/>
      <c r="FW9" s="486"/>
      <c r="FX9" s="486"/>
      <c r="FY9" s="486"/>
      <c r="FZ9" s="486"/>
      <c r="GA9" s="486"/>
      <c r="GB9" s="486"/>
      <c r="GC9" s="486"/>
      <c r="GD9" s="486"/>
      <c r="GE9" s="486"/>
      <c r="GF9" s="486"/>
      <c r="GG9" s="486"/>
      <c r="GH9" s="486"/>
      <c r="GI9" s="486"/>
      <c r="GJ9" s="486"/>
      <c r="GK9" s="486"/>
      <c r="GL9" s="486"/>
      <c r="GM9" s="486"/>
      <c r="GN9" s="486"/>
      <c r="GO9" s="486"/>
      <c r="GP9" s="486"/>
      <c r="GQ9" s="486"/>
      <c r="GR9" s="486"/>
      <c r="GS9" s="486"/>
      <c r="GT9" s="486"/>
      <c r="GU9" s="486"/>
      <c r="GV9" s="486"/>
      <c r="GW9" s="486"/>
      <c r="GX9" s="486"/>
      <c r="GY9" s="486"/>
      <c r="GZ9" s="486"/>
      <c r="HA9" s="486"/>
      <c r="HB9" s="486"/>
      <c r="HC9" s="486"/>
      <c r="HD9" s="486"/>
      <c r="HE9" s="486"/>
      <c r="HF9" s="486"/>
      <c r="HG9" s="486"/>
      <c r="HH9" s="486"/>
      <c r="HI9" s="486"/>
      <c r="HJ9" s="486"/>
      <c r="HK9" s="486"/>
      <c r="HL9" s="486"/>
      <c r="HM9" s="486"/>
      <c r="HN9" s="486"/>
      <c r="HO9" s="486"/>
      <c r="HP9" s="486"/>
      <c r="HQ9" s="486"/>
      <c r="HR9" s="486"/>
      <c r="HS9" s="486"/>
      <c r="HT9" s="486"/>
      <c r="HU9" s="486"/>
      <c r="HV9" s="486"/>
      <c r="HW9" s="486"/>
      <c r="HX9" s="486"/>
      <c r="HY9" s="486"/>
      <c r="HZ9" s="486"/>
      <c r="IA9" s="486"/>
      <c r="IB9" s="486"/>
      <c r="IC9" s="486"/>
      <c r="ID9" s="486"/>
      <c r="IE9" s="486"/>
      <c r="IF9" s="486"/>
      <c r="IG9" s="486"/>
      <c r="IH9" s="486"/>
      <c r="II9" s="486"/>
      <c r="IJ9" s="486"/>
      <c r="IK9" s="486"/>
      <c r="IL9" s="486"/>
      <c r="IM9" s="486"/>
      <c r="IN9" s="486"/>
      <c r="IO9" s="486"/>
      <c r="IP9" s="486"/>
      <c r="IQ9" s="486"/>
      <c r="IR9" s="486"/>
      <c r="IS9" s="486"/>
      <c r="IT9" s="486"/>
      <c r="IU9" s="486"/>
    </row>
    <row r="10" spans="1:255" s="465" customFormat="1" ht="21" customHeight="1">
      <c r="A10" s="616" t="s">
        <v>607</v>
      </c>
      <c r="B10" s="485" t="s">
        <v>828</v>
      </c>
      <c r="C10" s="487">
        <v>120</v>
      </c>
      <c r="D10" s="494">
        <f>+'120 (R)'!H26</f>
        <v>665695</v>
      </c>
      <c r="E10" s="490">
        <f>+'120 (R)'!H27</f>
        <v>317995.65999999997</v>
      </c>
      <c r="F10" s="490">
        <f>+'120 (R)'!H39</f>
        <v>769155.81</v>
      </c>
      <c r="G10" s="490">
        <f>+'120 (R)'!H36</f>
        <v>55.12</v>
      </c>
      <c r="H10" s="490">
        <v>0</v>
      </c>
      <c r="I10" s="490">
        <f>+'120 (R)'!H35</f>
        <v>36450</v>
      </c>
      <c r="J10" s="491">
        <f t="shared" si="0"/>
        <v>178029.72999999986</v>
      </c>
      <c r="K10" s="492">
        <v>0</v>
      </c>
      <c r="L10" s="491">
        <f t="shared" si="1"/>
        <v>178029.72999999986</v>
      </c>
      <c r="M10" s="554">
        <v>0</v>
      </c>
      <c r="N10" s="617">
        <f t="shared" si="2"/>
        <v>-178029.72999999986</v>
      </c>
      <c r="O10" s="493"/>
      <c r="P10" s="486"/>
      <c r="Q10" s="486"/>
      <c r="R10" s="486"/>
      <c r="S10" s="486"/>
      <c r="T10" s="486"/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  <c r="AK10" s="486"/>
      <c r="AL10" s="486"/>
      <c r="AM10" s="486"/>
      <c r="AN10" s="486"/>
      <c r="AO10" s="486"/>
      <c r="AP10" s="486"/>
      <c r="AQ10" s="486"/>
      <c r="AR10" s="486"/>
      <c r="AS10" s="486"/>
      <c r="AT10" s="486"/>
      <c r="AU10" s="486"/>
      <c r="AV10" s="486"/>
      <c r="AW10" s="486"/>
      <c r="AX10" s="486"/>
      <c r="AY10" s="486"/>
      <c r="AZ10" s="486"/>
      <c r="BA10" s="486"/>
      <c r="BB10" s="486"/>
      <c r="BC10" s="486"/>
      <c r="BD10" s="486"/>
      <c r="BE10" s="486"/>
      <c r="BF10" s="486"/>
      <c r="BG10" s="486"/>
      <c r="BH10" s="486"/>
      <c r="BI10" s="486"/>
      <c r="BJ10" s="486"/>
      <c r="BK10" s="486"/>
      <c r="BL10" s="486"/>
      <c r="BM10" s="486"/>
      <c r="BN10" s="486"/>
      <c r="BO10" s="486"/>
      <c r="BP10" s="486"/>
      <c r="BQ10" s="486"/>
      <c r="BR10" s="486"/>
      <c r="BS10" s="486"/>
      <c r="BT10" s="486"/>
      <c r="BU10" s="486"/>
      <c r="BV10" s="486"/>
      <c r="BW10" s="486"/>
      <c r="BX10" s="486"/>
      <c r="BY10" s="486"/>
      <c r="BZ10" s="486"/>
      <c r="CA10" s="486"/>
      <c r="CB10" s="486"/>
      <c r="CC10" s="486"/>
      <c r="CD10" s="486"/>
      <c r="CE10" s="486"/>
      <c r="CF10" s="486"/>
      <c r="CG10" s="486"/>
      <c r="CH10" s="486"/>
      <c r="CI10" s="486"/>
      <c r="CJ10" s="486"/>
      <c r="CK10" s="486"/>
      <c r="CL10" s="486"/>
      <c r="CM10" s="486"/>
      <c r="CN10" s="486"/>
      <c r="CO10" s="486"/>
      <c r="CP10" s="486"/>
      <c r="CQ10" s="486"/>
      <c r="CR10" s="486"/>
      <c r="CS10" s="486"/>
      <c r="CT10" s="486"/>
      <c r="CU10" s="486"/>
      <c r="CV10" s="486"/>
      <c r="CW10" s="486"/>
      <c r="CX10" s="486"/>
      <c r="CY10" s="486"/>
      <c r="CZ10" s="486"/>
      <c r="DA10" s="486"/>
      <c r="DB10" s="486"/>
      <c r="DC10" s="486"/>
      <c r="DD10" s="486"/>
      <c r="DE10" s="486"/>
      <c r="DF10" s="486"/>
      <c r="DG10" s="486"/>
      <c r="DH10" s="486"/>
      <c r="DI10" s="486"/>
      <c r="DJ10" s="486"/>
      <c r="DK10" s="486"/>
      <c r="DL10" s="486"/>
      <c r="DM10" s="486"/>
      <c r="DN10" s="486"/>
      <c r="DO10" s="486"/>
      <c r="DP10" s="486"/>
      <c r="DQ10" s="486"/>
      <c r="DR10" s="486"/>
      <c r="DS10" s="486"/>
      <c r="DT10" s="486"/>
      <c r="DU10" s="486"/>
      <c r="DV10" s="486"/>
      <c r="DW10" s="486"/>
      <c r="DX10" s="486"/>
      <c r="DY10" s="486"/>
      <c r="DZ10" s="486"/>
      <c r="EA10" s="486"/>
      <c r="EB10" s="486"/>
      <c r="EC10" s="486"/>
      <c r="ED10" s="486"/>
      <c r="EE10" s="486"/>
      <c r="EF10" s="486"/>
      <c r="EG10" s="486"/>
      <c r="EH10" s="486"/>
      <c r="EI10" s="486"/>
      <c r="EJ10" s="486"/>
      <c r="EK10" s="486"/>
      <c r="EL10" s="486"/>
      <c r="EM10" s="486"/>
      <c r="EN10" s="486"/>
      <c r="EO10" s="486"/>
      <c r="EP10" s="486"/>
      <c r="EQ10" s="486"/>
      <c r="ER10" s="486"/>
      <c r="ES10" s="486"/>
      <c r="ET10" s="486"/>
      <c r="EU10" s="486"/>
      <c r="EV10" s="486"/>
      <c r="EW10" s="486"/>
      <c r="EX10" s="486"/>
      <c r="EY10" s="486"/>
      <c r="EZ10" s="486"/>
      <c r="FA10" s="486"/>
      <c r="FB10" s="486"/>
      <c r="FC10" s="486"/>
      <c r="FD10" s="486"/>
      <c r="FE10" s="486"/>
      <c r="FF10" s="486"/>
      <c r="FG10" s="486"/>
      <c r="FH10" s="486"/>
      <c r="FI10" s="486"/>
      <c r="FJ10" s="486"/>
      <c r="FK10" s="486"/>
      <c r="FL10" s="486"/>
      <c r="FM10" s="486"/>
      <c r="FN10" s="486"/>
      <c r="FO10" s="486"/>
      <c r="FP10" s="486"/>
      <c r="FQ10" s="486"/>
      <c r="FR10" s="486"/>
      <c r="FS10" s="486"/>
      <c r="FT10" s="486"/>
      <c r="FU10" s="486"/>
      <c r="FV10" s="486"/>
      <c r="FW10" s="486"/>
      <c r="FX10" s="486"/>
      <c r="FY10" s="486"/>
      <c r="FZ10" s="486"/>
      <c r="GA10" s="486"/>
      <c r="GB10" s="486"/>
      <c r="GC10" s="486"/>
      <c r="GD10" s="486"/>
      <c r="GE10" s="486"/>
      <c r="GF10" s="486"/>
      <c r="GG10" s="486"/>
      <c r="GH10" s="486"/>
      <c r="GI10" s="486"/>
      <c r="GJ10" s="486"/>
      <c r="GK10" s="486"/>
      <c r="GL10" s="486"/>
      <c r="GM10" s="486"/>
      <c r="GN10" s="486"/>
      <c r="GO10" s="486"/>
      <c r="GP10" s="486"/>
      <c r="GQ10" s="486"/>
      <c r="GR10" s="486"/>
      <c r="GS10" s="486"/>
      <c r="GT10" s="486"/>
      <c r="GU10" s="486"/>
      <c r="GV10" s="486"/>
      <c r="GW10" s="486"/>
      <c r="GX10" s="486"/>
      <c r="GY10" s="486"/>
      <c r="GZ10" s="486"/>
      <c r="HA10" s="486"/>
      <c r="HB10" s="486"/>
      <c r="HC10" s="486"/>
      <c r="HD10" s="486"/>
      <c r="HE10" s="486"/>
      <c r="HF10" s="486"/>
      <c r="HG10" s="486"/>
      <c r="HH10" s="486"/>
      <c r="HI10" s="486"/>
      <c r="HJ10" s="486"/>
      <c r="HK10" s="486"/>
      <c r="HL10" s="486"/>
      <c r="HM10" s="486"/>
      <c r="HN10" s="486"/>
      <c r="HO10" s="486"/>
      <c r="HP10" s="486"/>
      <c r="HQ10" s="486"/>
      <c r="HR10" s="486"/>
      <c r="HS10" s="486"/>
      <c r="HT10" s="486"/>
      <c r="HU10" s="486"/>
      <c r="HV10" s="486"/>
      <c r="HW10" s="486"/>
      <c r="HX10" s="486"/>
      <c r="HY10" s="486"/>
      <c r="HZ10" s="486"/>
      <c r="IA10" s="486"/>
      <c r="IB10" s="486"/>
      <c r="IC10" s="486"/>
      <c r="ID10" s="486"/>
      <c r="IE10" s="486"/>
      <c r="IF10" s="486"/>
      <c r="IG10" s="486"/>
      <c r="IH10" s="486"/>
      <c r="II10" s="486"/>
      <c r="IJ10" s="486"/>
      <c r="IK10" s="486"/>
      <c r="IL10" s="486"/>
      <c r="IM10" s="486"/>
      <c r="IN10" s="486"/>
      <c r="IO10" s="486"/>
      <c r="IP10" s="486"/>
      <c r="IQ10" s="486"/>
      <c r="IR10" s="486"/>
      <c r="IS10" s="486"/>
      <c r="IT10" s="486"/>
      <c r="IU10" s="486"/>
    </row>
    <row r="11" spans="1:255" s="465" customFormat="1" ht="21" customHeight="1">
      <c r="A11" s="616" t="s">
        <v>363</v>
      </c>
      <c r="B11" s="485" t="s">
        <v>111</v>
      </c>
      <c r="C11" s="487">
        <v>28</v>
      </c>
      <c r="D11" s="488">
        <f>'28 (R)'!I19</f>
        <v>4470</v>
      </c>
      <c r="E11" s="489">
        <f>+'28 (R)'!I20</f>
        <v>6265.6</v>
      </c>
      <c r="F11" s="490">
        <f>'28 (R)'!I26</f>
        <v>9007.7199999999993</v>
      </c>
      <c r="G11" s="490">
        <f>+'28 (R)'!I28</f>
        <v>610.14</v>
      </c>
      <c r="H11" s="490">
        <v>0</v>
      </c>
      <c r="I11" s="490">
        <f>'28 (R)'!I27</f>
        <v>338.24</v>
      </c>
      <c r="J11" s="491">
        <f t="shared" si="0"/>
        <v>779.50000000000114</v>
      </c>
      <c r="K11" s="492">
        <v>0</v>
      </c>
      <c r="L11" s="491">
        <f t="shared" si="1"/>
        <v>779.50000000000114</v>
      </c>
      <c r="M11" s="554">
        <v>0</v>
      </c>
      <c r="N11" s="617">
        <f t="shared" si="2"/>
        <v>-779.50000000000114</v>
      </c>
      <c r="O11" s="493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  <c r="AO11" s="486"/>
      <c r="AP11" s="486"/>
      <c r="AQ11" s="486"/>
      <c r="AR11" s="486"/>
      <c r="AS11" s="486"/>
      <c r="AT11" s="486"/>
      <c r="AU11" s="486"/>
      <c r="AV11" s="486"/>
      <c r="AW11" s="486"/>
      <c r="AX11" s="486"/>
      <c r="AY11" s="486"/>
      <c r="AZ11" s="486"/>
      <c r="BA11" s="486"/>
      <c r="BB11" s="486"/>
      <c r="BC11" s="486"/>
      <c r="BD11" s="486"/>
      <c r="BE11" s="486"/>
      <c r="BF11" s="486"/>
      <c r="BG11" s="486"/>
      <c r="BH11" s="486"/>
      <c r="BI11" s="486"/>
      <c r="BJ11" s="486"/>
      <c r="BK11" s="486"/>
      <c r="BL11" s="486"/>
      <c r="BM11" s="486"/>
      <c r="BN11" s="486"/>
      <c r="BO11" s="486"/>
      <c r="BP11" s="486"/>
      <c r="BQ11" s="486"/>
      <c r="BR11" s="486"/>
      <c r="BS11" s="486"/>
      <c r="BT11" s="486"/>
      <c r="BU11" s="486"/>
      <c r="BV11" s="486"/>
      <c r="BW11" s="486"/>
      <c r="BX11" s="486"/>
      <c r="BY11" s="486"/>
      <c r="BZ11" s="486"/>
      <c r="CA11" s="486"/>
      <c r="CB11" s="486"/>
      <c r="CC11" s="486"/>
      <c r="CD11" s="486"/>
      <c r="CE11" s="486"/>
      <c r="CF11" s="486"/>
      <c r="CG11" s="486"/>
      <c r="CH11" s="486"/>
      <c r="CI11" s="486"/>
      <c r="CJ11" s="486"/>
      <c r="CK11" s="486"/>
      <c r="CL11" s="486"/>
      <c r="CM11" s="486"/>
      <c r="CN11" s="486"/>
      <c r="CO11" s="486"/>
      <c r="CP11" s="486"/>
      <c r="CQ11" s="486"/>
      <c r="CR11" s="486"/>
      <c r="CS11" s="486"/>
      <c r="CT11" s="486"/>
      <c r="CU11" s="486"/>
      <c r="CV11" s="486"/>
      <c r="CW11" s="486"/>
      <c r="CX11" s="486"/>
      <c r="CY11" s="486"/>
      <c r="CZ11" s="486"/>
      <c r="DA11" s="486"/>
      <c r="DB11" s="486"/>
      <c r="DC11" s="486"/>
      <c r="DD11" s="486"/>
      <c r="DE11" s="486"/>
      <c r="DF11" s="486"/>
      <c r="DG11" s="486"/>
      <c r="DH11" s="486"/>
      <c r="DI11" s="486"/>
      <c r="DJ11" s="486"/>
      <c r="DK11" s="486"/>
      <c r="DL11" s="486"/>
      <c r="DM11" s="486"/>
      <c r="DN11" s="486"/>
      <c r="DO11" s="486"/>
      <c r="DP11" s="486"/>
      <c r="DQ11" s="486"/>
      <c r="DR11" s="486"/>
      <c r="DS11" s="486"/>
      <c r="DT11" s="486"/>
      <c r="DU11" s="486"/>
      <c r="DV11" s="486"/>
      <c r="DW11" s="486"/>
      <c r="DX11" s="486"/>
      <c r="DY11" s="486"/>
      <c r="DZ11" s="486"/>
      <c r="EA11" s="486"/>
      <c r="EB11" s="486"/>
      <c r="EC11" s="486"/>
      <c r="ED11" s="486"/>
      <c r="EE11" s="486"/>
      <c r="EF11" s="486"/>
      <c r="EG11" s="486"/>
      <c r="EH11" s="486"/>
      <c r="EI11" s="486"/>
      <c r="EJ11" s="486"/>
      <c r="EK11" s="486"/>
      <c r="EL11" s="486"/>
      <c r="EM11" s="486"/>
      <c r="EN11" s="486"/>
      <c r="EO11" s="486"/>
      <c r="EP11" s="486"/>
      <c r="EQ11" s="486"/>
      <c r="ER11" s="486"/>
      <c r="ES11" s="486"/>
      <c r="ET11" s="486"/>
      <c r="EU11" s="486"/>
      <c r="EV11" s="486"/>
      <c r="EW11" s="486"/>
      <c r="EX11" s="486"/>
      <c r="EY11" s="486"/>
      <c r="EZ11" s="486"/>
      <c r="FA11" s="486"/>
      <c r="FB11" s="486"/>
      <c r="FC11" s="486"/>
      <c r="FD11" s="486"/>
      <c r="FE11" s="486"/>
      <c r="FF11" s="486"/>
      <c r="FG11" s="486"/>
      <c r="FH11" s="486"/>
      <c r="FI11" s="486"/>
      <c r="FJ11" s="486"/>
      <c r="FK11" s="486"/>
      <c r="FL11" s="486"/>
      <c r="FM11" s="486"/>
      <c r="FN11" s="486"/>
      <c r="FO11" s="486"/>
      <c r="FP11" s="486"/>
      <c r="FQ11" s="486"/>
      <c r="FR11" s="486"/>
      <c r="FS11" s="486"/>
      <c r="FT11" s="486"/>
      <c r="FU11" s="486"/>
      <c r="FV11" s="486"/>
      <c r="FW11" s="486"/>
      <c r="FX11" s="486"/>
      <c r="FY11" s="486"/>
      <c r="FZ11" s="486"/>
      <c r="GA11" s="486"/>
      <c r="GB11" s="486"/>
      <c r="GC11" s="486"/>
      <c r="GD11" s="486"/>
      <c r="GE11" s="486"/>
      <c r="GF11" s="486"/>
      <c r="GG11" s="486"/>
      <c r="GH11" s="486"/>
      <c r="GI11" s="486"/>
      <c r="GJ11" s="486"/>
      <c r="GK11" s="486"/>
      <c r="GL11" s="486"/>
      <c r="GM11" s="486"/>
      <c r="GN11" s="486"/>
      <c r="GO11" s="486"/>
      <c r="GP11" s="486"/>
      <c r="GQ11" s="486"/>
      <c r="GR11" s="486"/>
      <c r="GS11" s="486"/>
      <c r="GT11" s="486"/>
      <c r="GU11" s="486"/>
      <c r="GV11" s="486"/>
      <c r="GW11" s="486"/>
      <c r="GX11" s="486"/>
      <c r="GY11" s="486"/>
      <c r="GZ11" s="486"/>
      <c r="HA11" s="486"/>
      <c r="HB11" s="486"/>
      <c r="HC11" s="486"/>
      <c r="HD11" s="486"/>
      <c r="HE11" s="486"/>
      <c r="HF11" s="486"/>
      <c r="HG11" s="486"/>
      <c r="HH11" s="486"/>
      <c r="HI11" s="486"/>
      <c r="HJ11" s="486"/>
      <c r="HK11" s="486"/>
      <c r="HL11" s="486"/>
      <c r="HM11" s="486"/>
      <c r="HN11" s="486"/>
      <c r="HO11" s="486"/>
      <c r="HP11" s="486"/>
      <c r="HQ11" s="486"/>
      <c r="HR11" s="486"/>
      <c r="HS11" s="486"/>
      <c r="HT11" s="486"/>
      <c r="HU11" s="486"/>
      <c r="HV11" s="486"/>
      <c r="HW11" s="486"/>
      <c r="HX11" s="486"/>
      <c r="HY11" s="486"/>
      <c r="HZ11" s="486"/>
      <c r="IA11" s="486"/>
      <c r="IB11" s="486"/>
      <c r="IC11" s="486"/>
      <c r="ID11" s="486"/>
      <c r="IE11" s="486"/>
      <c r="IF11" s="486"/>
      <c r="IG11" s="486"/>
      <c r="IH11" s="486"/>
      <c r="II11" s="486"/>
      <c r="IJ11" s="486"/>
      <c r="IK11" s="486"/>
      <c r="IL11" s="486"/>
      <c r="IM11" s="486"/>
      <c r="IN11" s="486"/>
      <c r="IO11" s="486"/>
      <c r="IP11" s="486"/>
      <c r="IQ11" s="486"/>
      <c r="IR11" s="486"/>
      <c r="IS11" s="486"/>
      <c r="IT11" s="486"/>
      <c r="IU11" s="486"/>
    </row>
    <row r="12" spans="1:255" s="465" customFormat="1" ht="21" customHeight="1">
      <c r="A12" s="616" t="s">
        <v>607</v>
      </c>
      <c r="B12" s="485" t="s">
        <v>607</v>
      </c>
      <c r="C12" s="487">
        <v>116</v>
      </c>
      <c r="D12" s="488">
        <f>+'116 (R)'!H26</f>
        <v>1394069</v>
      </c>
      <c r="E12" s="489">
        <f>+'116 (R)'!H27</f>
        <v>834308.22</v>
      </c>
      <c r="F12" s="490">
        <f>+'116 (R)'!H40</f>
        <v>1829568.41</v>
      </c>
      <c r="G12" s="490">
        <f>+'116 (R)'!H36</f>
        <v>303.44</v>
      </c>
      <c r="H12" s="490">
        <v>0</v>
      </c>
      <c r="I12" s="490">
        <f>+'116 (R)'!H35</f>
        <v>92668.6</v>
      </c>
      <c r="J12" s="491">
        <f t="shared" si="0"/>
        <v>305836.76999999979</v>
      </c>
      <c r="K12" s="492">
        <v>0</v>
      </c>
      <c r="L12" s="491">
        <f t="shared" si="1"/>
        <v>305836.76999999979</v>
      </c>
      <c r="M12" s="554">
        <v>0</v>
      </c>
      <c r="N12" s="617">
        <f t="shared" si="2"/>
        <v>-305836.76999999979</v>
      </c>
      <c r="O12" s="493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  <c r="AK12" s="486"/>
      <c r="AL12" s="486"/>
      <c r="AM12" s="486"/>
      <c r="AN12" s="486"/>
      <c r="AO12" s="486"/>
      <c r="AP12" s="486"/>
      <c r="AQ12" s="486"/>
      <c r="AR12" s="486"/>
      <c r="AS12" s="486"/>
      <c r="AT12" s="486"/>
      <c r="AU12" s="486"/>
      <c r="AV12" s="486"/>
      <c r="AW12" s="486"/>
      <c r="AX12" s="486"/>
      <c r="AY12" s="486"/>
      <c r="AZ12" s="486"/>
      <c r="BA12" s="486"/>
      <c r="BB12" s="486"/>
      <c r="BC12" s="486"/>
      <c r="BD12" s="486"/>
      <c r="BE12" s="486"/>
      <c r="BF12" s="486"/>
      <c r="BG12" s="486"/>
      <c r="BH12" s="486"/>
      <c r="BI12" s="486"/>
      <c r="BJ12" s="486"/>
      <c r="BK12" s="486"/>
      <c r="BL12" s="486"/>
      <c r="BM12" s="486"/>
      <c r="BN12" s="486"/>
      <c r="BO12" s="486"/>
      <c r="BP12" s="486"/>
      <c r="BQ12" s="486"/>
      <c r="BR12" s="486"/>
      <c r="BS12" s="486"/>
      <c r="BT12" s="486"/>
      <c r="BU12" s="486"/>
      <c r="BV12" s="486"/>
      <c r="BW12" s="486"/>
      <c r="BX12" s="486"/>
      <c r="BY12" s="486"/>
      <c r="BZ12" s="486"/>
      <c r="CA12" s="486"/>
      <c r="CB12" s="486"/>
      <c r="CC12" s="486"/>
      <c r="CD12" s="486"/>
      <c r="CE12" s="486"/>
      <c r="CF12" s="486"/>
      <c r="CG12" s="486"/>
      <c r="CH12" s="486"/>
      <c r="CI12" s="486"/>
      <c r="CJ12" s="486"/>
      <c r="CK12" s="486"/>
      <c r="CL12" s="486"/>
      <c r="CM12" s="486"/>
      <c r="CN12" s="486"/>
      <c r="CO12" s="486"/>
      <c r="CP12" s="486"/>
      <c r="CQ12" s="486"/>
      <c r="CR12" s="486"/>
      <c r="CS12" s="486"/>
      <c r="CT12" s="486"/>
      <c r="CU12" s="486"/>
      <c r="CV12" s="486"/>
      <c r="CW12" s="486"/>
      <c r="CX12" s="486"/>
      <c r="CY12" s="486"/>
      <c r="CZ12" s="486"/>
      <c r="DA12" s="486"/>
      <c r="DB12" s="486"/>
      <c r="DC12" s="486"/>
      <c r="DD12" s="486"/>
      <c r="DE12" s="486"/>
      <c r="DF12" s="486"/>
      <c r="DG12" s="486"/>
      <c r="DH12" s="486"/>
      <c r="DI12" s="486"/>
      <c r="DJ12" s="486"/>
      <c r="DK12" s="486"/>
      <c r="DL12" s="486"/>
      <c r="DM12" s="486"/>
      <c r="DN12" s="486"/>
      <c r="DO12" s="486"/>
      <c r="DP12" s="486"/>
      <c r="DQ12" s="486"/>
      <c r="DR12" s="486"/>
      <c r="DS12" s="486"/>
      <c r="DT12" s="486"/>
      <c r="DU12" s="486"/>
      <c r="DV12" s="486"/>
      <c r="DW12" s="486"/>
      <c r="DX12" s="486"/>
      <c r="DY12" s="486"/>
      <c r="DZ12" s="486"/>
      <c r="EA12" s="486"/>
      <c r="EB12" s="486"/>
      <c r="EC12" s="486"/>
      <c r="ED12" s="486"/>
      <c r="EE12" s="486"/>
      <c r="EF12" s="486"/>
      <c r="EG12" s="486"/>
      <c r="EH12" s="486"/>
      <c r="EI12" s="486"/>
      <c r="EJ12" s="486"/>
      <c r="EK12" s="486"/>
      <c r="EL12" s="486"/>
      <c r="EM12" s="486"/>
      <c r="EN12" s="486"/>
      <c r="EO12" s="486"/>
      <c r="EP12" s="486"/>
      <c r="EQ12" s="486"/>
      <c r="ER12" s="486"/>
      <c r="ES12" s="486"/>
      <c r="ET12" s="486"/>
      <c r="EU12" s="486"/>
      <c r="EV12" s="486"/>
      <c r="EW12" s="486"/>
      <c r="EX12" s="486"/>
      <c r="EY12" s="486"/>
      <c r="EZ12" s="486"/>
      <c r="FA12" s="486"/>
      <c r="FB12" s="486"/>
      <c r="FC12" s="486"/>
      <c r="FD12" s="486"/>
      <c r="FE12" s="486"/>
      <c r="FF12" s="486"/>
      <c r="FG12" s="486"/>
      <c r="FH12" s="486"/>
      <c r="FI12" s="486"/>
      <c r="FJ12" s="486"/>
      <c r="FK12" s="486"/>
      <c r="FL12" s="486"/>
      <c r="FM12" s="486"/>
      <c r="FN12" s="486"/>
      <c r="FO12" s="486"/>
      <c r="FP12" s="486"/>
      <c r="FQ12" s="486"/>
      <c r="FR12" s="486"/>
      <c r="FS12" s="486"/>
      <c r="FT12" s="486"/>
      <c r="FU12" s="486"/>
      <c r="FV12" s="486"/>
      <c r="FW12" s="486"/>
      <c r="FX12" s="486"/>
      <c r="FY12" s="486"/>
      <c r="FZ12" s="486"/>
      <c r="GA12" s="486"/>
      <c r="GB12" s="486"/>
      <c r="GC12" s="486"/>
      <c r="GD12" s="486"/>
      <c r="GE12" s="486"/>
      <c r="GF12" s="486"/>
      <c r="GG12" s="486"/>
      <c r="GH12" s="486"/>
      <c r="GI12" s="486"/>
      <c r="GJ12" s="486"/>
      <c r="GK12" s="486"/>
      <c r="GL12" s="486"/>
      <c r="GM12" s="486"/>
      <c r="GN12" s="486"/>
      <c r="GO12" s="486"/>
      <c r="GP12" s="486"/>
      <c r="GQ12" s="486"/>
      <c r="GR12" s="486"/>
      <c r="GS12" s="486"/>
      <c r="GT12" s="486"/>
      <c r="GU12" s="486"/>
      <c r="GV12" s="486"/>
      <c r="GW12" s="486"/>
      <c r="GX12" s="486"/>
      <c r="GY12" s="486"/>
      <c r="GZ12" s="486"/>
      <c r="HA12" s="486"/>
      <c r="HB12" s="486"/>
      <c r="HC12" s="486"/>
      <c r="HD12" s="486"/>
      <c r="HE12" s="486"/>
      <c r="HF12" s="486"/>
      <c r="HG12" s="486"/>
      <c r="HH12" s="486"/>
      <c r="HI12" s="486"/>
      <c r="HJ12" s="486"/>
      <c r="HK12" s="486"/>
      <c r="HL12" s="486"/>
      <c r="HM12" s="486"/>
      <c r="HN12" s="486"/>
      <c r="HO12" s="486"/>
      <c r="HP12" s="486"/>
      <c r="HQ12" s="486"/>
      <c r="HR12" s="486"/>
      <c r="HS12" s="486"/>
      <c r="HT12" s="486"/>
      <c r="HU12" s="486"/>
      <c r="HV12" s="486"/>
      <c r="HW12" s="486"/>
      <c r="HX12" s="486"/>
      <c r="HY12" s="486"/>
      <c r="HZ12" s="486"/>
      <c r="IA12" s="486"/>
      <c r="IB12" s="486"/>
      <c r="IC12" s="486"/>
      <c r="ID12" s="486"/>
      <c r="IE12" s="486"/>
      <c r="IF12" s="486"/>
      <c r="IG12" s="486"/>
      <c r="IH12" s="486"/>
      <c r="II12" s="486"/>
      <c r="IJ12" s="486"/>
      <c r="IK12" s="486"/>
      <c r="IL12" s="486"/>
      <c r="IM12" s="486"/>
      <c r="IN12" s="486"/>
      <c r="IO12" s="486"/>
      <c r="IP12" s="486"/>
      <c r="IQ12" s="486"/>
      <c r="IR12" s="486"/>
      <c r="IS12" s="486"/>
      <c r="IT12" s="486"/>
      <c r="IU12" s="486"/>
    </row>
    <row r="13" spans="1:255" s="465" customFormat="1" ht="21" customHeight="1">
      <c r="A13" s="616" t="s">
        <v>752</v>
      </c>
      <c r="B13" s="485" t="s">
        <v>829</v>
      </c>
      <c r="C13" s="487">
        <v>96</v>
      </c>
      <c r="D13" s="488">
        <f>'96 (R)'!G22</f>
        <v>54146</v>
      </c>
      <c r="E13" s="489">
        <f>'96 (R)'!G23</f>
        <v>105793.35</v>
      </c>
      <c r="F13" s="490">
        <f>'96 (R)'!G25</f>
        <v>130122.82</v>
      </c>
      <c r="G13" s="490">
        <v>0</v>
      </c>
      <c r="H13" s="490">
        <v>0</v>
      </c>
      <c r="I13" s="490">
        <v>0</v>
      </c>
      <c r="J13" s="491">
        <f t="shared" si="0"/>
        <v>29816.53</v>
      </c>
      <c r="K13" s="492">
        <v>0</v>
      </c>
      <c r="L13" s="491">
        <f t="shared" si="1"/>
        <v>29816.53</v>
      </c>
      <c r="M13" s="554">
        <v>0</v>
      </c>
      <c r="N13" s="617">
        <f t="shared" si="2"/>
        <v>-29816.53</v>
      </c>
      <c r="O13" s="493"/>
      <c r="P13" s="486"/>
      <c r="Q13" s="486"/>
      <c r="R13" s="486"/>
      <c r="S13" s="486"/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  <c r="AK13" s="486"/>
      <c r="AL13" s="486"/>
      <c r="AM13" s="486"/>
      <c r="AN13" s="486"/>
      <c r="AO13" s="486"/>
      <c r="AP13" s="486"/>
      <c r="AQ13" s="486"/>
      <c r="AR13" s="486"/>
      <c r="AS13" s="486"/>
      <c r="AT13" s="486"/>
      <c r="AU13" s="486"/>
      <c r="AV13" s="486"/>
      <c r="AW13" s="486"/>
      <c r="AX13" s="486"/>
      <c r="AY13" s="486"/>
      <c r="AZ13" s="486"/>
      <c r="BA13" s="486"/>
      <c r="BB13" s="486"/>
      <c r="BC13" s="486"/>
      <c r="BD13" s="486"/>
      <c r="BE13" s="486"/>
      <c r="BF13" s="486"/>
      <c r="BG13" s="486"/>
      <c r="BH13" s="486"/>
      <c r="BI13" s="486"/>
      <c r="BJ13" s="486"/>
      <c r="BK13" s="486"/>
      <c r="BL13" s="486"/>
      <c r="BM13" s="486"/>
      <c r="BN13" s="486"/>
      <c r="BO13" s="486"/>
      <c r="BP13" s="486"/>
      <c r="BQ13" s="486"/>
      <c r="BR13" s="486"/>
      <c r="BS13" s="486"/>
      <c r="BT13" s="486"/>
      <c r="BU13" s="486"/>
      <c r="BV13" s="486"/>
      <c r="BW13" s="486"/>
      <c r="BX13" s="486"/>
      <c r="BY13" s="486"/>
      <c r="BZ13" s="486"/>
      <c r="CA13" s="486"/>
      <c r="CB13" s="486"/>
      <c r="CC13" s="486"/>
      <c r="CD13" s="486"/>
      <c r="CE13" s="486"/>
      <c r="CF13" s="486"/>
      <c r="CG13" s="486"/>
      <c r="CH13" s="486"/>
      <c r="CI13" s="486"/>
      <c r="CJ13" s="486"/>
      <c r="CK13" s="486"/>
      <c r="CL13" s="486"/>
      <c r="CM13" s="486"/>
      <c r="CN13" s="486"/>
      <c r="CO13" s="486"/>
      <c r="CP13" s="486"/>
      <c r="CQ13" s="486"/>
      <c r="CR13" s="486"/>
      <c r="CS13" s="486"/>
      <c r="CT13" s="486"/>
      <c r="CU13" s="486"/>
      <c r="CV13" s="486"/>
      <c r="CW13" s="486"/>
      <c r="CX13" s="486"/>
      <c r="CY13" s="486"/>
      <c r="CZ13" s="486"/>
      <c r="DA13" s="486"/>
      <c r="DB13" s="486"/>
      <c r="DC13" s="486"/>
      <c r="DD13" s="486"/>
      <c r="DE13" s="486"/>
      <c r="DF13" s="486"/>
      <c r="DG13" s="486"/>
      <c r="DH13" s="486"/>
      <c r="DI13" s="486"/>
      <c r="DJ13" s="486"/>
      <c r="DK13" s="486"/>
      <c r="DL13" s="486"/>
      <c r="DM13" s="486"/>
      <c r="DN13" s="486"/>
      <c r="DO13" s="486"/>
      <c r="DP13" s="486"/>
      <c r="DQ13" s="486"/>
      <c r="DR13" s="486"/>
      <c r="DS13" s="486"/>
      <c r="DT13" s="486"/>
      <c r="DU13" s="486"/>
      <c r="DV13" s="486"/>
      <c r="DW13" s="486"/>
      <c r="DX13" s="486"/>
      <c r="DY13" s="486"/>
      <c r="DZ13" s="486"/>
      <c r="EA13" s="486"/>
      <c r="EB13" s="486"/>
      <c r="EC13" s="486"/>
      <c r="ED13" s="486"/>
      <c r="EE13" s="486"/>
      <c r="EF13" s="486"/>
      <c r="EG13" s="486"/>
      <c r="EH13" s="486"/>
      <c r="EI13" s="486"/>
      <c r="EJ13" s="486"/>
      <c r="EK13" s="486"/>
      <c r="EL13" s="486"/>
      <c r="EM13" s="486"/>
      <c r="EN13" s="486"/>
      <c r="EO13" s="486"/>
      <c r="EP13" s="486"/>
      <c r="EQ13" s="486"/>
      <c r="ER13" s="486"/>
      <c r="ES13" s="486"/>
      <c r="ET13" s="486"/>
      <c r="EU13" s="486"/>
      <c r="EV13" s="486"/>
      <c r="EW13" s="486"/>
      <c r="EX13" s="486"/>
      <c r="EY13" s="486"/>
      <c r="EZ13" s="486"/>
      <c r="FA13" s="486"/>
      <c r="FB13" s="486"/>
      <c r="FC13" s="486"/>
      <c r="FD13" s="486"/>
      <c r="FE13" s="486"/>
      <c r="FF13" s="486"/>
      <c r="FG13" s="486"/>
      <c r="FH13" s="486"/>
      <c r="FI13" s="486"/>
      <c r="FJ13" s="486"/>
      <c r="FK13" s="486"/>
      <c r="FL13" s="486"/>
      <c r="FM13" s="486"/>
      <c r="FN13" s="486"/>
      <c r="FO13" s="486"/>
      <c r="FP13" s="486"/>
      <c r="FQ13" s="486"/>
      <c r="FR13" s="486"/>
      <c r="FS13" s="486"/>
      <c r="FT13" s="486"/>
      <c r="FU13" s="486"/>
      <c r="FV13" s="486"/>
      <c r="FW13" s="486"/>
      <c r="FX13" s="486"/>
      <c r="FY13" s="486"/>
      <c r="FZ13" s="486"/>
      <c r="GA13" s="486"/>
      <c r="GB13" s="486"/>
      <c r="GC13" s="486"/>
      <c r="GD13" s="486"/>
      <c r="GE13" s="486"/>
      <c r="GF13" s="486"/>
      <c r="GG13" s="486"/>
      <c r="GH13" s="486"/>
      <c r="GI13" s="486"/>
      <c r="GJ13" s="486"/>
      <c r="GK13" s="486"/>
      <c r="GL13" s="486"/>
      <c r="GM13" s="486"/>
      <c r="GN13" s="486"/>
      <c r="GO13" s="486"/>
      <c r="GP13" s="486"/>
      <c r="GQ13" s="486"/>
      <c r="GR13" s="486"/>
      <c r="GS13" s="486"/>
      <c r="GT13" s="486"/>
      <c r="GU13" s="486"/>
      <c r="GV13" s="486"/>
      <c r="GW13" s="486"/>
      <c r="GX13" s="486"/>
      <c r="GY13" s="486"/>
      <c r="GZ13" s="486"/>
      <c r="HA13" s="486"/>
      <c r="HB13" s="486"/>
      <c r="HC13" s="486"/>
      <c r="HD13" s="486"/>
      <c r="HE13" s="486"/>
      <c r="HF13" s="486"/>
      <c r="HG13" s="486"/>
      <c r="HH13" s="486"/>
      <c r="HI13" s="486"/>
      <c r="HJ13" s="486"/>
      <c r="HK13" s="486"/>
      <c r="HL13" s="486"/>
      <c r="HM13" s="486"/>
      <c r="HN13" s="486"/>
      <c r="HO13" s="486"/>
      <c r="HP13" s="486"/>
      <c r="HQ13" s="486"/>
      <c r="HR13" s="486"/>
      <c r="HS13" s="486"/>
      <c r="HT13" s="486"/>
      <c r="HU13" s="486"/>
      <c r="HV13" s="486"/>
      <c r="HW13" s="486"/>
      <c r="HX13" s="486"/>
      <c r="HY13" s="486"/>
      <c r="HZ13" s="486"/>
      <c r="IA13" s="486"/>
      <c r="IB13" s="486"/>
      <c r="IC13" s="486"/>
      <c r="ID13" s="486"/>
      <c r="IE13" s="486"/>
      <c r="IF13" s="486"/>
      <c r="IG13" s="486"/>
      <c r="IH13" s="486"/>
      <c r="II13" s="486"/>
      <c r="IJ13" s="486"/>
      <c r="IK13" s="486"/>
      <c r="IL13" s="486"/>
      <c r="IM13" s="486"/>
      <c r="IN13" s="486"/>
      <c r="IO13" s="486"/>
      <c r="IP13" s="486"/>
      <c r="IQ13" s="486"/>
      <c r="IR13" s="486"/>
      <c r="IS13" s="486"/>
      <c r="IT13" s="486"/>
      <c r="IU13" s="486"/>
    </row>
    <row r="14" spans="1:255" s="465" customFormat="1" ht="21" customHeight="1">
      <c r="A14" s="616" t="s">
        <v>607</v>
      </c>
      <c r="B14" s="485" t="s">
        <v>607</v>
      </c>
      <c r="C14" s="487">
        <v>43</v>
      </c>
      <c r="D14" s="488">
        <f>'43 (R)'!H26</f>
        <v>301420</v>
      </c>
      <c r="E14" s="489">
        <f>'43 (R)'!H27</f>
        <v>158745.21999999997</v>
      </c>
      <c r="F14" s="490">
        <f>+'43 (R)'!H44</f>
        <v>359502.55999999959</v>
      </c>
      <c r="G14" s="490">
        <f>'43 (R)'!H40</f>
        <v>553.87999999999988</v>
      </c>
      <c r="H14" s="490">
        <v>0</v>
      </c>
      <c r="I14" s="490">
        <f>'43 (R)'!H39</f>
        <v>7500</v>
      </c>
      <c r="J14" s="491">
        <f t="shared" si="0"/>
        <v>92608.780000000377</v>
      </c>
      <c r="K14" s="492">
        <v>0</v>
      </c>
      <c r="L14" s="491">
        <f t="shared" si="1"/>
        <v>92608.780000000377</v>
      </c>
      <c r="M14" s="554">
        <v>0</v>
      </c>
      <c r="N14" s="617">
        <f t="shared" si="2"/>
        <v>-92608.780000000377</v>
      </c>
      <c r="O14" s="493"/>
      <c r="P14" s="486"/>
      <c r="Q14" s="486"/>
      <c r="R14" s="486"/>
      <c r="S14" s="486"/>
      <c r="T14" s="486"/>
      <c r="U14" s="486"/>
      <c r="V14" s="486"/>
      <c r="W14" s="486"/>
      <c r="X14" s="486"/>
      <c r="Y14" s="486"/>
      <c r="Z14" s="486"/>
      <c r="AA14" s="486"/>
      <c r="AB14" s="486"/>
      <c r="AC14" s="486"/>
      <c r="AD14" s="486"/>
      <c r="AE14" s="486"/>
      <c r="AF14" s="486"/>
      <c r="AG14" s="486"/>
      <c r="AH14" s="486"/>
      <c r="AI14" s="486"/>
      <c r="AJ14" s="486"/>
      <c r="AK14" s="486"/>
      <c r="AL14" s="486"/>
      <c r="AM14" s="486"/>
      <c r="AN14" s="486"/>
      <c r="AO14" s="486"/>
      <c r="AP14" s="486"/>
      <c r="AQ14" s="486"/>
      <c r="AR14" s="486"/>
      <c r="AS14" s="486"/>
      <c r="AT14" s="486"/>
      <c r="AU14" s="486"/>
      <c r="AV14" s="486"/>
      <c r="AW14" s="486"/>
      <c r="AX14" s="486"/>
      <c r="AY14" s="486"/>
      <c r="AZ14" s="486"/>
      <c r="BA14" s="486"/>
      <c r="BB14" s="486"/>
      <c r="BC14" s="486"/>
      <c r="BD14" s="486"/>
      <c r="BE14" s="486"/>
      <c r="BF14" s="486"/>
      <c r="BG14" s="486"/>
      <c r="BH14" s="486"/>
      <c r="BI14" s="486"/>
      <c r="BJ14" s="486"/>
      <c r="BK14" s="486"/>
      <c r="BL14" s="486"/>
      <c r="BM14" s="486"/>
      <c r="BN14" s="486"/>
      <c r="BO14" s="486"/>
      <c r="BP14" s="486"/>
      <c r="BQ14" s="486"/>
      <c r="BR14" s="486"/>
      <c r="BS14" s="486"/>
      <c r="BT14" s="486"/>
      <c r="BU14" s="486"/>
      <c r="BV14" s="486"/>
      <c r="BW14" s="486"/>
      <c r="BX14" s="486"/>
      <c r="BY14" s="486"/>
      <c r="BZ14" s="486"/>
      <c r="CA14" s="486"/>
      <c r="CB14" s="486"/>
      <c r="CC14" s="486"/>
      <c r="CD14" s="486"/>
      <c r="CE14" s="486"/>
      <c r="CF14" s="486"/>
      <c r="CG14" s="486"/>
      <c r="CH14" s="486"/>
      <c r="CI14" s="486"/>
      <c r="CJ14" s="486"/>
      <c r="CK14" s="486"/>
      <c r="CL14" s="486"/>
      <c r="CM14" s="486"/>
      <c r="CN14" s="486"/>
      <c r="CO14" s="486"/>
      <c r="CP14" s="486"/>
      <c r="CQ14" s="486"/>
      <c r="CR14" s="486"/>
      <c r="CS14" s="486"/>
      <c r="CT14" s="486"/>
      <c r="CU14" s="486"/>
      <c r="CV14" s="486"/>
      <c r="CW14" s="486"/>
      <c r="CX14" s="486"/>
      <c r="CY14" s="486"/>
      <c r="CZ14" s="486"/>
      <c r="DA14" s="486"/>
      <c r="DB14" s="486"/>
      <c r="DC14" s="486"/>
      <c r="DD14" s="486"/>
      <c r="DE14" s="486"/>
      <c r="DF14" s="486"/>
      <c r="DG14" s="486"/>
      <c r="DH14" s="486"/>
      <c r="DI14" s="486"/>
      <c r="DJ14" s="486"/>
      <c r="DK14" s="486"/>
      <c r="DL14" s="486"/>
      <c r="DM14" s="486"/>
      <c r="DN14" s="486"/>
      <c r="DO14" s="486"/>
      <c r="DP14" s="486"/>
      <c r="DQ14" s="486"/>
      <c r="DR14" s="486"/>
      <c r="DS14" s="486"/>
      <c r="DT14" s="486"/>
      <c r="DU14" s="486"/>
      <c r="DV14" s="486"/>
      <c r="DW14" s="486"/>
      <c r="DX14" s="486"/>
      <c r="DY14" s="486"/>
      <c r="DZ14" s="486"/>
      <c r="EA14" s="486"/>
      <c r="EB14" s="486"/>
      <c r="EC14" s="486"/>
      <c r="ED14" s="486"/>
      <c r="EE14" s="486"/>
      <c r="EF14" s="486"/>
      <c r="EG14" s="486"/>
      <c r="EH14" s="486"/>
      <c r="EI14" s="486"/>
      <c r="EJ14" s="486"/>
      <c r="EK14" s="486"/>
      <c r="EL14" s="486"/>
      <c r="EM14" s="486"/>
      <c r="EN14" s="486"/>
      <c r="EO14" s="486"/>
      <c r="EP14" s="486"/>
      <c r="EQ14" s="486"/>
      <c r="ER14" s="486"/>
      <c r="ES14" s="486"/>
      <c r="ET14" s="486"/>
      <c r="EU14" s="486"/>
      <c r="EV14" s="486"/>
      <c r="EW14" s="486"/>
      <c r="EX14" s="486"/>
      <c r="EY14" s="486"/>
      <c r="EZ14" s="486"/>
      <c r="FA14" s="486"/>
      <c r="FB14" s="486"/>
      <c r="FC14" s="486"/>
      <c r="FD14" s="486"/>
      <c r="FE14" s="486"/>
      <c r="FF14" s="486"/>
      <c r="FG14" s="486"/>
      <c r="FH14" s="486"/>
      <c r="FI14" s="486"/>
      <c r="FJ14" s="486"/>
      <c r="FK14" s="486"/>
      <c r="FL14" s="486"/>
      <c r="FM14" s="486"/>
      <c r="FN14" s="486"/>
      <c r="FO14" s="486"/>
      <c r="FP14" s="486"/>
      <c r="FQ14" s="486"/>
      <c r="FR14" s="486"/>
      <c r="FS14" s="486"/>
      <c r="FT14" s="486"/>
      <c r="FU14" s="486"/>
      <c r="FV14" s="486"/>
      <c r="FW14" s="486"/>
      <c r="FX14" s="486"/>
      <c r="FY14" s="486"/>
      <c r="FZ14" s="486"/>
      <c r="GA14" s="486"/>
      <c r="GB14" s="486"/>
      <c r="GC14" s="486"/>
      <c r="GD14" s="486"/>
      <c r="GE14" s="486"/>
      <c r="GF14" s="486"/>
      <c r="GG14" s="486"/>
      <c r="GH14" s="486"/>
      <c r="GI14" s="486"/>
      <c r="GJ14" s="486"/>
      <c r="GK14" s="486"/>
      <c r="GL14" s="486"/>
      <c r="GM14" s="486"/>
      <c r="GN14" s="486"/>
      <c r="GO14" s="486"/>
      <c r="GP14" s="486"/>
      <c r="GQ14" s="486"/>
      <c r="GR14" s="486"/>
      <c r="GS14" s="486"/>
      <c r="GT14" s="486"/>
      <c r="GU14" s="486"/>
      <c r="GV14" s="486"/>
      <c r="GW14" s="486"/>
      <c r="GX14" s="486"/>
      <c r="GY14" s="486"/>
      <c r="GZ14" s="486"/>
      <c r="HA14" s="486"/>
      <c r="HB14" s="486"/>
      <c r="HC14" s="486"/>
      <c r="HD14" s="486"/>
      <c r="HE14" s="486"/>
      <c r="HF14" s="486"/>
      <c r="HG14" s="486"/>
      <c r="HH14" s="486"/>
      <c r="HI14" s="486"/>
      <c r="HJ14" s="486"/>
      <c r="HK14" s="486"/>
      <c r="HL14" s="486"/>
      <c r="HM14" s="486"/>
      <c r="HN14" s="486"/>
      <c r="HO14" s="486"/>
      <c r="HP14" s="486"/>
      <c r="HQ14" s="486"/>
      <c r="HR14" s="486"/>
      <c r="HS14" s="486"/>
      <c r="HT14" s="486"/>
      <c r="HU14" s="486"/>
      <c r="HV14" s="486"/>
      <c r="HW14" s="486"/>
      <c r="HX14" s="486"/>
      <c r="HY14" s="486"/>
      <c r="HZ14" s="486"/>
      <c r="IA14" s="486"/>
      <c r="IB14" s="486"/>
      <c r="IC14" s="486"/>
      <c r="ID14" s="486"/>
      <c r="IE14" s="486"/>
      <c r="IF14" s="486"/>
      <c r="IG14" s="486"/>
      <c r="IH14" s="486"/>
      <c r="II14" s="486"/>
      <c r="IJ14" s="486"/>
      <c r="IK14" s="486"/>
      <c r="IL14" s="486"/>
      <c r="IM14" s="486"/>
      <c r="IN14" s="486"/>
      <c r="IO14" s="486"/>
      <c r="IP14" s="486"/>
      <c r="IQ14" s="486"/>
      <c r="IR14" s="486"/>
      <c r="IS14" s="486"/>
      <c r="IT14" s="486"/>
      <c r="IU14" s="486"/>
    </row>
    <row r="15" spans="1:255" s="465" customFormat="1" ht="21" customHeight="1">
      <c r="A15" s="616" t="s">
        <v>607</v>
      </c>
      <c r="B15" s="485" t="s">
        <v>607</v>
      </c>
      <c r="C15" s="487">
        <v>111</v>
      </c>
      <c r="D15" s="488">
        <f>+'111 (R)'!H26</f>
        <v>1058374</v>
      </c>
      <c r="E15" s="489">
        <f>+'111 (R)'!H27</f>
        <v>493010.68000000005</v>
      </c>
      <c r="F15" s="490">
        <f>+'111 (R)'!H40</f>
        <v>1043600.8600000001</v>
      </c>
      <c r="G15" s="490">
        <f>+'111 (R)'!H36</f>
        <v>326.72000000000003</v>
      </c>
      <c r="H15" s="490">
        <v>0</v>
      </c>
      <c r="I15" s="490">
        <f>+'111 (R)'!H35</f>
        <v>44120</v>
      </c>
      <c r="J15" s="491">
        <f t="shared" si="0"/>
        <v>463337.10000000009</v>
      </c>
      <c r="K15" s="492">
        <v>0</v>
      </c>
      <c r="L15" s="491">
        <f t="shared" si="1"/>
        <v>463337.10000000009</v>
      </c>
      <c r="M15" s="554">
        <v>0</v>
      </c>
      <c r="N15" s="617">
        <f t="shared" si="2"/>
        <v>-463337.10000000009</v>
      </c>
      <c r="O15" s="493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  <c r="AD15" s="486"/>
      <c r="AE15" s="486"/>
      <c r="AF15" s="486"/>
      <c r="AG15" s="486"/>
      <c r="AH15" s="486"/>
      <c r="AI15" s="486"/>
      <c r="AJ15" s="486"/>
      <c r="AK15" s="486"/>
      <c r="AL15" s="486"/>
      <c r="AM15" s="486"/>
      <c r="AN15" s="486"/>
      <c r="AO15" s="486"/>
      <c r="AP15" s="486"/>
      <c r="AQ15" s="486"/>
      <c r="AR15" s="486"/>
      <c r="AS15" s="486"/>
      <c r="AT15" s="486"/>
      <c r="AU15" s="486"/>
      <c r="AV15" s="486"/>
      <c r="AW15" s="486"/>
      <c r="AX15" s="486"/>
      <c r="AY15" s="486"/>
      <c r="AZ15" s="486"/>
      <c r="BA15" s="486"/>
      <c r="BB15" s="486"/>
      <c r="BC15" s="486"/>
      <c r="BD15" s="486"/>
      <c r="BE15" s="486"/>
      <c r="BF15" s="486"/>
      <c r="BG15" s="486"/>
      <c r="BH15" s="486"/>
      <c r="BI15" s="486"/>
      <c r="BJ15" s="486"/>
      <c r="BK15" s="486"/>
      <c r="BL15" s="486"/>
      <c r="BM15" s="486"/>
      <c r="BN15" s="486"/>
      <c r="BO15" s="486"/>
      <c r="BP15" s="486"/>
      <c r="BQ15" s="486"/>
      <c r="BR15" s="486"/>
      <c r="BS15" s="486"/>
      <c r="BT15" s="486"/>
      <c r="BU15" s="486"/>
      <c r="BV15" s="486"/>
      <c r="BW15" s="486"/>
      <c r="BX15" s="486"/>
      <c r="BY15" s="486"/>
      <c r="BZ15" s="486"/>
      <c r="CA15" s="486"/>
      <c r="CB15" s="486"/>
      <c r="CC15" s="486"/>
      <c r="CD15" s="486"/>
      <c r="CE15" s="486"/>
      <c r="CF15" s="486"/>
      <c r="CG15" s="486"/>
      <c r="CH15" s="486"/>
      <c r="CI15" s="486"/>
      <c r="CJ15" s="486"/>
      <c r="CK15" s="486"/>
      <c r="CL15" s="486"/>
      <c r="CM15" s="486"/>
      <c r="CN15" s="486"/>
      <c r="CO15" s="486"/>
      <c r="CP15" s="486"/>
      <c r="CQ15" s="486"/>
      <c r="CR15" s="486"/>
      <c r="CS15" s="486"/>
      <c r="CT15" s="486"/>
      <c r="CU15" s="486"/>
      <c r="CV15" s="486"/>
      <c r="CW15" s="486"/>
      <c r="CX15" s="486"/>
      <c r="CY15" s="486"/>
      <c r="CZ15" s="486"/>
      <c r="DA15" s="486"/>
      <c r="DB15" s="486"/>
      <c r="DC15" s="486"/>
      <c r="DD15" s="486"/>
      <c r="DE15" s="486"/>
      <c r="DF15" s="486"/>
      <c r="DG15" s="486"/>
      <c r="DH15" s="486"/>
      <c r="DI15" s="486"/>
      <c r="DJ15" s="486"/>
      <c r="DK15" s="486"/>
      <c r="DL15" s="486"/>
      <c r="DM15" s="486"/>
      <c r="DN15" s="486"/>
      <c r="DO15" s="486"/>
      <c r="DP15" s="486"/>
      <c r="DQ15" s="486"/>
      <c r="DR15" s="486"/>
      <c r="DS15" s="486"/>
      <c r="DT15" s="486"/>
      <c r="DU15" s="486"/>
      <c r="DV15" s="486"/>
      <c r="DW15" s="486"/>
      <c r="DX15" s="486"/>
      <c r="DY15" s="486"/>
      <c r="DZ15" s="486"/>
      <c r="EA15" s="486"/>
      <c r="EB15" s="486"/>
      <c r="EC15" s="486"/>
      <c r="ED15" s="486"/>
      <c r="EE15" s="486"/>
      <c r="EF15" s="486"/>
      <c r="EG15" s="486"/>
      <c r="EH15" s="486"/>
      <c r="EI15" s="486"/>
      <c r="EJ15" s="486"/>
      <c r="EK15" s="486"/>
      <c r="EL15" s="486"/>
      <c r="EM15" s="486"/>
      <c r="EN15" s="486"/>
      <c r="EO15" s="486"/>
      <c r="EP15" s="486"/>
      <c r="EQ15" s="486"/>
      <c r="ER15" s="486"/>
      <c r="ES15" s="486"/>
      <c r="ET15" s="486"/>
      <c r="EU15" s="486"/>
      <c r="EV15" s="486"/>
      <c r="EW15" s="486"/>
      <c r="EX15" s="486"/>
      <c r="EY15" s="486"/>
      <c r="EZ15" s="486"/>
      <c r="FA15" s="486"/>
      <c r="FB15" s="486"/>
      <c r="FC15" s="486"/>
      <c r="FD15" s="486"/>
      <c r="FE15" s="486"/>
      <c r="FF15" s="486"/>
      <c r="FG15" s="486"/>
      <c r="FH15" s="486"/>
      <c r="FI15" s="486"/>
      <c r="FJ15" s="486"/>
      <c r="FK15" s="486"/>
      <c r="FL15" s="486"/>
      <c r="FM15" s="486"/>
      <c r="FN15" s="486"/>
      <c r="FO15" s="486"/>
      <c r="FP15" s="486"/>
      <c r="FQ15" s="486"/>
      <c r="FR15" s="486"/>
      <c r="FS15" s="486"/>
      <c r="FT15" s="486"/>
      <c r="FU15" s="486"/>
      <c r="FV15" s="486"/>
      <c r="FW15" s="486"/>
      <c r="FX15" s="486"/>
      <c r="FY15" s="486"/>
      <c r="FZ15" s="486"/>
      <c r="GA15" s="486"/>
      <c r="GB15" s="486"/>
      <c r="GC15" s="486"/>
      <c r="GD15" s="486"/>
      <c r="GE15" s="486"/>
      <c r="GF15" s="486"/>
      <c r="GG15" s="486"/>
      <c r="GH15" s="486"/>
      <c r="GI15" s="486"/>
      <c r="GJ15" s="486"/>
      <c r="GK15" s="486"/>
      <c r="GL15" s="486"/>
      <c r="GM15" s="486"/>
      <c r="GN15" s="486"/>
      <c r="GO15" s="486"/>
      <c r="GP15" s="486"/>
      <c r="GQ15" s="486"/>
      <c r="GR15" s="486"/>
      <c r="GS15" s="486"/>
      <c r="GT15" s="486"/>
      <c r="GU15" s="486"/>
      <c r="GV15" s="486"/>
      <c r="GW15" s="486"/>
      <c r="GX15" s="486"/>
      <c r="GY15" s="486"/>
      <c r="GZ15" s="486"/>
      <c r="HA15" s="486"/>
      <c r="HB15" s="486"/>
      <c r="HC15" s="486"/>
      <c r="HD15" s="486"/>
      <c r="HE15" s="486"/>
      <c r="HF15" s="486"/>
      <c r="HG15" s="486"/>
      <c r="HH15" s="486"/>
      <c r="HI15" s="486"/>
      <c r="HJ15" s="486"/>
      <c r="HK15" s="486"/>
      <c r="HL15" s="486"/>
      <c r="HM15" s="486"/>
      <c r="HN15" s="486"/>
      <c r="HO15" s="486"/>
      <c r="HP15" s="486"/>
      <c r="HQ15" s="486"/>
      <c r="HR15" s="486"/>
      <c r="HS15" s="486"/>
      <c r="HT15" s="486"/>
      <c r="HU15" s="486"/>
      <c r="HV15" s="486"/>
      <c r="HW15" s="486"/>
      <c r="HX15" s="486"/>
      <c r="HY15" s="486"/>
      <c r="HZ15" s="486"/>
      <c r="IA15" s="486"/>
      <c r="IB15" s="486"/>
      <c r="IC15" s="486"/>
      <c r="ID15" s="486"/>
      <c r="IE15" s="486"/>
      <c r="IF15" s="486"/>
      <c r="IG15" s="486"/>
      <c r="IH15" s="486"/>
      <c r="II15" s="486"/>
      <c r="IJ15" s="486"/>
      <c r="IK15" s="486"/>
      <c r="IL15" s="486"/>
      <c r="IM15" s="486"/>
      <c r="IN15" s="486"/>
      <c r="IO15" s="486"/>
      <c r="IP15" s="486"/>
      <c r="IQ15" s="486"/>
      <c r="IR15" s="486"/>
      <c r="IS15" s="486"/>
      <c r="IT15" s="486"/>
      <c r="IU15" s="486"/>
    </row>
    <row r="16" spans="1:255" s="465" customFormat="1" ht="21" customHeight="1">
      <c r="A16" s="616" t="s">
        <v>843</v>
      </c>
      <c r="B16" s="485" t="s">
        <v>829</v>
      </c>
      <c r="C16" s="487">
        <v>91</v>
      </c>
      <c r="D16" s="488">
        <f>'91 (R)'!H31</f>
        <v>93543</v>
      </c>
      <c r="E16" s="489">
        <f>'91 (R)'!H30</f>
        <v>87862.15</v>
      </c>
      <c r="F16" s="490">
        <f>'91 (R)'!H22</f>
        <v>146808.63</v>
      </c>
      <c r="G16" s="490">
        <v>0</v>
      </c>
      <c r="H16" s="490">
        <v>0</v>
      </c>
      <c r="I16" s="490">
        <v>0</v>
      </c>
      <c r="J16" s="491">
        <f t="shared" si="0"/>
        <v>34596.51999999999</v>
      </c>
      <c r="K16" s="492">
        <v>0</v>
      </c>
      <c r="L16" s="491">
        <f t="shared" si="1"/>
        <v>34596.51999999999</v>
      </c>
      <c r="M16" s="554">
        <v>0</v>
      </c>
      <c r="N16" s="617">
        <f t="shared" si="2"/>
        <v>-34596.51999999999</v>
      </c>
      <c r="O16" s="493"/>
      <c r="P16" s="486"/>
      <c r="Q16" s="486"/>
      <c r="R16" s="486"/>
      <c r="S16" s="486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  <c r="AO16" s="486"/>
      <c r="AP16" s="486"/>
      <c r="AQ16" s="486"/>
      <c r="AR16" s="486"/>
      <c r="AS16" s="486"/>
      <c r="AT16" s="486"/>
      <c r="AU16" s="486"/>
      <c r="AV16" s="486"/>
      <c r="AW16" s="486"/>
      <c r="AX16" s="486"/>
      <c r="AY16" s="486"/>
      <c r="AZ16" s="486"/>
      <c r="BA16" s="486"/>
      <c r="BB16" s="486"/>
      <c r="BC16" s="486"/>
      <c r="BD16" s="486"/>
      <c r="BE16" s="486"/>
      <c r="BF16" s="486"/>
      <c r="BG16" s="486"/>
      <c r="BH16" s="486"/>
      <c r="BI16" s="486"/>
      <c r="BJ16" s="486"/>
      <c r="BK16" s="486"/>
      <c r="BL16" s="486"/>
      <c r="BM16" s="486"/>
      <c r="BN16" s="486"/>
      <c r="BO16" s="486"/>
      <c r="BP16" s="486"/>
      <c r="BQ16" s="486"/>
      <c r="BR16" s="486"/>
      <c r="BS16" s="486"/>
      <c r="BT16" s="486"/>
      <c r="BU16" s="486"/>
      <c r="BV16" s="486"/>
      <c r="BW16" s="486"/>
      <c r="BX16" s="486"/>
      <c r="BY16" s="486"/>
      <c r="BZ16" s="486"/>
      <c r="CA16" s="486"/>
      <c r="CB16" s="486"/>
      <c r="CC16" s="486"/>
      <c r="CD16" s="486"/>
      <c r="CE16" s="486"/>
      <c r="CF16" s="486"/>
      <c r="CG16" s="486"/>
      <c r="CH16" s="486"/>
      <c r="CI16" s="486"/>
      <c r="CJ16" s="486"/>
      <c r="CK16" s="486"/>
      <c r="CL16" s="486"/>
      <c r="CM16" s="486"/>
      <c r="CN16" s="486"/>
      <c r="CO16" s="486"/>
      <c r="CP16" s="486"/>
      <c r="CQ16" s="486"/>
      <c r="CR16" s="486"/>
      <c r="CS16" s="486"/>
      <c r="CT16" s="486"/>
      <c r="CU16" s="486"/>
      <c r="CV16" s="486"/>
      <c r="CW16" s="486"/>
      <c r="CX16" s="486"/>
      <c r="CY16" s="486"/>
      <c r="CZ16" s="486"/>
      <c r="DA16" s="486"/>
      <c r="DB16" s="486"/>
      <c r="DC16" s="486"/>
      <c r="DD16" s="486"/>
      <c r="DE16" s="486"/>
      <c r="DF16" s="486"/>
      <c r="DG16" s="486"/>
      <c r="DH16" s="486"/>
      <c r="DI16" s="486"/>
      <c r="DJ16" s="486"/>
      <c r="DK16" s="486"/>
      <c r="DL16" s="486"/>
      <c r="DM16" s="486"/>
      <c r="DN16" s="486"/>
      <c r="DO16" s="486"/>
      <c r="DP16" s="486"/>
      <c r="DQ16" s="486"/>
      <c r="DR16" s="486"/>
      <c r="DS16" s="486"/>
      <c r="DT16" s="486"/>
      <c r="DU16" s="486"/>
      <c r="DV16" s="486"/>
      <c r="DW16" s="486"/>
      <c r="DX16" s="486"/>
      <c r="DY16" s="486"/>
      <c r="DZ16" s="486"/>
      <c r="EA16" s="486"/>
      <c r="EB16" s="486"/>
      <c r="EC16" s="486"/>
      <c r="ED16" s="486"/>
      <c r="EE16" s="486"/>
      <c r="EF16" s="486"/>
      <c r="EG16" s="486"/>
      <c r="EH16" s="486"/>
      <c r="EI16" s="486"/>
      <c r="EJ16" s="486"/>
      <c r="EK16" s="486"/>
      <c r="EL16" s="486"/>
      <c r="EM16" s="486"/>
      <c r="EN16" s="486"/>
      <c r="EO16" s="486"/>
      <c r="EP16" s="486"/>
      <c r="EQ16" s="486"/>
      <c r="ER16" s="486"/>
      <c r="ES16" s="486"/>
      <c r="ET16" s="486"/>
      <c r="EU16" s="486"/>
      <c r="EV16" s="486"/>
      <c r="EW16" s="486"/>
      <c r="EX16" s="486"/>
      <c r="EY16" s="486"/>
      <c r="EZ16" s="486"/>
      <c r="FA16" s="486"/>
      <c r="FB16" s="486"/>
      <c r="FC16" s="486"/>
      <c r="FD16" s="486"/>
      <c r="FE16" s="486"/>
      <c r="FF16" s="486"/>
      <c r="FG16" s="486"/>
      <c r="FH16" s="486"/>
      <c r="FI16" s="486"/>
      <c r="FJ16" s="486"/>
      <c r="FK16" s="486"/>
      <c r="FL16" s="486"/>
      <c r="FM16" s="486"/>
      <c r="FN16" s="486"/>
      <c r="FO16" s="486"/>
      <c r="FP16" s="486"/>
      <c r="FQ16" s="486"/>
      <c r="FR16" s="486"/>
      <c r="FS16" s="486"/>
      <c r="FT16" s="486"/>
      <c r="FU16" s="486"/>
      <c r="FV16" s="486"/>
      <c r="FW16" s="486"/>
      <c r="FX16" s="486"/>
      <c r="FY16" s="486"/>
      <c r="FZ16" s="486"/>
      <c r="GA16" s="486"/>
      <c r="GB16" s="486"/>
      <c r="GC16" s="486"/>
      <c r="GD16" s="486"/>
      <c r="GE16" s="486"/>
      <c r="GF16" s="486"/>
      <c r="GG16" s="486"/>
      <c r="GH16" s="486"/>
      <c r="GI16" s="486"/>
      <c r="GJ16" s="486"/>
      <c r="GK16" s="486"/>
      <c r="GL16" s="486"/>
      <c r="GM16" s="486"/>
      <c r="GN16" s="486"/>
      <c r="GO16" s="486"/>
      <c r="GP16" s="486"/>
      <c r="GQ16" s="486"/>
      <c r="GR16" s="486"/>
      <c r="GS16" s="486"/>
      <c r="GT16" s="486"/>
      <c r="GU16" s="486"/>
      <c r="GV16" s="486"/>
      <c r="GW16" s="486"/>
      <c r="GX16" s="486"/>
      <c r="GY16" s="486"/>
      <c r="GZ16" s="486"/>
      <c r="HA16" s="486"/>
      <c r="HB16" s="486"/>
      <c r="HC16" s="486"/>
      <c r="HD16" s="486"/>
      <c r="HE16" s="486"/>
      <c r="HF16" s="486"/>
      <c r="HG16" s="486"/>
      <c r="HH16" s="486"/>
      <c r="HI16" s="486"/>
      <c r="HJ16" s="486"/>
      <c r="HK16" s="486"/>
      <c r="HL16" s="486"/>
      <c r="HM16" s="486"/>
      <c r="HN16" s="486"/>
      <c r="HO16" s="486"/>
      <c r="HP16" s="486"/>
      <c r="HQ16" s="486"/>
      <c r="HR16" s="486"/>
      <c r="HS16" s="486"/>
      <c r="HT16" s="486"/>
      <c r="HU16" s="486"/>
      <c r="HV16" s="486"/>
      <c r="HW16" s="486"/>
      <c r="HX16" s="486"/>
      <c r="HY16" s="486"/>
      <c r="HZ16" s="486"/>
      <c r="IA16" s="486"/>
      <c r="IB16" s="486"/>
      <c r="IC16" s="486"/>
      <c r="ID16" s="486"/>
      <c r="IE16" s="486"/>
      <c r="IF16" s="486"/>
      <c r="IG16" s="486"/>
      <c r="IH16" s="486"/>
      <c r="II16" s="486"/>
      <c r="IJ16" s="486"/>
      <c r="IK16" s="486"/>
      <c r="IL16" s="486"/>
      <c r="IM16" s="486"/>
      <c r="IN16" s="486"/>
      <c r="IO16" s="486"/>
      <c r="IP16" s="486"/>
      <c r="IQ16" s="486"/>
      <c r="IR16" s="486"/>
      <c r="IS16" s="486"/>
      <c r="IT16" s="486"/>
      <c r="IU16" s="486"/>
    </row>
    <row r="17" spans="1:255" s="465" customFormat="1" ht="21" customHeight="1">
      <c r="A17" s="616" t="s">
        <v>606</v>
      </c>
      <c r="B17" s="485" t="s">
        <v>828</v>
      </c>
      <c r="C17" s="487">
        <v>40</v>
      </c>
      <c r="D17" s="488">
        <f>'40 (R)'!H27</f>
        <v>337880</v>
      </c>
      <c r="E17" s="489">
        <f>+'40 (R)'!H28</f>
        <v>115967.4600000002</v>
      </c>
      <c r="F17" s="490">
        <f>+'40 (R)'!H46</f>
        <v>335667.33999999985</v>
      </c>
      <c r="G17" s="490">
        <f>'40 (R)'!H42</f>
        <v>1097.4799999999998</v>
      </c>
      <c r="H17" s="490">
        <v>0</v>
      </c>
      <c r="I17" s="490">
        <f>'40 (R)'!H41</f>
        <v>0</v>
      </c>
      <c r="J17" s="491">
        <f t="shared" si="0"/>
        <v>117082.64000000035</v>
      </c>
      <c r="K17" s="492">
        <v>0</v>
      </c>
      <c r="L17" s="491">
        <f t="shared" si="1"/>
        <v>117082.64000000035</v>
      </c>
      <c r="M17" s="554">
        <v>0</v>
      </c>
      <c r="N17" s="617">
        <f t="shared" si="2"/>
        <v>-117082.64000000035</v>
      </c>
      <c r="O17" s="493"/>
      <c r="P17" s="486"/>
      <c r="Q17" s="486"/>
      <c r="R17" s="486"/>
      <c r="S17" s="486"/>
      <c r="T17" s="486"/>
      <c r="U17" s="486"/>
      <c r="V17" s="486"/>
      <c r="W17" s="486"/>
      <c r="X17" s="486"/>
      <c r="Y17" s="486"/>
      <c r="Z17" s="486"/>
      <c r="AA17" s="486"/>
      <c r="AB17" s="486"/>
      <c r="AC17" s="486"/>
      <c r="AD17" s="486"/>
      <c r="AE17" s="486"/>
      <c r="AF17" s="486"/>
      <c r="AG17" s="486"/>
      <c r="AH17" s="486"/>
      <c r="AI17" s="486"/>
      <c r="AJ17" s="486"/>
      <c r="AK17" s="486"/>
      <c r="AL17" s="486"/>
      <c r="AM17" s="486"/>
      <c r="AN17" s="486"/>
      <c r="AO17" s="486"/>
      <c r="AP17" s="486"/>
      <c r="AQ17" s="486"/>
      <c r="AR17" s="486"/>
      <c r="AS17" s="486"/>
      <c r="AT17" s="486"/>
      <c r="AU17" s="486"/>
      <c r="AV17" s="486"/>
      <c r="AW17" s="486"/>
      <c r="AX17" s="486"/>
      <c r="AY17" s="486"/>
      <c r="AZ17" s="486"/>
      <c r="BA17" s="486"/>
      <c r="BB17" s="486"/>
      <c r="BC17" s="486"/>
      <c r="BD17" s="486"/>
      <c r="BE17" s="486"/>
      <c r="BF17" s="486"/>
      <c r="BG17" s="486"/>
      <c r="BH17" s="486"/>
      <c r="BI17" s="486"/>
      <c r="BJ17" s="486"/>
      <c r="BK17" s="486"/>
      <c r="BL17" s="486"/>
      <c r="BM17" s="486"/>
      <c r="BN17" s="486"/>
      <c r="BO17" s="486"/>
      <c r="BP17" s="486"/>
      <c r="BQ17" s="486"/>
      <c r="BR17" s="486"/>
      <c r="BS17" s="486"/>
      <c r="BT17" s="486"/>
      <c r="BU17" s="486"/>
      <c r="BV17" s="486"/>
      <c r="BW17" s="486"/>
      <c r="BX17" s="486"/>
      <c r="BY17" s="486"/>
      <c r="BZ17" s="486"/>
      <c r="CA17" s="486"/>
      <c r="CB17" s="486"/>
      <c r="CC17" s="486"/>
      <c r="CD17" s="486"/>
      <c r="CE17" s="486"/>
      <c r="CF17" s="486"/>
      <c r="CG17" s="486"/>
      <c r="CH17" s="486"/>
      <c r="CI17" s="486"/>
      <c r="CJ17" s="486"/>
      <c r="CK17" s="486"/>
      <c r="CL17" s="486"/>
      <c r="CM17" s="486"/>
      <c r="CN17" s="486"/>
      <c r="CO17" s="486"/>
      <c r="CP17" s="486"/>
      <c r="CQ17" s="486"/>
      <c r="CR17" s="486"/>
      <c r="CS17" s="486"/>
      <c r="CT17" s="486"/>
      <c r="CU17" s="486"/>
      <c r="CV17" s="486"/>
      <c r="CW17" s="486"/>
      <c r="CX17" s="486"/>
      <c r="CY17" s="486"/>
      <c r="CZ17" s="486"/>
      <c r="DA17" s="486"/>
      <c r="DB17" s="486"/>
      <c r="DC17" s="486"/>
      <c r="DD17" s="486"/>
      <c r="DE17" s="486"/>
      <c r="DF17" s="486"/>
      <c r="DG17" s="486"/>
      <c r="DH17" s="486"/>
      <c r="DI17" s="486"/>
      <c r="DJ17" s="486"/>
      <c r="DK17" s="486"/>
      <c r="DL17" s="486"/>
      <c r="DM17" s="486"/>
      <c r="DN17" s="486"/>
      <c r="DO17" s="486"/>
      <c r="DP17" s="486"/>
      <c r="DQ17" s="486"/>
      <c r="DR17" s="486"/>
      <c r="DS17" s="486"/>
      <c r="DT17" s="486"/>
      <c r="DU17" s="486"/>
      <c r="DV17" s="486"/>
      <c r="DW17" s="486"/>
      <c r="DX17" s="486"/>
      <c r="DY17" s="486"/>
      <c r="DZ17" s="486"/>
      <c r="EA17" s="486"/>
      <c r="EB17" s="486"/>
      <c r="EC17" s="486"/>
      <c r="ED17" s="486"/>
      <c r="EE17" s="486"/>
      <c r="EF17" s="486"/>
      <c r="EG17" s="486"/>
      <c r="EH17" s="486"/>
      <c r="EI17" s="486"/>
      <c r="EJ17" s="486"/>
      <c r="EK17" s="486"/>
      <c r="EL17" s="486"/>
      <c r="EM17" s="486"/>
      <c r="EN17" s="486"/>
      <c r="EO17" s="486"/>
      <c r="EP17" s="486"/>
      <c r="EQ17" s="486"/>
      <c r="ER17" s="486"/>
      <c r="ES17" s="486"/>
      <c r="ET17" s="486"/>
      <c r="EU17" s="486"/>
      <c r="EV17" s="486"/>
      <c r="EW17" s="486"/>
      <c r="EX17" s="486"/>
      <c r="EY17" s="486"/>
      <c r="EZ17" s="486"/>
      <c r="FA17" s="486"/>
      <c r="FB17" s="486"/>
      <c r="FC17" s="486"/>
      <c r="FD17" s="486"/>
      <c r="FE17" s="486"/>
      <c r="FF17" s="486"/>
      <c r="FG17" s="486"/>
      <c r="FH17" s="486"/>
      <c r="FI17" s="486"/>
      <c r="FJ17" s="486"/>
      <c r="FK17" s="486"/>
      <c r="FL17" s="486"/>
      <c r="FM17" s="486"/>
      <c r="FN17" s="486"/>
      <c r="FO17" s="486"/>
      <c r="FP17" s="486"/>
      <c r="FQ17" s="486"/>
      <c r="FR17" s="486"/>
      <c r="FS17" s="486"/>
      <c r="FT17" s="486"/>
      <c r="FU17" s="486"/>
      <c r="FV17" s="486"/>
      <c r="FW17" s="486"/>
      <c r="FX17" s="486"/>
      <c r="FY17" s="486"/>
      <c r="FZ17" s="486"/>
      <c r="GA17" s="486"/>
      <c r="GB17" s="486"/>
      <c r="GC17" s="486"/>
      <c r="GD17" s="486"/>
      <c r="GE17" s="486"/>
      <c r="GF17" s="486"/>
      <c r="GG17" s="486"/>
      <c r="GH17" s="486"/>
      <c r="GI17" s="486"/>
      <c r="GJ17" s="486"/>
      <c r="GK17" s="486"/>
      <c r="GL17" s="486"/>
      <c r="GM17" s="486"/>
      <c r="GN17" s="486"/>
      <c r="GO17" s="486"/>
      <c r="GP17" s="486"/>
      <c r="GQ17" s="486"/>
      <c r="GR17" s="486"/>
      <c r="GS17" s="486"/>
      <c r="GT17" s="486"/>
      <c r="GU17" s="486"/>
      <c r="GV17" s="486"/>
      <c r="GW17" s="486"/>
      <c r="GX17" s="486"/>
      <c r="GY17" s="486"/>
      <c r="GZ17" s="486"/>
      <c r="HA17" s="486"/>
      <c r="HB17" s="486"/>
      <c r="HC17" s="486"/>
      <c r="HD17" s="486"/>
      <c r="HE17" s="486"/>
      <c r="HF17" s="486"/>
      <c r="HG17" s="486"/>
      <c r="HH17" s="486"/>
      <c r="HI17" s="486"/>
      <c r="HJ17" s="486"/>
      <c r="HK17" s="486"/>
      <c r="HL17" s="486"/>
      <c r="HM17" s="486"/>
      <c r="HN17" s="486"/>
      <c r="HO17" s="486"/>
      <c r="HP17" s="486"/>
      <c r="HQ17" s="486"/>
      <c r="HR17" s="486"/>
      <c r="HS17" s="486"/>
      <c r="HT17" s="486"/>
      <c r="HU17" s="486"/>
      <c r="HV17" s="486"/>
      <c r="HW17" s="486"/>
      <c r="HX17" s="486"/>
      <c r="HY17" s="486"/>
      <c r="HZ17" s="486"/>
      <c r="IA17" s="486"/>
      <c r="IB17" s="486"/>
      <c r="IC17" s="486"/>
      <c r="ID17" s="486"/>
      <c r="IE17" s="486"/>
      <c r="IF17" s="486"/>
      <c r="IG17" s="486"/>
      <c r="IH17" s="486"/>
      <c r="II17" s="486"/>
      <c r="IJ17" s="486"/>
      <c r="IK17" s="486"/>
      <c r="IL17" s="486"/>
      <c r="IM17" s="486"/>
      <c r="IN17" s="486"/>
      <c r="IO17" s="486"/>
      <c r="IP17" s="486"/>
      <c r="IQ17" s="486"/>
      <c r="IR17" s="486"/>
      <c r="IS17" s="486"/>
      <c r="IT17" s="486"/>
      <c r="IU17" s="486"/>
    </row>
    <row r="18" spans="1:255" s="465" customFormat="1" ht="21" customHeight="1">
      <c r="A18" s="616" t="s">
        <v>431</v>
      </c>
      <c r="B18" s="485" t="s">
        <v>829</v>
      </c>
      <c r="C18" s="487">
        <v>92</v>
      </c>
      <c r="D18" s="488">
        <f>'92 (R)'!H22</f>
        <v>82798</v>
      </c>
      <c r="E18" s="489">
        <f>'92 (R)'!H23</f>
        <v>78872.63</v>
      </c>
      <c r="F18" s="490">
        <f>'92 (R)'!H27</f>
        <v>130486.98999999999</v>
      </c>
      <c r="G18" s="490">
        <v>0</v>
      </c>
      <c r="H18" s="490">
        <v>0</v>
      </c>
      <c r="I18" s="490">
        <v>0</v>
      </c>
      <c r="J18" s="491">
        <f t="shared" si="0"/>
        <v>31183.640000000014</v>
      </c>
      <c r="K18" s="492">
        <v>0</v>
      </c>
      <c r="L18" s="491">
        <f t="shared" si="1"/>
        <v>31183.640000000014</v>
      </c>
      <c r="M18" s="554">
        <v>0</v>
      </c>
      <c r="N18" s="617">
        <f t="shared" si="2"/>
        <v>-31183.640000000014</v>
      </c>
      <c r="O18" s="493"/>
      <c r="P18" s="486"/>
      <c r="Q18" s="486"/>
      <c r="R18" s="486"/>
      <c r="S18" s="486"/>
      <c r="T18" s="486"/>
      <c r="U18" s="486"/>
      <c r="V18" s="486"/>
      <c r="W18" s="486"/>
      <c r="X18" s="486"/>
      <c r="Y18" s="486"/>
      <c r="Z18" s="486"/>
      <c r="AA18" s="486"/>
      <c r="AB18" s="486"/>
      <c r="AC18" s="486"/>
      <c r="AD18" s="486"/>
      <c r="AE18" s="486"/>
      <c r="AF18" s="486"/>
      <c r="AG18" s="486"/>
      <c r="AH18" s="486"/>
      <c r="AI18" s="486"/>
      <c r="AJ18" s="486"/>
      <c r="AK18" s="486"/>
      <c r="AL18" s="486"/>
      <c r="AM18" s="486"/>
      <c r="AN18" s="486"/>
      <c r="AO18" s="486"/>
      <c r="AP18" s="486"/>
      <c r="AQ18" s="486"/>
      <c r="AR18" s="486"/>
      <c r="AS18" s="486"/>
      <c r="AT18" s="486"/>
      <c r="AU18" s="486"/>
      <c r="AV18" s="486"/>
      <c r="AW18" s="486"/>
      <c r="AX18" s="486"/>
      <c r="AY18" s="486"/>
      <c r="AZ18" s="486"/>
      <c r="BA18" s="486"/>
      <c r="BB18" s="486"/>
      <c r="BC18" s="486"/>
      <c r="BD18" s="486"/>
      <c r="BE18" s="486"/>
      <c r="BF18" s="486"/>
      <c r="BG18" s="486"/>
      <c r="BH18" s="486"/>
      <c r="BI18" s="486"/>
      <c r="BJ18" s="486"/>
      <c r="BK18" s="486"/>
      <c r="BL18" s="486"/>
      <c r="BM18" s="486"/>
      <c r="BN18" s="486"/>
      <c r="BO18" s="486"/>
      <c r="BP18" s="486"/>
      <c r="BQ18" s="486"/>
      <c r="BR18" s="486"/>
      <c r="BS18" s="486"/>
      <c r="BT18" s="486"/>
      <c r="BU18" s="486"/>
      <c r="BV18" s="486"/>
      <c r="BW18" s="486"/>
      <c r="BX18" s="486"/>
      <c r="BY18" s="486"/>
      <c r="BZ18" s="486"/>
      <c r="CA18" s="486"/>
      <c r="CB18" s="486"/>
      <c r="CC18" s="486"/>
      <c r="CD18" s="486"/>
      <c r="CE18" s="486"/>
      <c r="CF18" s="486"/>
      <c r="CG18" s="486"/>
      <c r="CH18" s="486"/>
      <c r="CI18" s="486"/>
      <c r="CJ18" s="486"/>
      <c r="CK18" s="486"/>
      <c r="CL18" s="486"/>
      <c r="CM18" s="486"/>
      <c r="CN18" s="486"/>
      <c r="CO18" s="486"/>
      <c r="CP18" s="486"/>
      <c r="CQ18" s="486"/>
      <c r="CR18" s="486"/>
      <c r="CS18" s="486"/>
      <c r="CT18" s="486"/>
      <c r="CU18" s="486"/>
      <c r="CV18" s="486"/>
      <c r="CW18" s="486"/>
      <c r="CX18" s="486"/>
      <c r="CY18" s="486"/>
      <c r="CZ18" s="486"/>
      <c r="DA18" s="486"/>
      <c r="DB18" s="486"/>
      <c r="DC18" s="486"/>
      <c r="DD18" s="486"/>
      <c r="DE18" s="486"/>
      <c r="DF18" s="486"/>
      <c r="DG18" s="486"/>
      <c r="DH18" s="486"/>
      <c r="DI18" s="486"/>
      <c r="DJ18" s="486"/>
      <c r="DK18" s="486"/>
      <c r="DL18" s="486"/>
      <c r="DM18" s="486"/>
      <c r="DN18" s="486"/>
      <c r="DO18" s="486"/>
      <c r="DP18" s="486"/>
      <c r="DQ18" s="486"/>
      <c r="DR18" s="486"/>
      <c r="DS18" s="486"/>
      <c r="DT18" s="486"/>
      <c r="DU18" s="486"/>
      <c r="DV18" s="486"/>
      <c r="DW18" s="486"/>
      <c r="DX18" s="486"/>
      <c r="DY18" s="486"/>
      <c r="DZ18" s="486"/>
      <c r="EA18" s="486"/>
      <c r="EB18" s="486"/>
      <c r="EC18" s="486"/>
      <c r="ED18" s="486"/>
      <c r="EE18" s="486"/>
      <c r="EF18" s="486"/>
      <c r="EG18" s="486"/>
      <c r="EH18" s="486"/>
      <c r="EI18" s="486"/>
      <c r="EJ18" s="486"/>
      <c r="EK18" s="486"/>
      <c r="EL18" s="486"/>
      <c r="EM18" s="486"/>
      <c r="EN18" s="486"/>
      <c r="EO18" s="486"/>
      <c r="EP18" s="486"/>
      <c r="EQ18" s="486"/>
      <c r="ER18" s="486"/>
      <c r="ES18" s="486"/>
      <c r="ET18" s="486"/>
      <c r="EU18" s="486"/>
      <c r="EV18" s="486"/>
      <c r="EW18" s="486"/>
      <c r="EX18" s="486"/>
      <c r="EY18" s="486"/>
      <c r="EZ18" s="486"/>
      <c r="FA18" s="486"/>
      <c r="FB18" s="486"/>
      <c r="FC18" s="486"/>
      <c r="FD18" s="486"/>
      <c r="FE18" s="486"/>
      <c r="FF18" s="486"/>
      <c r="FG18" s="486"/>
      <c r="FH18" s="486"/>
      <c r="FI18" s="486"/>
      <c r="FJ18" s="486"/>
      <c r="FK18" s="486"/>
      <c r="FL18" s="486"/>
      <c r="FM18" s="486"/>
      <c r="FN18" s="486"/>
      <c r="FO18" s="486"/>
      <c r="FP18" s="486"/>
      <c r="FQ18" s="486"/>
      <c r="FR18" s="486"/>
      <c r="FS18" s="486"/>
      <c r="FT18" s="486"/>
      <c r="FU18" s="486"/>
      <c r="FV18" s="486"/>
      <c r="FW18" s="486"/>
      <c r="FX18" s="486"/>
      <c r="FY18" s="486"/>
      <c r="FZ18" s="486"/>
      <c r="GA18" s="486"/>
      <c r="GB18" s="486"/>
      <c r="GC18" s="486"/>
      <c r="GD18" s="486"/>
      <c r="GE18" s="486"/>
      <c r="GF18" s="486"/>
      <c r="GG18" s="486"/>
      <c r="GH18" s="486"/>
      <c r="GI18" s="486"/>
      <c r="GJ18" s="486"/>
      <c r="GK18" s="486"/>
      <c r="GL18" s="486"/>
      <c r="GM18" s="486"/>
      <c r="GN18" s="486"/>
      <c r="GO18" s="486"/>
      <c r="GP18" s="486"/>
      <c r="GQ18" s="486"/>
      <c r="GR18" s="486"/>
      <c r="GS18" s="486"/>
      <c r="GT18" s="486"/>
      <c r="GU18" s="486"/>
      <c r="GV18" s="486"/>
      <c r="GW18" s="486"/>
      <c r="GX18" s="486"/>
      <c r="GY18" s="486"/>
      <c r="GZ18" s="486"/>
      <c r="HA18" s="486"/>
      <c r="HB18" s="486"/>
      <c r="HC18" s="486"/>
      <c r="HD18" s="486"/>
      <c r="HE18" s="486"/>
      <c r="HF18" s="486"/>
      <c r="HG18" s="486"/>
      <c r="HH18" s="486"/>
      <c r="HI18" s="486"/>
      <c r="HJ18" s="486"/>
      <c r="HK18" s="486"/>
      <c r="HL18" s="486"/>
      <c r="HM18" s="486"/>
      <c r="HN18" s="486"/>
      <c r="HO18" s="486"/>
      <c r="HP18" s="486"/>
      <c r="HQ18" s="486"/>
      <c r="HR18" s="486"/>
      <c r="HS18" s="486"/>
      <c r="HT18" s="486"/>
      <c r="HU18" s="486"/>
      <c r="HV18" s="486"/>
      <c r="HW18" s="486"/>
      <c r="HX18" s="486"/>
      <c r="HY18" s="486"/>
      <c r="HZ18" s="486"/>
      <c r="IA18" s="486"/>
      <c r="IB18" s="486"/>
      <c r="IC18" s="486"/>
      <c r="ID18" s="486"/>
      <c r="IE18" s="486"/>
      <c r="IF18" s="486"/>
      <c r="IG18" s="486"/>
      <c r="IH18" s="486"/>
      <c r="II18" s="486"/>
      <c r="IJ18" s="486"/>
      <c r="IK18" s="486"/>
      <c r="IL18" s="486"/>
      <c r="IM18" s="486"/>
      <c r="IN18" s="486"/>
      <c r="IO18" s="486"/>
      <c r="IP18" s="486"/>
      <c r="IQ18" s="486"/>
      <c r="IR18" s="486"/>
      <c r="IS18" s="486"/>
      <c r="IT18" s="486"/>
      <c r="IU18" s="486"/>
    </row>
    <row r="19" spans="1:255" s="465" customFormat="1" ht="21" customHeight="1">
      <c r="A19" s="616" t="s">
        <v>834</v>
      </c>
      <c r="B19" s="485" t="s">
        <v>607</v>
      </c>
      <c r="C19" s="487">
        <v>117</v>
      </c>
      <c r="D19" s="488">
        <f>+'117 (R)'!G26</f>
        <v>1055777</v>
      </c>
      <c r="E19" s="489">
        <f>+'117 (R)'!G27</f>
        <v>717010.12000000011</v>
      </c>
      <c r="F19" s="490">
        <f>+'117 (R)'!G40</f>
        <v>1430898.1500000001</v>
      </c>
      <c r="G19" s="490">
        <f>+'117 (R)'!G36</f>
        <v>1090.3499999999999</v>
      </c>
      <c r="H19" s="490">
        <v>0</v>
      </c>
      <c r="I19" s="490">
        <f>+'117 (R)'!G35</f>
        <v>81382</v>
      </c>
      <c r="J19" s="491">
        <f t="shared" si="0"/>
        <v>259416.62</v>
      </c>
      <c r="K19" s="492">
        <v>0</v>
      </c>
      <c r="L19" s="491">
        <f t="shared" si="1"/>
        <v>259416.62</v>
      </c>
      <c r="M19" s="554">
        <v>0</v>
      </c>
      <c r="N19" s="617">
        <f t="shared" si="2"/>
        <v>-259416.62</v>
      </c>
      <c r="O19" s="493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  <c r="AO19" s="486"/>
      <c r="AP19" s="486"/>
      <c r="AQ19" s="486"/>
      <c r="AR19" s="486"/>
      <c r="AS19" s="486"/>
      <c r="AT19" s="486"/>
      <c r="AU19" s="486"/>
      <c r="AV19" s="486"/>
      <c r="AW19" s="486"/>
      <c r="AX19" s="486"/>
      <c r="AY19" s="486"/>
      <c r="AZ19" s="486"/>
      <c r="BA19" s="486"/>
      <c r="BB19" s="486"/>
      <c r="BC19" s="486"/>
      <c r="BD19" s="486"/>
      <c r="BE19" s="486"/>
      <c r="BF19" s="486"/>
      <c r="BG19" s="486"/>
      <c r="BH19" s="486"/>
      <c r="BI19" s="486"/>
      <c r="BJ19" s="486"/>
      <c r="BK19" s="486"/>
      <c r="BL19" s="486"/>
      <c r="BM19" s="486"/>
      <c r="BN19" s="486"/>
      <c r="BO19" s="486"/>
      <c r="BP19" s="486"/>
      <c r="BQ19" s="486"/>
      <c r="BR19" s="486"/>
      <c r="BS19" s="486"/>
      <c r="BT19" s="486"/>
      <c r="BU19" s="486"/>
      <c r="BV19" s="486"/>
      <c r="BW19" s="486"/>
      <c r="BX19" s="486"/>
      <c r="BY19" s="486"/>
      <c r="BZ19" s="486"/>
      <c r="CA19" s="486"/>
      <c r="CB19" s="486"/>
      <c r="CC19" s="486"/>
      <c r="CD19" s="486"/>
      <c r="CE19" s="486"/>
      <c r="CF19" s="486"/>
      <c r="CG19" s="486"/>
      <c r="CH19" s="486"/>
      <c r="CI19" s="486"/>
      <c r="CJ19" s="486"/>
      <c r="CK19" s="486"/>
      <c r="CL19" s="486"/>
      <c r="CM19" s="486"/>
      <c r="CN19" s="486"/>
      <c r="CO19" s="486"/>
      <c r="CP19" s="486"/>
      <c r="CQ19" s="486"/>
      <c r="CR19" s="486"/>
      <c r="CS19" s="486"/>
      <c r="CT19" s="486"/>
      <c r="CU19" s="486"/>
      <c r="CV19" s="486"/>
      <c r="CW19" s="486"/>
      <c r="CX19" s="486"/>
      <c r="CY19" s="486"/>
      <c r="CZ19" s="486"/>
      <c r="DA19" s="486"/>
      <c r="DB19" s="486"/>
      <c r="DC19" s="486"/>
      <c r="DD19" s="486"/>
      <c r="DE19" s="486"/>
      <c r="DF19" s="486"/>
      <c r="DG19" s="486"/>
      <c r="DH19" s="486"/>
      <c r="DI19" s="486"/>
      <c r="DJ19" s="486"/>
      <c r="DK19" s="486"/>
      <c r="DL19" s="486"/>
      <c r="DM19" s="486"/>
      <c r="DN19" s="486"/>
      <c r="DO19" s="486"/>
      <c r="DP19" s="486"/>
      <c r="DQ19" s="486"/>
      <c r="DR19" s="486"/>
      <c r="DS19" s="486"/>
      <c r="DT19" s="486"/>
      <c r="DU19" s="486"/>
      <c r="DV19" s="486"/>
      <c r="DW19" s="486"/>
      <c r="DX19" s="486"/>
      <c r="DY19" s="486"/>
      <c r="DZ19" s="486"/>
      <c r="EA19" s="486"/>
      <c r="EB19" s="486"/>
      <c r="EC19" s="486"/>
      <c r="ED19" s="486"/>
      <c r="EE19" s="486"/>
      <c r="EF19" s="486"/>
      <c r="EG19" s="486"/>
      <c r="EH19" s="486"/>
      <c r="EI19" s="486"/>
      <c r="EJ19" s="486"/>
      <c r="EK19" s="486"/>
      <c r="EL19" s="486"/>
      <c r="EM19" s="486"/>
      <c r="EN19" s="486"/>
      <c r="EO19" s="486"/>
      <c r="EP19" s="486"/>
      <c r="EQ19" s="486"/>
      <c r="ER19" s="486"/>
      <c r="ES19" s="486"/>
      <c r="ET19" s="486"/>
      <c r="EU19" s="486"/>
      <c r="EV19" s="486"/>
      <c r="EW19" s="486"/>
      <c r="EX19" s="486"/>
      <c r="EY19" s="486"/>
      <c r="EZ19" s="486"/>
      <c r="FA19" s="486"/>
      <c r="FB19" s="486"/>
      <c r="FC19" s="486"/>
      <c r="FD19" s="486"/>
      <c r="FE19" s="486"/>
      <c r="FF19" s="486"/>
      <c r="FG19" s="486"/>
      <c r="FH19" s="486"/>
      <c r="FI19" s="486"/>
      <c r="FJ19" s="486"/>
      <c r="FK19" s="486"/>
      <c r="FL19" s="486"/>
      <c r="FM19" s="486"/>
      <c r="FN19" s="486"/>
      <c r="FO19" s="486"/>
      <c r="FP19" s="486"/>
      <c r="FQ19" s="486"/>
      <c r="FR19" s="486"/>
      <c r="FS19" s="486"/>
      <c r="FT19" s="486"/>
      <c r="FU19" s="486"/>
      <c r="FV19" s="486"/>
      <c r="FW19" s="486"/>
      <c r="FX19" s="486"/>
      <c r="FY19" s="486"/>
      <c r="FZ19" s="486"/>
      <c r="GA19" s="486"/>
      <c r="GB19" s="486"/>
      <c r="GC19" s="486"/>
      <c r="GD19" s="486"/>
      <c r="GE19" s="486"/>
      <c r="GF19" s="486"/>
      <c r="GG19" s="486"/>
      <c r="GH19" s="486"/>
      <c r="GI19" s="486"/>
      <c r="GJ19" s="486"/>
      <c r="GK19" s="486"/>
      <c r="GL19" s="486"/>
      <c r="GM19" s="486"/>
      <c r="GN19" s="486"/>
      <c r="GO19" s="486"/>
      <c r="GP19" s="486"/>
      <c r="GQ19" s="486"/>
      <c r="GR19" s="486"/>
      <c r="GS19" s="486"/>
      <c r="GT19" s="486"/>
      <c r="GU19" s="486"/>
      <c r="GV19" s="486"/>
      <c r="GW19" s="486"/>
      <c r="GX19" s="486"/>
      <c r="GY19" s="486"/>
      <c r="GZ19" s="486"/>
      <c r="HA19" s="486"/>
      <c r="HB19" s="486"/>
      <c r="HC19" s="486"/>
      <c r="HD19" s="486"/>
      <c r="HE19" s="486"/>
      <c r="HF19" s="486"/>
      <c r="HG19" s="486"/>
      <c r="HH19" s="486"/>
      <c r="HI19" s="486"/>
      <c r="HJ19" s="486"/>
      <c r="HK19" s="486"/>
      <c r="HL19" s="486"/>
      <c r="HM19" s="486"/>
      <c r="HN19" s="486"/>
      <c r="HO19" s="486"/>
      <c r="HP19" s="486"/>
      <c r="HQ19" s="486"/>
      <c r="HR19" s="486"/>
      <c r="HS19" s="486"/>
      <c r="HT19" s="486"/>
      <c r="HU19" s="486"/>
      <c r="HV19" s="486"/>
      <c r="HW19" s="486"/>
      <c r="HX19" s="486"/>
      <c r="HY19" s="486"/>
      <c r="HZ19" s="486"/>
      <c r="IA19" s="486"/>
      <c r="IB19" s="486"/>
      <c r="IC19" s="486"/>
      <c r="ID19" s="486"/>
      <c r="IE19" s="486"/>
      <c r="IF19" s="486"/>
      <c r="IG19" s="486"/>
      <c r="IH19" s="486"/>
      <c r="II19" s="486"/>
      <c r="IJ19" s="486"/>
      <c r="IK19" s="486"/>
      <c r="IL19" s="486"/>
      <c r="IM19" s="486"/>
      <c r="IN19" s="486"/>
      <c r="IO19" s="486"/>
      <c r="IP19" s="486"/>
      <c r="IQ19" s="486"/>
      <c r="IR19" s="486"/>
      <c r="IS19" s="486"/>
      <c r="IT19" s="486"/>
      <c r="IU19" s="486"/>
    </row>
    <row r="20" spans="1:255" s="465" customFormat="1" ht="21" customHeight="1">
      <c r="A20" s="616" t="s">
        <v>607</v>
      </c>
      <c r="B20" s="485" t="s">
        <v>607</v>
      </c>
      <c r="C20" s="487">
        <v>41</v>
      </c>
      <c r="D20" s="488">
        <f>'41 (R)'!G27</f>
        <v>268615</v>
      </c>
      <c r="E20" s="489">
        <f>'41 (R)'!G28</f>
        <v>115261.47999999998</v>
      </c>
      <c r="F20" s="490">
        <f>+'41 (R)'!G46</f>
        <v>316192.48999999976</v>
      </c>
      <c r="G20" s="490">
        <f>'41 (R)'!G41</f>
        <v>105.40000000000009</v>
      </c>
      <c r="H20" s="490">
        <v>0</v>
      </c>
      <c r="I20" s="490">
        <f>'41 (R)'!G40</f>
        <v>0</v>
      </c>
      <c r="J20" s="491">
        <f t="shared" si="0"/>
        <v>67578.590000000229</v>
      </c>
      <c r="K20" s="492">
        <v>0</v>
      </c>
      <c r="L20" s="491">
        <f t="shared" si="1"/>
        <v>67578.590000000229</v>
      </c>
      <c r="M20" s="554">
        <v>0</v>
      </c>
      <c r="N20" s="617">
        <f t="shared" si="2"/>
        <v>-67578.590000000229</v>
      </c>
      <c r="O20" s="493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6"/>
      <c r="AJ20" s="486"/>
      <c r="AK20" s="486"/>
      <c r="AL20" s="486"/>
      <c r="AM20" s="486"/>
      <c r="AN20" s="486"/>
      <c r="AO20" s="486"/>
      <c r="AP20" s="486"/>
      <c r="AQ20" s="486"/>
      <c r="AR20" s="486"/>
      <c r="AS20" s="486"/>
      <c r="AT20" s="486"/>
      <c r="AU20" s="486"/>
      <c r="AV20" s="486"/>
      <c r="AW20" s="486"/>
      <c r="AX20" s="486"/>
      <c r="AY20" s="486"/>
      <c r="AZ20" s="486"/>
      <c r="BA20" s="486"/>
      <c r="BB20" s="486"/>
      <c r="BC20" s="486"/>
      <c r="BD20" s="486"/>
      <c r="BE20" s="486"/>
      <c r="BF20" s="486"/>
      <c r="BG20" s="486"/>
      <c r="BH20" s="486"/>
      <c r="BI20" s="486"/>
      <c r="BJ20" s="486"/>
      <c r="BK20" s="486"/>
      <c r="BL20" s="486"/>
      <c r="BM20" s="486"/>
      <c r="BN20" s="486"/>
      <c r="BO20" s="486"/>
      <c r="BP20" s="486"/>
      <c r="BQ20" s="486"/>
      <c r="BR20" s="486"/>
      <c r="BS20" s="486"/>
      <c r="BT20" s="486"/>
      <c r="BU20" s="486"/>
      <c r="BV20" s="486"/>
      <c r="BW20" s="486"/>
      <c r="BX20" s="486"/>
      <c r="BY20" s="486"/>
      <c r="BZ20" s="486"/>
      <c r="CA20" s="486"/>
      <c r="CB20" s="486"/>
      <c r="CC20" s="486"/>
      <c r="CD20" s="486"/>
      <c r="CE20" s="486"/>
      <c r="CF20" s="486"/>
      <c r="CG20" s="486"/>
      <c r="CH20" s="486"/>
      <c r="CI20" s="486"/>
      <c r="CJ20" s="486"/>
      <c r="CK20" s="486"/>
      <c r="CL20" s="486"/>
      <c r="CM20" s="486"/>
      <c r="CN20" s="486"/>
      <c r="CO20" s="486"/>
      <c r="CP20" s="486"/>
      <c r="CQ20" s="486"/>
      <c r="CR20" s="486"/>
      <c r="CS20" s="486"/>
      <c r="CT20" s="486"/>
      <c r="CU20" s="486"/>
      <c r="CV20" s="486"/>
      <c r="CW20" s="486"/>
      <c r="CX20" s="486"/>
      <c r="CY20" s="486"/>
      <c r="CZ20" s="486"/>
      <c r="DA20" s="486"/>
      <c r="DB20" s="486"/>
      <c r="DC20" s="486"/>
      <c r="DD20" s="486"/>
      <c r="DE20" s="486"/>
      <c r="DF20" s="486"/>
      <c r="DG20" s="486"/>
      <c r="DH20" s="486"/>
      <c r="DI20" s="486"/>
      <c r="DJ20" s="486"/>
      <c r="DK20" s="486"/>
      <c r="DL20" s="486"/>
      <c r="DM20" s="486"/>
      <c r="DN20" s="486"/>
      <c r="DO20" s="486"/>
      <c r="DP20" s="486"/>
      <c r="DQ20" s="486"/>
      <c r="DR20" s="486"/>
      <c r="DS20" s="486"/>
      <c r="DT20" s="486"/>
      <c r="DU20" s="486"/>
      <c r="DV20" s="486"/>
      <c r="DW20" s="486"/>
      <c r="DX20" s="486"/>
      <c r="DY20" s="486"/>
      <c r="DZ20" s="486"/>
      <c r="EA20" s="486"/>
      <c r="EB20" s="486"/>
      <c r="EC20" s="486"/>
      <c r="ED20" s="486"/>
      <c r="EE20" s="486"/>
      <c r="EF20" s="486"/>
      <c r="EG20" s="486"/>
      <c r="EH20" s="486"/>
      <c r="EI20" s="486"/>
      <c r="EJ20" s="486"/>
      <c r="EK20" s="486"/>
      <c r="EL20" s="486"/>
      <c r="EM20" s="486"/>
      <c r="EN20" s="486"/>
      <c r="EO20" s="486"/>
      <c r="EP20" s="486"/>
      <c r="EQ20" s="486"/>
      <c r="ER20" s="486"/>
      <c r="ES20" s="486"/>
      <c r="ET20" s="486"/>
      <c r="EU20" s="486"/>
      <c r="EV20" s="486"/>
      <c r="EW20" s="486"/>
      <c r="EX20" s="486"/>
      <c r="EY20" s="486"/>
      <c r="EZ20" s="486"/>
      <c r="FA20" s="486"/>
      <c r="FB20" s="486"/>
      <c r="FC20" s="486"/>
      <c r="FD20" s="486"/>
      <c r="FE20" s="486"/>
      <c r="FF20" s="486"/>
      <c r="FG20" s="486"/>
      <c r="FH20" s="486"/>
      <c r="FI20" s="486"/>
      <c r="FJ20" s="486"/>
      <c r="FK20" s="486"/>
      <c r="FL20" s="486"/>
      <c r="FM20" s="486"/>
      <c r="FN20" s="486"/>
      <c r="FO20" s="486"/>
      <c r="FP20" s="486"/>
      <c r="FQ20" s="486"/>
      <c r="FR20" s="486"/>
      <c r="FS20" s="486"/>
      <c r="FT20" s="486"/>
      <c r="FU20" s="486"/>
      <c r="FV20" s="486"/>
      <c r="FW20" s="486"/>
      <c r="FX20" s="486"/>
      <c r="FY20" s="486"/>
      <c r="FZ20" s="486"/>
      <c r="GA20" s="486"/>
      <c r="GB20" s="486"/>
      <c r="GC20" s="486"/>
      <c r="GD20" s="486"/>
      <c r="GE20" s="486"/>
      <c r="GF20" s="486"/>
      <c r="GG20" s="486"/>
      <c r="GH20" s="486"/>
      <c r="GI20" s="486"/>
      <c r="GJ20" s="486"/>
      <c r="GK20" s="486"/>
      <c r="GL20" s="486"/>
      <c r="GM20" s="486"/>
      <c r="GN20" s="486"/>
      <c r="GO20" s="486"/>
      <c r="GP20" s="486"/>
      <c r="GQ20" s="486"/>
      <c r="GR20" s="486"/>
      <c r="GS20" s="486"/>
      <c r="GT20" s="486"/>
      <c r="GU20" s="486"/>
      <c r="GV20" s="486"/>
      <c r="GW20" s="486"/>
      <c r="GX20" s="486"/>
      <c r="GY20" s="486"/>
      <c r="GZ20" s="486"/>
      <c r="HA20" s="486"/>
      <c r="HB20" s="486"/>
      <c r="HC20" s="486"/>
      <c r="HD20" s="486"/>
      <c r="HE20" s="486"/>
      <c r="HF20" s="486"/>
      <c r="HG20" s="486"/>
      <c r="HH20" s="486"/>
      <c r="HI20" s="486"/>
      <c r="HJ20" s="486"/>
      <c r="HK20" s="486"/>
      <c r="HL20" s="486"/>
      <c r="HM20" s="486"/>
      <c r="HN20" s="486"/>
      <c r="HO20" s="486"/>
      <c r="HP20" s="486"/>
      <c r="HQ20" s="486"/>
      <c r="HR20" s="486"/>
      <c r="HS20" s="486"/>
      <c r="HT20" s="486"/>
      <c r="HU20" s="486"/>
      <c r="HV20" s="486"/>
      <c r="HW20" s="486"/>
      <c r="HX20" s="486"/>
      <c r="HY20" s="486"/>
      <c r="HZ20" s="486"/>
      <c r="IA20" s="486"/>
      <c r="IB20" s="486"/>
      <c r="IC20" s="486"/>
      <c r="ID20" s="486"/>
      <c r="IE20" s="486"/>
      <c r="IF20" s="486"/>
      <c r="IG20" s="486"/>
      <c r="IH20" s="486"/>
      <c r="II20" s="486"/>
      <c r="IJ20" s="486"/>
      <c r="IK20" s="486"/>
      <c r="IL20" s="486"/>
      <c r="IM20" s="486"/>
      <c r="IN20" s="486"/>
      <c r="IO20" s="486"/>
      <c r="IP20" s="486"/>
      <c r="IQ20" s="486"/>
      <c r="IR20" s="486"/>
      <c r="IS20" s="486"/>
      <c r="IT20" s="486"/>
      <c r="IU20" s="486"/>
    </row>
    <row r="21" spans="1:255" s="465" customFormat="1" ht="21" customHeight="1">
      <c r="A21" s="616" t="s">
        <v>332</v>
      </c>
      <c r="B21" s="485" t="s">
        <v>70</v>
      </c>
      <c r="C21" s="487">
        <v>57</v>
      </c>
      <c r="D21" s="488">
        <f>'57 (R)'!H43</f>
        <v>-1376</v>
      </c>
      <c r="E21" s="489">
        <f>'57 (R)'!I23</f>
        <v>-3274.63</v>
      </c>
      <c r="F21" s="490">
        <f>'57 (R)'!H24</f>
        <v>-4350.6399999999994</v>
      </c>
      <c r="G21" s="490">
        <v>0</v>
      </c>
      <c r="H21" s="490">
        <v>0</v>
      </c>
      <c r="I21" s="490">
        <v>0</v>
      </c>
      <c r="J21" s="491">
        <f t="shared" si="0"/>
        <v>-299.99000000000069</v>
      </c>
      <c r="K21" s="492">
        <v>0</v>
      </c>
      <c r="L21" s="491">
        <f t="shared" si="1"/>
        <v>-299.99000000000069</v>
      </c>
      <c r="M21" s="554">
        <v>0</v>
      </c>
      <c r="N21" s="617">
        <f t="shared" si="2"/>
        <v>299.99000000000069</v>
      </c>
      <c r="O21" s="493"/>
      <c r="P21" s="486"/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6"/>
      <c r="AJ21" s="486"/>
      <c r="AK21" s="486"/>
      <c r="AL21" s="486"/>
      <c r="AM21" s="486"/>
      <c r="AN21" s="486"/>
      <c r="AO21" s="486"/>
      <c r="AP21" s="486"/>
      <c r="AQ21" s="486"/>
      <c r="AR21" s="486"/>
      <c r="AS21" s="486"/>
      <c r="AT21" s="486"/>
      <c r="AU21" s="486"/>
      <c r="AV21" s="486"/>
      <c r="AW21" s="486"/>
      <c r="AX21" s="486"/>
      <c r="AY21" s="486"/>
      <c r="AZ21" s="486"/>
      <c r="BA21" s="486"/>
      <c r="BB21" s="486"/>
      <c r="BC21" s="486"/>
      <c r="BD21" s="486"/>
      <c r="BE21" s="486"/>
      <c r="BF21" s="486"/>
      <c r="BG21" s="486"/>
      <c r="BH21" s="486"/>
      <c r="BI21" s="486"/>
      <c r="BJ21" s="486"/>
      <c r="BK21" s="486"/>
      <c r="BL21" s="486"/>
      <c r="BM21" s="486"/>
      <c r="BN21" s="486"/>
      <c r="BO21" s="486"/>
      <c r="BP21" s="486"/>
      <c r="BQ21" s="486"/>
      <c r="BR21" s="486"/>
      <c r="BS21" s="486"/>
      <c r="BT21" s="486"/>
      <c r="BU21" s="486"/>
      <c r="BV21" s="486"/>
      <c r="BW21" s="486"/>
      <c r="BX21" s="486"/>
      <c r="BY21" s="486"/>
      <c r="BZ21" s="486"/>
      <c r="CA21" s="486"/>
      <c r="CB21" s="486"/>
      <c r="CC21" s="486"/>
      <c r="CD21" s="486"/>
      <c r="CE21" s="486"/>
      <c r="CF21" s="486"/>
      <c r="CG21" s="486"/>
      <c r="CH21" s="486"/>
      <c r="CI21" s="486"/>
      <c r="CJ21" s="486"/>
      <c r="CK21" s="486"/>
      <c r="CL21" s="486"/>
      <c r="CM21" s="486"/>
      <c r="CN21" s="486"/>
      <c r="CO21" s="486"/>
      <c r="CP21" s="486"/>
      <c r="CQ21" s="486"/>
      <c r="CR21" s="486"/>
      <c r="CS21" s="486"/>
      <c r="CT21" s="486"/>
      <c r="CU21" s="486"/>
      <c r="CV21" s="486"/>
      <c r="CW21" s="486"/>
      <c r="CX21" s="486"/>
      <c r="CY21" s="486"/>
      <c r="CZ21" s="486"/>
      <c r="DA21" s="486"/>
      <c r="DB21" s="486"/>
      <c r="DC21" s="486"/>
      <c r="DD21" s="486"/>
      <c r="DE21" s="486"/>
      <c r="DF21" s="486"/>
      <c r="DG21" s="486"/>
      <c r="DH21" s="486"/>
      <c r="DI21" s="486"/>
      <c r="DJ21" s="486"/>
      <c r="DK21" s="486"/>
      <c r="DL21" s="486"/>
      <c r="DM21" s="486"/>
      <c r="DN21" s="486"/>
      <c r="DO21" s="486"/>
      <c r="DP21" s="486"/>
      <c r="DQ21" s="486"/>
      <c r="DR21" s="486"/>
      <c r="DS21" s="486"/>
      <c r="DT21" s="486"/>
      <c r="DU21" s="486"/>
      <c r="DV21" s="486"/>
      <c r="DW21" s="486"/>
      <c r="DX21" s="486"/>
      <c r="DY21" s="486"/>
      <c r="DZ21" s="486"/>
      <c r="EA21" s="486"/>
      <c r="EB21" s="486"/>
      <c r="EC21" s="486"/>
      <c r="ED21" s="486"/>
      <c r="EE21" s="486"/>
      <c r="EF21" s="486"/>
      <c r="EG21" s="486"/>
      <c r="EH21" s="486"/>
      <c r="EI21" s="486"/>
      <c r="EJ21" s="486"/>
      <c r="EK21" s="486"/>
      <c r="EL21" s="486"/>
      <c r="EM21" s="486"/>
      <c r="EN21" s="486"/>
      <c r="EO21" s="486"/>
      <c r="EP21" s="486"/>
      <c r="EQ21" s="486"/>
      <c r="ER21" s="486"/>
      <c r="ES21" s="486"/>
      <c r="ET21" s="486"/>
      <c r="EU21" s="486"/>
      <c r="EV21" s="486"/>
      <c r="EW21" s="486"/>
      <c r="EX21" s="486"/>
      <c r="EY21" s="486"/>
      <c r="EZ21" s="486"/>
      <c r="FA21" s="486"/>
      <c r="FB21" s="486"/>
      <c r="FC21" s="486"/>
      <c r="FD21" s="486"/>
      <c r="FE21" s="486"/>
      <c r="FF21" s="486"/>
      <c r="FG21" s="486"/>
      <c r="FH21" s="486"/>
      <c r="FI21" s="486"/>
      <c r="FJ21" s="486"/>
      <c r="FK21" s="486"/>
      <c r="FL21" s="486"/>
      <c r="FM21" s="486"/>
      <c r="FN21" s="486"/>
      <c r="FO21" s="486"/>
      <c r="FP21" s="486"/>
      <c r="FQ21" s="486"/>
      <c r="FR21" s="486"/>
      <c r="FS21" s="486"/>
      <c r="FT21" s="486"/>
      <c r="FU21" s="486"/>
      <c r="FV21" s="486"/>
      <c r="FW21" s="486"/>
      <c r="FX21" s="486"/>
      <c r="FY21" s="486"/>
      <c r="FZ21" s="486"/>
      <c r="GA21" s="486"/>
      <c r="GB21" s="486"/>
      <c r="GC21" s="486"/>
      <c r="GD21" s="486"/>
      <c r="GE21" s="486"/>
      <c r="GF21" s="486"/>
      <c r="GG21" s="486"/>
      <c r="GH21" s="486"/>
      <c r="GI21" s="486"/>
      <c r="GJ21" s="486"/>
      <c r="GK21" s="486"/>
      <c r="GL21" s="486"/>
      <c r="GM21" s="486"/>
      <c r="GN21" s="486"/>
      <c r="GO21" s="486"/>
      <c r="GP21" s="486"/>
      <c r="GQ21" s="486"/>
      <c r="GR21" s="486"/>
      <c r="GS21" s="486"/>
      <c r="GT21" s="486"/>
      <c r="GU21" s="486"/>
      <c r="GV21" s="486"/>
      <c r="GW21" s="486"/>
      <c r="GX21" s="486"/>
      <c r="GY21" s="486"/>
      <c r="GZ21" s="486"/>
      <c r="HA21" s="486"/>
      <c r="HB21" s="486"/>
      <c r="HC21" s="486"/>
      <c r="HD21" s="486"/>
      <c r="HE21" s="486"/>
      <c r="HF21" s="486"/>
      <c r="HG21" s="486"/>
      <c r="HH21" s="486"/>
      <c r="HI21" s="486"/>
      <c r="HJ21" s="486"/>
      <c r="HK21" s="486"/>
      <c r="HL21" s="486"/>
      <c r="HM21" s="486"/>
      <c r="HN21" s="486"/>
      <c r="HO21" s="486"/>
      <c r="HP21" s="486"/>
      <c r="HQ21" s="486"/>
      <c r="HR21" s="486"/>
      <c r="HS21" s="486"/>
      <c r="HT21" s="486"/>
      <c r="HU21" s="486"/>
      <c r="HV21" s="486"/>
      <c r="HW21" s="486"/>
      <c r="HX21" s="486"/>
      <c r="HY21" s="486"/>
      <c r="HZ21" s="486"/>
      <c r="IA21" s="486"/>
      <c r="IB21" s="486"/>
      <c r="IC21" s="486"/>
      <c r="ID21" s="486"/>
      <c r="IE21" s="486"/>
      <c r="IF21" s="486"/>
      <c r="IG21" s="486"/>
      <c r="IH21" s="486"/>
      <c r="II21" s="486"/>
      <c r="IJ21" s="486"/>
      <c r="IK21" s="486"/>
      <c r="IL21" s="486"/>
      <c r="IM21" s="486"/>
      <c r="IN21" s="486"/>
      <c r="IO21" s="486"/>
      <c r="IP21" s="486"/>
      <c r="IQ21" s="486"/>
      <c r="IR21" s="486"/>
      <c r="IS21" s="486"/>
      <c r="IT21" s="486"/>
      <c r="IU21" s="486"/>
    </row>
    <row r="22" spans="1:255" s="465" customFormat="1" ht="21" customHeight="1">
      <c r="A22" s="616" t="s">
        <v>607</v>
      </c>
      <c r="B22" s="485" t="s">
        <v>607</v>
      </c>
      <c r="C22" s="487">
        <v>112</v>
      </c>
      <c r="D22" s="488">
        <f>+'112 (R)'!H26</f>
        <v>774864</v>
      </c>
      <c r="E22" s="489">
        <f>+'112 (R)'!H27</f>
        <v>594897.92999999993</v>
      </c>
      <c r="F22" s="490">
        <f>+'112 (R)'!H39</f>
        <v>1117699.76</v>
      </c>
      <c r="G22" s="490">
        <f>+'112 (R)'!H36</f>
        <v>303.19</v>
      </c>
      <c r="H22" s="490">
        <v>0</v>
      </c>
      <c r="I22" s="490">
        <f>+'112 (R)'!H35</f>
        <v>61377.5</v>
      </c>
      <c r="J22" s="491">
        <f t="shared" si="0"/>
        <v>190381.47999999992</v>
      </c>
      <c r="K22" s="492">
        <v>0</v>
      </c>
      <c r="L22" s="491">
        <f t="shared" si="1"/>
        <v>190381.47999999992</v>
      </c>
      <c r="M22" s="554">
        <v>0</v>
      </c>
      <c r="N22" s="617">
        <f t="shared" si="2"/>
        <v>-190381.47999999992</v>
      </c>
      <c r="O22" s="493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  <c r="AO22" s="486"/>
      <c r="AP22" s="486"/>
      <c r="AQ22" s="486"/>
      <c r="AR22" s="486"/>
      <c r="AS22" s="486"/>
      <c r="AT22" s="486"/>
      <c r="AU22" s="486"/>
      <c r="AV22" s="486"/>
      <c r="AW22" s="486"/>
      <c r="AX22" s="486"/>
      <c r="AY22" s="486"/>
      <c r="AZ22" s="486"/>
      <c r="BA22" s="486"/>
      <c r="BB22" s="486"/>
      <c r="BC22" s="486"/>
      <c r="BD22" s="486"/>
      <c r="BE22" s="486"/>
      <c r="BF22" s="486"/>
      <c r="BG22" s="486"/>
      <c r="BH22" s="486"/>
      <c r="BI22" s="486"/>
      <c r="BJ22" s="486"/>
      <c r="BK22" s="486"/>
      <c r="BL22" s="486"/>
      <c r="BM22" s="486"/>
      <c r="BN22" s="486"/>
      <c r="BO22" s="486"/>
      <c r="BP22" s="486"/>
      <c r="BQ22" s="486"/>
      <c r="BR22" s="486"/>
      <c r="BS22" s="486"/>
      <c r="BT22" s="486"/>
      <c r="BU22" s="486"/>
      <c r="BV22" s="486"/>
      <c r="BW22" s="486"/>
      <c r="BX22" s="486"/>
      <c r="BY22" s="486"/>
      <c r="BZ22" s="486"/>
      <c r="CA22" s="486"/>
      <c r="CB22" s="486"/>
      <c r="CC22" s="486"/>
      <c r="CD22" s="486"/>
      <c r="CE22" s="486"/>
      <c r="CF22" s="486"/>
      <c r="CG22" s="486"/>
      <c r="CH22" s="486"/>
      <c r="CI22" s="486"/>
      <c r="CJ22" s="486"/>
      <c r="CK22" s="486"/>
      <c r="CL22" s="486"/>
      <c r="CM22" s="486"/>
      <c r="CN22" s="486"/>
      <c r="CO22" s="486"/>
      <c r="CP22" s="486"/>
      <c r="CQ22" s="486"/>
      <c r="CR22" s="486"/>
      <c r="CS22" s="486"/>
      <c r="CT22" s="486"/>
      <c r="CU22" s="486"/>
      <c r="CV22" s="486"/>
      <c r="CW22" s="486"/>
      <c r="CX22" s="486"/>
      <c r="CY22" s="486"/>
      <c r="CZ22" s="486"/>
      <c r="DA22" s="486"/>
      <c r="DB22" s="486"/>
      <c r="DC22" s="486"/>
      <c r="DD22" s="486"/>
      <c r="DE22" s="486"/>
      <c r="DF22" s="486"/>
      <c r="DG22" s="486"/>
      <c r="DH22" s="486"/>
      <c r="DI22" s="486"/>
      <c r="DJ22" s="486"/>
      <c r="DK22" s="486"/>
      <c r="DL22" s="486"/>
      <c r="DM22" s="486"/>
      <c r="DN22" s="486"/>
      <c r="DO22" s="486"/>
      <c r="DP22" s="486"/>
      <c r="DQ22" s="486"/>
      <c r="DR22" s="486"/>
      <c r="DS22" s="486"/>
      <c r="DT22" s="486"/>
      <c r="DU22" s="486"/>
      <c r="DV22" s="486"/>
      <c r="DW22" s="486"/>
      <c r="DX22" s="486"/>
      <c r="DY22" s="486"/>
      <c r="DZ22" s="486"/>
      <c r="EA22" s="486"/>
      <c r="EB22" s="486"/>
      <c r="EC22" s="486"/>
      <c r="ED22" s="486"/>
      <c r="EE22" s="486"/>
      <c r="EF22" s="486"/>
      <c r="EG22" s="486"/>
      <c r="EH22" s="486"/>
      <c r="EI22" s="486"/>
      <c r="EJ22" s="486"/>
      <c r="EK22" s="486"/>
      <c r="EL22" s="486"/>
      <c r="EM22" s="486"/>
      <c r="EN22" s="486"/>
      <c r="EO22" s="486"/>
      <c r="EP22" s="486"/>
      <c r="EQ22" s="486"/>
      <c r="ER22" s="486"/>
      <c r="ES22" s="486"/>
      <c r="ET22" s="486"/>
      <c r="EU22" s="486"/>
      <c r="EV22" s="486"/>
      <c r="EW22" s="486"/>
      <c r="EX22" s="486"/>
      <c r="EY22" s="486"/>
      <c r="EZ22" s="486"/>
      <c r="FA22" s="486"/>
      <c r="FB22" s="486"/>
      <c r="FC22" s="486"/>
      <c r="FD22" s="486"/>
      <c r="FE22" s="486"/>
      <c r="FF22" s="486"/>
      <c r="FG22" s="486"/>
      <c r="FH22" s="486"/>
      <c r="FI22" s="486"/>
      <c r="FJ22" s="486"/>
      <c r="FK22" s="486"/>
      <c r="FL22" s="486"/>
      <c r="FM22" s="486"/>
      <c r="FN22" s="486"/>
      <c r="FO22" s="486"/>
      <c r="FP22" s="486"/>
      <c r="FQ22" s="486"/>
      <c r="FR22" s="486"/>
      <c r="FS22" s="486"/>
      <c r="FT22" s="486"/>
      <c r="FU22" s="486"/>
      <c r="FV22" s="486"/>
      <c r="FW22" s="486"/>
      <c r="FX22" s="486"/>
      <c r="FY22" s="486"/>
      <c r="FZ22" s="486"/>
      <c r="GA22" s="486"/>
      <c r="GB22" s="486"/>
      <c r="GC22" s="486"/>
      <c r="GD22" s="486"/>
      <c r="GE22" s="486"/>
      <c r="GF22" s="486"/>
      <c r="GG22" s="486"/>
      <c r="GH22" s="486"/>
      <c r="GI22" s="486"/>
      <c r="GJ22" s="486"/>
      <c r="GK22" s="486"/>
      <c r="GL22" s="486"/>
      <c r="GM22" s="486"/>
      <c r="GN22" s="486"/>
      <c r="GO22" s="486"/>
      <c r="GP22" s="486"/>
      <c r="GQ22" s="486"/>
      <c r="GR22" s="486"/>
      <c r="GS22" s="486"/>
      <c r="GT22" s="486"/>
      <c r="GU22" s="486"/>
      <c r="GV22" s="486"/>
      <c r="GW22" s="486"/>
      <c r="GX22" s="486"/>
      <c r="GY22" s="486"/>
      <c r="GZ22" s="486"/>
      <c r="HA22" s="486"/>
      <c r="HB22" s="486"/>
      <c r="HC22" s="486"/>
      <c r="HD22" s="486"/>
      <c r="HE22" s="486"/>
      <c r="HF22" s="486"/>
      <c r="HG22" s="486"/>
      <c r="HH22" s="486"/>
      <c r="HI22" s="486"/>
      <c r="HJ22" s="486"/>
      <c r="HK22" s="486"/>
      <c r="HL22" s="486"/>
      <c r="HM22" s="486"/>
      <c r="HN22" s="486"/>
      <c r="HO22" s="486"/>
      <c r="HP22" s="486"/>
      <c r="HQ22" s="486"/>
      <c r="HR22" s="486"/>
      <c r="HS22" s="486"/>
      <c r="HT22" s="486"/>
      <c r="HU22" s="486"/>
      <c r="HV22" s="486"/>
      <c r="HW22" s="486"/>
      <c r="HX22" s="486"/>
      <c r="HY22" s="486"/>
      <c r="HZ22" s="486"/>
      <c r="IA22" s="486"/>
      <c r="IB22" s="486"/>
      <c r="IC22" s="486"/>
      <c r="ID22" s="486"/>
      <c r="IE22" s="486"/>
      <c r="IF22" s="486"/>
      <c r="IG22" s="486"/>
      <c r="IH22" s="486"/>
      <c r="II22" s="486"/>
      <c r="IJ22" s="486"/>
      <c r="IK22" s="486"/>
      <c r="IL22" s="486"/>
      <c r="IM22" s="486"/>
      <c r="IN22" s="486"/>
      <c r="IO22" s="486"/>
      <c r="IP22" s="486"/>
      <c r="IQ22" s="486"/>
      <c r="IR22" s="486"/>
      <c r="IS22" s="486"/>
      <c r="IT22" s="486"/>
      <c r="IU22" s="486"/>
    </row>
    <row r="23" spans="1:255" s="465" customFormat="1" ht="21" customHeight="1">
      <c r="A23" s="616" t="s">
        <v>607</v>
      </c>
      <c r="B23" s="485" t="s">
        <v>607</v>
      </c>
      <c r="C23" s="487">
        <v>118</v>
      </c>
      <c r="D23" s="488">
        <f>+'118 (R)'!H26</f>
        <v>704465</v>
      </c>
      <c r="E23" s="489">
        <f>+'118 (R)'!H27</f>
        <v>395020.12000000005</v>
      </c>
      <c r="F23" s="490">
        <f>+'118 (R)'!H39</f>
        <v>882330.15999999992</v>
      </c>
      <c r="G23" s="490">
        <f>+'118 (R)'!H36</f>
        <v>1121.48</v>
      </c>
      <c r="H23" s="490">
        <v>0</v>
      </c>
      <c r="I23" s="490">
        <f>+'118 (R)'!H35</f>
        <v>33377</v>
      </c>
      <c r="J23" s="491">
        <f t="shared" si="0"/>
        <v>182656.48000000019</v>
      </c>
      <c r="K23" s="492">
        <v>0</v>
      </c>
      <c r="L23" s="491">
        <f t="shared" si="1"/>
        <v>182656.48000000019</v>
      </c>
      <c r="M23" s="554">
        <v>0</v>
      </c>
      <c r="N23" s="617">
        <f t="shared" si="2"/>
        <v>-182656.48000000019</v>
      </c>
      <c r="O23" s="493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  <c r="AK23" s="486"/>
      <c r="AL23" s="486"/>
      <c r="AM23" s="486"/>
      <c r="AN23" s="486"/>
      <c r="AO23" s="486"/>
      <c r="AP23" s="486"/>
      <c r="AQ23" s="486"/>
      <c r="AR23" s="486"/>
      <c r="AS23" s="486"/>
      <c r="AT23" s="486"/>
      <c r="AU23" s="486"/>
      <c r="AV23" s="486"/>
      <c r="AW23" s="486"/>
      <c r="AX23" s="486"/>
      <c r="AY23" s="486"/>
      <c r="AZ23" s="486"/>
      <c r="BA23" s="486"/>
      <c r="BB23" s="486"/>
      <c r="BC23" s="486"/>
      <c r="BD23" s="486"/>
      <c r="BE23" s="486"/>
      <c r="BF23" s="486"/>
      <c r="BG23" s="486"/>
      <c r="BH23" s="486"/>
      <c r="BI23" s="486"/>
      <c r="BJ23" s="486"/>
      <c r="BK23" s="486"/>
      <c r="BL23" s="486"/>
      <c r="BM23" s="486"/>
      <c r="BN23" s="486"/>
      <c r="BO23" s="486"/>
      <c r="BP23" s="486"/>
      <c r="BQ23" s="486"/>
      <c r="BR23" s="486"/>
      <c r="BS23" s="486"/>
      <c r="BT23" s="486"/>
      <c r="BU23" s="486"/>
      <c r="BV23" s="486"/>
      <c r="BW23" s="486"/>
      <c r="BX23" s="486"/>
      <c r="BY23" s="486"/>
      <c r="BZ23" s="486"/>
      <c r="CA23" s="486"/>
      <c r="CB23" s="486"/>
      <c r="CC23" s="486"/>
      <c r="CD23" s="486"/>
      <c r="CE23" s="486"/>
      <c r="CF23" s="486"/>
      <c r="CG23" s="486"/>
      <c r="CH23" s="486"/>
      <c r="CI23" s="486"/>
      <c r="CJ23" s="486"/>
      <c r="CK23" s="486"/>
      <c r="CL23" s="486"/>
      <c r="CM23" s="486"/>
      <c r="CN23" s="486"/>
      <c r="CO23" s="486"/>
      <c r="CP23" s="486"/>
      <c r="CQ23" s="486"/>
      <c r="CR23" s="486"/>
      <c r="CS23" s="486"/>
      <c r="CT23" s="486"/>
      <c r="CU23" s="486"/>
      <c r="CV23" s="486"/>
      <c r="CW23" s="486"/>
      <c r="CX23" s="486"/>
      <c r="CY23" s="486"/>
      <c r="CZ23" s="486"/>
      <c r="DA23" s="486"/>
      <c r="DB23" s="486"/>
      <c r="DC23" s="486"/>
      <c r="DD23" s="486"/>
      <c r="DE23" s="486"/>
      <c r="DF23" s="486"/>
      <c r="DG23" s="486"/>
      <c r="DH23" s="486"/>
      <c r="DI23" s="486"/>
      <c r="DJ23" s="486"/>
      <c r="DK23" s="486"/>
      <c r="DL23" s="486"/>
      <c r="DM23" s="486"/>
      <c r="DN23" s="486"/>
      <c r="DO23" s="486"/>
      <c r="DP23" s="486"/>
      <c r="DQ23" s="486"/>
      <c r="DR23" s="486"/>
      <c r="DS23" s="486"/>
      <c r="DT23" s="486"/>
      <c r="DU23" s="486"/>
      <c r="DV23" s="486"/>
      <c r="DW23" s="486"/>
      <c r="DX23" s="486"/>
      <c r="DY23" s="486"/>
      <c r="DZ23" s="486"/>
      <c r="EA23" s="486"/>
      <c r="EB23" s="486"/>
      <c r="EC23" s="486"/>
      <c r="ED23" s="486"/>
      <c r="EE23" s="486"/>
      <c r="EF23" s="486"/>
      <c r="EG23" s="486"/>
      <c r="EH23" s="486"/>
      <c r="EI23" s="486"/>
      <c r="EJ23" s="486"/>
      <c r="EK23" s="486"/>
      <c r="EL23" s="486"/>
      <c r="EM23" s="486"/>
      <c r="EN23" s="486"/>
      <c r="EO23" s="486"/>
      <c r="EP23" s="486"/>
      <c r="EQ23" s="486"/>
      <c r="ER23" s="486"/>
      <c r="ES23" s="486"/>
      <c r="ET23" s="486"/>
      <c r="EU23" s="486"/>
      <c r="EV23" s="486"/>
      <c r="EW23" s="486"/>
      <c r="EX23" s="486"/>
      <c r="EY23" s="486"/>
      <c r="EZ23" s="486"/>
      <c r="FA23" s="486"/>
      <c r="FB23" s="486"/>
      <c r="FC23" s="486"/>
      <c r="FD23" s="486"/>
      <c r="FE23" s="486"/>
      <c r="FF23" s="486"/>
      <c r="FG23" s="486"/>
      <c r="FH23" s="486"/>
      <c r="FI23" s="486"/>
      <c r="FJ23" s="486"/>
      <c r="FK23" s="486"/>
      <c r="FL23" s="486"/>
      <c r="FM23" s="486"/>
      <c r="FN23" s="486"/>
      <c r="FO23" s="486"/>
      <c r="FP23" s="486"/>
      <c r="FQ23" s="486"/>
      <c r="FR23" s="486"/>
      <c r="FS23" s="486"/>
      <c r="FT23" s="486"/>
      <c r="FU23" s="486"/>
      <c r="FV23" s="486"/>
      <c r="FW23" s="486"/>
      <c r="FX23" s="486"/>
      <c r="FY23" s="486"/>
      <c r="FZ23" s="486"/>
      <c r="GA23" s="486"/>
      <c r="GB23" s="486"/>
      <c r="GC23" s="486"/>
      <c r="GD23" s="486"/>
      <c r="GE23" s="486"/>
      <c r="GF23" s="486"/>
      <c r="GG23" s="486"/>
      <c r="GH23" s="486"/>
      <c r="GI23" s="486"/>
      <c r="GJ23" s="486"/>
      <c r="GK23" s="486"/>
      <c r="GL23" s="486"/>
      <c r="GM23" s="486"/>
      <c r="GN23" s="486"/>
      <c r="GO23" s="486"/>
      <c r="GP23" s="486"/>
      <c r="GQ23" s="486"/>
      <c r="GR23" s="486"/>
      <c r="GS23" s="486"/>
      <c r="GT23" s="486"/>
      <c r="GU23" s="486"/>
      <c r="GV23" s="486"/>
      <c r="GW23" s="486"/>
      <c r="GX23" s="486"/>
      <c r="GY23" s="486"/>
      <c r="GZ23" s="486"/>
      <c r="HA23" s="486"/>
      <c r="HB23" s="486"/>
      <c r="HC23" s="486"/>
      <c r="HD23" s="486"/>
      <c r="HE23" s="486"/>
      <c r="HF23" s="486"/>
      <c r="HG23" s="486"/>
      <c r="HH23" s="486"/>
      <c r="HI23" s="486"/>
      <c r="HJ23" s="486"/>
      <c r="HK23" s="486"/>
      <c r="HL23" s="486"/>
      <c r="HM23" s="486"/>
      <c r="HN23" s="486"/>
      <c r="HO23" s="486"/>
      <c r="HP23" s="486"/>
      <c r="HQ23" s="486"/>
      <c r="HR23" s="486"/>
      <c r="HS23" s="486"/>
      <c r="HT23" s="486"/>
      <c r="HU23" s="486"/>
      <c r="HV23" s="486"/>
      <c r="HW23" s="486"/>
      <c r="HX23" s="486"/>
      <c r="HY23" s="486"/>
      <c r="HZ23" s="486"/>
      <c r="IA23" s="486"/>
      <c r="IB23" s="486"/>
      <c r="IC23" s="486"/>
      <c r="ID23" s="486"/>
      <c r="IE23" s="486"/>
      <c r="IF23" s="486"/>
      <c r="IG23" s="486"/>
      <c r="IH23" s="486"/>
      <c r="II23" s="486"/>
      <c r="IJ23" s="486"/>
      <c r="IK23" s="486"/>
      <c r="IL23" s="486"/>
      <c r="IM23" s="486"/>
      <c r="IN23" s="486"/>
      <c r="IO23" s="486"/>
      <c r="IP23" s="486"/>
      <c r="IQ23" s="486"/>
      <c r="IR23" s="486"/>
      <c r="IS23" s="486"/>
      <c r="IT23" s="486"/>
      <c r="IU23" s="486"/>
    </row>
    <row r="24" spans="1:255" s="465" customFormat="1" ht="21" customHeight="1">
      <c r="A24" s="616" t="s">
        <v>70</v>
      </c>
      <c r="B24" s="485" t="s">
        <v>829</v>
      </c>
      <c r="C24" s="487">
        <v>95</v>
      </c>
      <c r="D24" s="488">
        <f>'95 (R)'!H31</f>
        <v>123316</v>
      </c>
      <c r="E24" s="489">
        <f>'95 (R)'!H30</f>
        <v>49089.2</v>
      </c>
      <c r="F24" s="490">
        <f>'95 (R)'!H22</f>
        <v>139108.47</v>
      </c>
      <c r="G24" s="490">
        <v>0</v>
      </c>
      <c r="H24" s="490">
        <v>0</v>
      </c>
      <c r="I24" s="490">
        <v>0</v>
      </c>
      <c r="J24" s="491">
        <f t="shared" si="0"/>
        <v>33296.73000000001</v>
      </c>
      <c r="K24" s="492">
        <v>0</v>
      </c>
      <c r="L24" s="491">
        <f t="shared" si="1"/>
        <v>33296.73000000001</v>
      </c>
      <c r="M24" s="554">
        <v>0</v>
      </c>
      <c r="N24" s="617">
        <f t="shared" si="2"/>
        <v>-33296.73000000001</v>
      </c>
      <c r="O24" s="493"/>
      <c r="P24" s="486"/>
      <c r="Q24" s="486"/>
      <c r="R24" s="486"/>
      <c r="S24" s="486"/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6"/>
      <c r="AN24" s="486"/>
      <c r="AO24" s="486"/>
      <c r="AP24" s="486"/>
      <c r="AQ24" s="486"/>
      <c r="AR24" s="486"/>
      <c r="AS24" s="486"/>
      <c r="AT24" s="486"/>
      <c r="AU24" s="486"/>
      <c r="AV24" s="486"/>
      <c r="AW24" s="486"/>
      <c r="AX24" s="486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6"/>
      <c r="BJ24" s="486"/>
      <c r="BK24" s="486"/>
      <c r="BL24" s="486"/>
      <c r="BM24" s="486"/>
      <c r="BN24" s="486"/>
      <c r="BO24" s="486"/>
      <c r="BP24" s="486"/>
      <c r="BQ24" s="486"/>
      <c r="BR24" s="486"/>
      <c r="BS24" s="486"/>
      <c r="BT24" s="486"/>
      <c r="BU24" s="486"/>
      <c r="BV24" s="486"/>
      <c r="BW24" s="486"/>
      <c r="BX24" s="486"/>
      <c r="BY24" s="486"/>
      <c r="BZ24" s="486"/>
      <c r="CA24" s="486"/>
      <c r="CB24" s="486"/>
      <c r="CC24" s="486"/>
      <c r="CD24" s="486"/>
      <c r="CE24" s="486"/>
      <c r="CF24" s="486"/>
      <c r="CG24" s="486"/>
      <c r="CH24" s="486"/>
      <c r="CI24" s="486"/>
      <c r="CJ24" s="486"/>
      <c r="CK24" s="486"/>
      <c r="CL24" s="486"/>
      <c r="CM24" s="486"/>
      <c r="CN24" s="486"/>
      <c r="CO24" s="486"/>
      <c r="CP24" s="486"/>
      <c r="CQ24" s="486"/>
      <c r="CR24" s="486"/>
      <c r="CS24" s="486"/>
      <c r="CT24" s="486"/>
      <c r="CU24" s="486"/>
      <c r="CV24" s="486"/>
      <c r="CW24" s="486"/>
      <c r="CX24" s="486"/>
      <c r="CY24" s="486"/>
      <c r="CZ24" s="486"/>
      <c r="DA24" s="486"/>
      <c r="DB24" s="486"/>
      <c r="DC24" s="486"/>
      <c r="DD24" s="486"/>
      <c r="DE24" s="486"/>
      <c r="DF24" s="486"/>
      <c r="DG24" s="486"/>
      <c r="DH24" s="486"/>
      <c r="DI24" s="486"/>
      <c r="DJ24" s="486"/>
      <c r="DK24" s="486"/>
      <c r="DL24" s="486"/>
      <c r="DM24" s="486"/>
      <c r="DN24" s="486"/>
      <c r="DO24" s="486"/>
      <c r="DP24" s="486"/>
      <c r="DQ24" s="486"/>
      <c r="DR24" s="486"/>
      <c r="DS24" s="486"/>
      <c r="DT24" s="486"/>
      <c r="DU24" s="486"/>
      <c r="DV24" s="486"/>
      <c r="DW24" s="486"/>
      <c r="DX24" s="486"/>
      <c r="DY24" s="486"/>
      <c r="DZ24" s="486"/>
      <c r="EA24" s="486"/>
      <c r="EB24" s="486"/>
      <c r="EC24" s="486"/>
      <c r="ED24" s="486"/>
      <c r="EE24" s="486"/>
      <c r="EF24" s="486"/>
      <c r="EG24" s="486"/>
      <c r="EH24" s="486"/>
      <c r="EI24" s="486"/>
      <c r="EJ24" s="486"/>
      <c r="EK24" s="486"/>
      <c r="EL24" s="486"/>
      <c r="EM24" s="486"/>
      <c r="EN24" s="486"/>
      <c r="EO24" s="486"/>
      <c r="EP24" s="486"/>
      <c r="EQ24" s="486"/>
      <c r="ER24" s="486"/>
      <c r="ES24" s="486"/>
      <c r="ET24" s="486"/>
      <c r="EU24" s="486"/>
      <c r="EV24" s="486"/>
      <c r="EW24" s="486"/>
      <c r="EX24" s="486"/>
      <c r="EY24" s="486"/>
      <c r="EZ24" s="486"/>
      <c r="FA24" s="486"/>
      <c r="FB24" s="486"/>
      <c r="FC24" s="486"/>
      <c r="FD24" s="486"/>
      <c r="FE24" s="486"/>
      <c r="FF24" s="486"/>
      <c r="FG24" s="486"/>
      <c r="FH24" s="486"/>
      <c r="FI24" s="486"/>
      <c r="FJ24" s="486"/>
      <c r="FK24" s="486"/>
      <c r="FL24" s="486"/>
      <c r="FM24" s="486"/>
      <c r="FN24" s="486"/>
      <c r="FO24" s="486"/>
      <c r="FP24" s="486"/>
      <c r="FQ24" s="486"/>
      <c r="FR24" s="486"/>
      <c r="FS24" s="486"/>
      <c r="FT24" s="486"/>
      <c r="FU24" s="486"/>
      <c r="FV24" s="486"/>
      <c r="FW24" s="486"/>
      <c r="FX24" s="486"/>
      <c r="FY24" s="486"/>
      <c r="FZ24" s="486"/>
      <c r="GA24" s="486"/>
      <c r="GB24" s="486"/>
      <c r="GC24" s="486"/>
      <c r="GD24" s="486"/>
      <c r="GE24" s="486"/>
      <c r="GF24" s="486"/>
      <c r="GG24" s="486"/>
      <c r="GH24" s="486"/>
      <c r="GI24" s="486"/>
      <c r="GJ24" s="486"/>
      <c r="GK24" s="486"/>
      <c r="GL24" s="486"/>
      <c r="GM24" s="486"/>
      <c r="GN24" s="486"/>
      <c r="GO24" s="486"/>
      <c r="GP24" s="486"/>
      <c r="GQ24" s="486"/>
      <c r="GR24" s="486"/>
      <c r="GS24" s="486"/>
      <c r="GT24" s="486"/>
      <c r="GU24" s="486"/>
      <c r="GV24" s="486"/>
      <c r="GW24" s="486"/>
      <c r="GX24" s="486"/>
      <c r="GY24" s="486"/>
      <c r="GZ24" s="486"/>
      <c r="HA24" s="486"/>
      <c r="HB24" s="486"/>
      <c r="HC24" s="486"/>
      <c r="HD24" s="486"/>
      <c r="HE24" s="486"/>
      <c r="HF24" s="486"/>
      <c r="HG24" s="486"/>
      <c r="HH24" s="486"/>
      <c r="HI24" s="486"/>
      <c r="HJ24" s="486"/>
      <c r="HK24" s="486"/>
      <c r="HL24" s="486"/>
      <c r="HM24" s="486"/>
      <c r="HN24" s="486"/>
      <c r="HO24" s="486"/>
      <c r="HP24" s="486"/>
      <c r="HQ24" s="486"/>
      <c r="HR24" s="486"/>
      <c r="HS24" s="486"/>
      <c r="HT24" s="486"/>
      <c r="HU24" s="486"/>
      <c r="HV24" s="486"/>
      <c r="HW24" s="486"/>
      <c r="HX24" s="486"/>
      <c r="HY24" s="486"/>
      <c r="HZ24" s="486"/>
      <c r="IA24" s="486"/>
      <c r="IB24" s="486"/>
      <c r="IC24" s="486"/>
      <c r="ID24" s="486"/>
      <c r="IE24" s="486"/>
      <c r="IF24" s="486"/>
      <c r="IG24" s="486"/>
      <c r="IH24" s="486"/>
      <c r="II24" s="486"/>
      <c r="IJ24" s="486"/>
      <c r="IK24" s="486"/>
      <c r="IL24" s="486"/>
      <c r="IM24" s="486"/>
      <c r="IN24" s="486"/>
      <c r="IO24" s="486"/>
      <c r="IP24" s="486"/>
      <c r="IQ24" s="486"/>
      <c r="IR24" s="486"/>
      <c r="IS24" s="486"/>
      <c r="IT24" s="486"/>
      <c r="IU24" s="486"/>
    </row>
    <row r="25" spans="1:255" s="465" customFormat="1" ht="21" customHeight="1">
      <c r="A25" s="616" t="s">
        <v>838</v>
      </c>
      <c r="B25" s="485" t="s">
        <v>111</v>
      </c>
      <c r="C25" s="487">
        <v>35</v>
      </c>
      <c r="D25" s="488">
        <f>'40'!H31</f>
        <v>0</v>
      </c>
      <c r="E25" s="489">
        <f>'35 (R)'!H36</f>
        <v>130481</v>
      </c>
      <c r="F25" s="490">
        <f>'35 (R)'!H37</f>
        <v>73297</v>
      </c>
      <c r="G25" s="490">
        <f>'35 (R)'!H12</f>
        <v>0</v>
      </c>
      <c r="H25" s="490">
        <v>0</v>
      </c>
      <c r="I25" s="490">
        <f>'35 (R)'!H13</f>
        <v>32000</v>
      </c>
      <c r="J25" s="491">
        <f t="shared" si="0"/>
        <v>25184</v>
      </c>
      <c r="K25" s="492">
        <v>0</v>
      </c>
      <c r="L25" s="491">
        <f t="shared" si="1"/>
        <v>25184</v>
      </c>
      <c r="M25" s="554">
        <v>0</v>
      </c>
      <c r="N25" s="617">
        <f t="shared" si="2"/>
        <v>-25184</v>
      </c>
      <c r="O25" s="493"/>
      <c r="P25" s="486"/>
      <c r="Q25" s="486"/>
      <c r="R25" s="486"/>
      <c r="S25" s="486"/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6"/>
      <c r="AE25" s="486"/>
      <c r="AF25" s="486"/>
      <c r="AG25" s="486"/>
      <c r="AH25" s="486"/>
      <c r="AI25" s="486"/>
      <c r="AJ25" s="486"/>
      <c r="AK25" s="486"/>
      <c r="AL25" s="486"/>
      <c r="AM25" s="486"/>
      <c r="AN25" s="486"/>
      <c r="AO25" s="486"/>
      <c r="AP25" s="486"/>
      <c r="AQ25" s="486"/>
      <c r="AR25" s="486"/>
      <c r="AS25" s="486"/>
      <c r="AT25" s="486"/>
      <c r="AU25" s="486"/>
      <c r="AV25" s="486"/>
      <c r="AW25" s="486"/>
      <c r="AX25" s="486"/>
      <c r="AY25" s="486"/>
      <c r="AZ25" s="486"/>
      <c r="BA25" s="486"/>
      <c r="BB25" s="486"/>
      <c r="BC25" s="486"/>
      <c r="BD25" s="486"/>
      <c r="BE25" s="486"/>
      <c r="BF25" s="486"/>
      <c r="BG25" s="486"/>
      <c r="BH25" s="486"/>
      <c r="BI25" s="486"/>
      <c r="BJ25" s="486"/>
      <c r="BK25" s="486"/>
      <c r="BL25" s="486"/>
      <c r="BM25" s="486"/>
      <c r="BN25" s="486"/>
      <c r="BO25" s="486"/>
      <c r="BP25" s="486"/>
      <c r="BQ25" s="486"/>
      <c r="BR25" s="486"/>
      <c r="BS25" s="486"/>
      <c r="BT25" s="486"/>
      <c r="BU25" s="486"/>
      <c r="BV25" s="486"/>
      <c r="BW25" s="486"/>
      <c r="BX25" s="486"/>
      <c r="BY25" s="486"/>
      <c r="BZ25" s="486"/>
      <c r="CA25" s="486"/>
      <c r="CB25" s="486"/>
      <c r="CC25" s="486"/>
      <c r="CD25" s="486"/>
      <c r="CE25" s="486"/>
      <c r="CF25" s="486"/>
      <c r="CG25" s="486"/>
      <c r="CH25" s="486"/>
      <c r="CI25" s="486"/>
      <c r="CJ25" s="486"/>
      <c r="CK25" s="486"/>
      <c r="CL25" s="486"/>
      <c r="CM25" s="486"/>
      <c r="CN25" s="486"/>
      <c r="CO25" s="486"/>
      <c r="CP25" s="486"/>
      <c r="CQ25" s="486"/>
      <c r="CR25" s="486"/>
      <c r="CS25" s="486"/>
      <c r="CT25" s="486"/>
      <c r="CU25" s="486"/>
      <c r="CV25" s="486"/>
      <c r="CW25" s="486"/>
      <c r="CX25" s="486"/>
      <c r="CY25" s="486"/>
      <c r="CZ25" s="486"/>
      <c r="DA25" s="486"/>
      <c r="DB25" s="486"/>
      <c r="DC25" s="486"/>
      <c r="DD25" s="486"/>
      <c r="DE25" s="486"/>
      <c r="DF25" s="486"/>
      <c r="DG25" s="486"/>
      <c r="DH25" s="486"/>
      <c r="DI25" s="486"/>
      <c r="DJ25" s="486"/>
      <c r="DK25" s="486"/>
      <c r="DL25" s="486"/>
      <c r="DM25" s="486"/>
      <c r="DN25" s="486"/>
      <c r="DO25" s="486"/>
      <c r="DP25" s="486"/>
      <c r="DQ25" s="486"/>
      <c r="DR25" s="486"/>
      <c r="DS25" s="486"/>
      <c r="DT25" s="486"/>
      <c r="DU25" s="486"/>
      <c r="DV25" s="486"/>
      <c r="DW25" s="486"/>
      <c r="DX25" s="486"/>
      <c r="DY25" s="486"/>
      <c r="DZ25" s="486"/>
      <c r="EA25" s="486"/>
      <c r="EB25" s="486"/>
      <c r="EC25" s="486"/>
      <c r="ED25" s="486"/>
      <c r="EE25" s="486"/>
      <c r="EF25" s="486"/>
      <c r="EG25" s="486"/>
      <c r="EH25" s="486"/>
      <c r="EI25" s="486"/>
      <c r="EJ25" s="486"/>
      <c r="EK25" s="486"/>
      <c r="EL25" s="486"/>
      <c r="EM25" s="486"/>
      <c r="EN25" s="486"/>
      <c r="EO25" s="486"/>
      <c r="EP25" s="486"/>
      <c r="EQ25" s="486"/>
      <c r="ER25" s="486"/>
      <c r="ES25" s="486"/>
      <c r="ET25" s="486"/>
      <c r="EU25" s="486"/>
      <c r="EV25" s="486"/>
      <c r="EW25" s="486"/>
      <c r="EX25" s="486"/>
      <c r="EY25" s="486"/>
      <c r="EZ25" s="486"/>
      <c r="FA25" s="486"/>
      <c r="FB25" s="486"/>
      <c r="FC25" s="486"/>
      <c r="FD25" s="486"/>
      <c r="FE25" s="486"/>
      <c r="FF25" s="486"/>
      <c r="FG25" s="486"/>
      <c r="FH25" s="486"/>
      <c r="FI25" s="486"/>
      <c r="FJ25" s="486"/>
      <c r="FK25" s="486"/>
      <c r="FL25" s="486"/>
      <c r="FM25" s="486"/>
      <c r="FN25" s="486"/>
      <c r="FO25" s="486"/>
      <c r="FP25" s="486"/>
      <c r="FQ25" s="486"/>
      <c r="FR25" s="486"/>
      <c r="FS25" s="486"/>
      <c r="FT25" s="486"/>
      <c r="FU25" s="486"/>
      <c r="FV25" s="486"/>
      <c r="FW25" s="486"/>
      <c r="FX25" s="486"/>
      <c r="FY25" s="486"/>
      <c r="FZ25" s="486"/>
      <c r="GA25" s="486"/>
      <c r="GB25" s="486"/>
      <c r="GC25" s="486"/>
      <c r="GD25" s="486"/>
      <c r="GE25" s="486"/>
      <c r="GF25" s="486"/>
      <c r="GG25" s="486"/>
      <c r="GH25" s="486"/>
      <c r="GI25" s="486"/>
      <c r="GJ25" s="486"/>
      <c r="GK25" s="486"/>
      <c r="GL25" s="486"/>
      <c r="GM25" s="486"/>
      <c r="GN25" s="486"/>
      <c r="GO25" s="486"/>
      <c r="GP25" s="486"/>
      <c r="GQ25" s="486"/>
      <c r="GR25" s="486"/>
      <c r="GS25" s="486"/>
      <c r="GT25" s="486"/>
      <c r="GU25" s="486"/>
      <c r="GV25" s="486"/>
      <c r="GW25" s="486"/>
      <c r="GX25" s="486"/>
      <c r="GY25" s="486"/>
      <c r="GZ25" s="486"/>
      <c r="HA25" s="486"/>
      <c r="HB25" s="486"/>
      <c r="HC25" s="486"/>
      <c r="HD25" s="486"/>
      <c r="HE25" s="486"/>
      <c r="HF25" s="486"/>
      <c r="HG25" s="486"/>
      <c r="HH25" s="486"/>
      <c r="HI25" s="486"/>
      <c r="HJ25" s="486"/>
      <c r="HK25" s="486"/>
      <c r="HL25" s="486"/>
      <c r="HM25" s="486"/>
      <c r="HN25" s="486"/>
      <c r="HO25" s="486"/>
      <c r="HP25" s="486"/>
      <c r="HQ25" s="486"/>
      <c r="HR25" s="486"/>
      <c r="HS25" s="486"/>
      <c r="HT25" s="486"/>
      <c r="HU25" s="486"/>
      <c r="HV25" s="486"/>
      <c r="HW25" s="486"/>
      <c r="HX25" s="486"/>
      <c r="HY25" s="486"/>
      <c r="HZ25" s="486"/>
      <c r="IA25" s="486"/>
      <c r="IB25" s="486"/>
      <c r="IC25" s="486"/>
      <c r="ID25" s="486"/>
      <c r="IE25" s="486"/>
      <c r="IF25" s="486"/>
      <c r="IG25" s="486"/>
      <c r="IH25" s="486"/>
      <c r="II25" s="486"/>
      <c r="IJ25" s="486"/>
      <c r="IK25" s="486"/>
      <c r="IL25" s="486"/>
      <c r="IM25" s="486"/>
      <c r="IN25" s="486"/>
      <c r="IO25" s="486"/>
      <c r="IP25" s="486"/>
      <c r="IQ25" s="486"/>
      <c r="IR25" s="486"/>
      <c r="IS25" s="486"/>
      <c r="IT25" s="486"/>
      <c r="IU25" s="486"/>
    </row>
    <row r="26" spans="1:255" s="465" customFormat="1" ht="21" customHeight="1">
      <c r="A26" s="616" t="s">
        <v>1</v>
      </c>
      <c r="B26" s="485" t="s">
        <v>607</v>
      </c>
      <c r="C26" s="487">
        <v>113</v>
      </c>
      <c r="D26" s="488">
        <f>+'113 (R)'!H26</f>
        <v>884408</v>
      </c>
      <c r="E26" s="489">
        <f>+'113 (R)'!H27</f>
        <v>742408.54999999993</v>
      </c>
      <c r="F26" s="490">
        <f>+'113 (R)'!H39</f>
        <v>1351222.61</v>
      </c>
      <c r="G26" s="490">
        <f>+'113 (R)'!H36</f>
        <v>1702.6399999999999</v>
      </c>
      <c r="H26" s="490">
        <v>0</v>
      </c>
      <c r="I26" s="490">
        <f>+'113 (R)'!H35</f>
        <v>54100</v>
      </c>
      <c r="J26" s="491">
        <f t="shared" si="0"/>
        <v>219791.2999999997</v>
      </c>
      <c r="K26" s="492">
        <v>0</v>
      </c>
      <c r="L26" s="491">
        <f t="shared" si="1"/>
        <v>219791.2999999997</v>
      </c>
      <c r="M26" s="554">
        <v>0</v>
      </c>
      <c r="N26" s="617">
        <f t="shared" si="2"/>
        <v>-219791.2999999997</v>
      </c>
      <c r="O26" s="493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  <c r="AO26" s="486"/>
      <c r="AP26" s="486"/>
      <c r="AQ26" s="486"/>
      <c r="AR26" s="486"/>
      <c r="AS26" s="486"/>
      <c r="AT26" s="486"/>
      <c r="AU26" s="486"/>
      <c r="AV26" s="486"/>
      <c r="AW26" s="486"/>
      <c r="AX26" s="486"/>
      <c r="AY26" s="486"/>
      <c r="AZ26" s="486"/>
      <c r="BA26" s="486"/>
      <c r="BB26" s="486"/>
      <c r="BC26" s="486"/>
      <c r="BD26" s="486"/>
      <c r="BE26" s="486"/>
      <c r="BF26" s="486"/>
      <c r="BG26" s="486"/>
      <c r="BH26" s="486"/>
      <c r="BI26" s="486"/>
      <c r="BJ26" s="486"/>
      <c r="BK26" s="486"/>
      <c r="BL26" s="486"/>
      <c r="BM26" s="486"/>
      <c r="BN26" s="486"/>
      <c r="BO26" s="486"/>
      <c r="BP26" s="486"/>
      <c r="BQ26" s="486"/>
      <c r="BR26" s="486"/>
      <c r="BS26" s="486"/>
      <c r="BT26" s="486"/>
      <c r="BU26" s="486"/>
      <c r="BV26" s="486"/>
      <c r="BW26" s="486"/>
      <c r="BX26" s="486"/>
      <c r="BY26" s="486"/>
      <c r="BZ26" s="486"/>
      <c r="CA26" s="486"/>
      <c r="CB26" s="486"/>
      <c r="CC26" s="486"/>
      <c r="CD26" s="486"/>
      <c r="CE26" s="486"/>
      <c r="CF26" s="486"/>
      <c r="CG26" s="486"/>
      <c r="CH26" s="486"/>
      <c r="CI26" s="486"/>
      <c r="CJ26" s="486"/>
      <c r="CK26" s="486"/>
      <c r="CL26" s="486"/>
      <c r="CM26" s="486"/>
      <c r="CN26" s="486"/>
      <c r="CO26" s="486"/>
      <c r="CP26" s="486"/>
      <c r="CQ26" s="486"/>
      <c r="CR26" s="486"/>
      <c r="CS26" s="486"/>
      <c r="CT26" s="486"/>
      <c r="CU26" s="486"/>
      <c r="CV26" s="486"/>
      <c r="CW26" s="486"/>
      <c r="CX26" s="486"/>
      <c r="CY26" s="486"/>
      <c r="CZ26" s="486"/>
      <c r="DA26" s="486"/>
      <c r="DB26" s="486"/>
      <c r="DC26" s="486"/>
      <c r="DD26" s="486"/>
      <c r="DE26" s="486"/>
      <c r="DF26" s="486"/>
      <c r="DG26" s="486"/>
      <c r="DH26" s="486"/>
      <c r="DI26" s="486"/>
      <c r="DJ26" s="486"/>
      <c r="DK26" s="486"/>
      <c r="DL26" s="486"/>
      <c r="DM26" s="486"/>
      <c r="DN26" s="486"/>
      <c r="DO26" s="486"/>
      <c r="DP26" s="486"/>
      <c r="DQ26" s="486"/>
      <c r="DR26" s="486"/>
      <c r="DS26" s="486"/>
      <c r="DT26" s="486"/>
      <c r="DU26" s="486"/>
      <c r="DV26" s="486"/>
      <c r="DW26" s="486"/>
      <c r="DX26" s="486"/>
      <c r="DY26" s="486"/>
      <c r="DZ26" s="486"/>
      <c r="EA26" s="486"/>
      <c r="EB26" s="486"/>
      <c r="EC26" s="486"/>
      <c r="ED26" s="486"/>
      <c r="EE26" s="486"/>
      <c r="EF26" s="486"/>
      <c r="EG26" s="486"/>
      <c r="EH26" s="486"/>
      <c r="EI26" s="486"/>
      <c r="EJ26" s="486"/>
      <c r="EK26" s="486"/>
      <c r="EL26" s="486"/>
      <c r="EM26" s="486"/>
      <c r="EN26" s="486"/>
      <c r="EO26" s="486"/>
      <c r="EP26" s="486"/>
      <c r="EQ26" s="486"/>
      <c r="ER26" s="486"/>
      <c r="ES26" s="486"/>
      <c r="ET26" s="486"/>
      <c r="EU26" s="486"/>
      <c r="EV26" s="486"/>
      <c r="EW26" s="486"/>
      <c r="EX26" s="486"/>
      <c r="EY26" s="486"/>
      <c r="EZ26" s="486"/>
      <c r="FA26" s="486"/>
      <c r="FB26" s="486"/>
      <c r="FC26" s="486"/>
      <c r="FD26" s="486"/>
      <c r="FE26" s="486"/>
      <c r="FF26" s="486"/>
      <c r="FG26" s="486"/>
      <c r="FH26" s="486"/>
      <c r="FI26" s="486"/>
      <c r="FJ26" s="486"/>
      <c r="FK26" s="486"/>
      <c r="FL26" s="486"/>
      <c r="FM26" s="486"/>
      <c r="FN26" s="486"/>
      <c r="FO26" s="486"/>
      <c r="FP26" s="486"/>
      <c r="FQ26" s="486"/>
      <c r="FR26" s="486"/>
      <c r="FS26" s="486"/>
      <c r="FT26" s="486"/>
      <c r="FU26" s="486"/>
      <c r="FV26" s="486"/>
      <c r="FW26" s="486"/>
      <c r="FX26" s="486"/>
      <c r="FY26" s="486"/>
      <c r="FZ26" s="486"/>
      <c r="GA26" s="486"/>
      <c r="GB26" s="486"/>
      <c r="GC26" s="486"/>
      <c r="GD26" s="486"/>
      <c r="GE26" s="486"/>
      <c r="GF26" s="486"/>
      <c r="GG26" s="486"/>
      <c r="GH26" s="486"/>
      <c r="GI26" s="486"/>
      <c r="GJ26" s="486"/>
      <c r="GK26" s="486"/>
      <c r="GL26" s="486"/>
      <c r="GM26" s="486"/>
      <c r="GN26" s="486"/>
      <c r="GO26" s="486"/>
      <c r="GP26" s="486"/>
      <c r="GQ26" s="486"/>
      <c r="GR26" s="486"/>
      <c r="GS26" s="486"/>
      <c r="GT26" s="486"/>
      <c r="GU26" s="486"/>
      <c r="GV26" s="486"/>
      <c r="GW26" s="486"/>
      <c r="GX26" s="486"/>
      <c r="GY26" s="486"/>
      <c r="GZ26" s="486"/>
      <c r="HA26" s="486"/>
      <c r="HB26" s="486"/>
      <c r="HC26" s="486"/>
      <c r="HD26" s="486"/>
      <c r="HE26" s="486"/>
      <c r="HF26" s="486"/>
      <c r="HG26" s="486"/>
      <c r="HH26" s="486"/>
      <c r="HI26" s="486"/>
      <c r="HJ26" s="486"/>
      <c r="HK26" s="486"/>
      <c r="HL26" s="486"/>
      <c r="HM26" s="486"/>
      <c r="HN26" s="486"/>
      <c r="HO26" s="486"/>
      <c r="HP26" s="486"/>
      <c r="HQ26" s="486"/>
      <c r="HR26" s="486"/>
      <c r="HS26" s="486"/>
      <c r="HT26" s="486"/>
      <c r="HU26" s="486"/>
      <c r="HV26" s="486"/>
      <c r="HW26" s="486"/>
      <c r="HX26" s="486"/>
      <c r="HY26" s="486"/>
      <c r="HZ26" s="486"/>
      <c r="IA26" s="486"/>
      <c r="IB26" s="486"/>
      <c r="IC26" s="486"/>
      <c r="ID26" s="486"/>
      <c r="IE26" s="486"/>
      <c r="IF26" s="486"/>
      <c r="IG26" s="486"/>
      <c r="IH26" s="486"/>
      <c r="II26" s="486"/>
      <c r="IJ26" s="486"/>
      <c r="IK26" s="486"/>
      <c r="IL26" s="486"/>
      <c r="IM26" s="486"/>
      <c r="IN26" s="486"/>
      <c r="IO26" s="486"/>
      <c r="IP26" s="486"/>
      <c r="IQ26" s="486"/>
      <c r="IR26" s="486"/>
      <c r="IS26" s="486"/>
      <c r="IT26" s="486"/>
      <c r="IU26" s="486"/>
    </row>
    <row r="27" spans="1:255" s="465" customFormat="1" ht="21" customHeight="1">
      <c r="A27" s="616" t="s">
        <v>605</v>
      </c>
      <c r="B27" s="485" t="s">
        <v>111</v>
      </c>
      <c r="C27" s="487">
        <v>27</v>
      </c>
      <c r="D27" s="488">
        <f>'27 (R)'!G30</f>
        <v>103210</v>
      </c>
      <c r="E27" s="489">
        <f>+'27 (R)'!G31</f>
        <v>56732.3</v>
      </c>
      <c r="F27" s="490">
        <f>+'27 (R)'!G45</f>
        <v>113808.03</v>
      </c>
      <c r="G27" s="490">
        <f>+'27 (R)'!G51</f>
        <v>0</v>
      </c>
      <c r="H27" s="490">
        <v>0</v>
      </c>
      <c r="I27" s="490">
        <v>0</v>
      </c>
      <c r="J27" s="491">
        <f t="shared" si="0"/>
        <v>46134.26999999999</v>
      </c>
      <c r="K27" s="492">
        <v>0</v>
      </c>
      <c r="L27" s="491">
        <f t="shared" si="1"/>
        <v>46134.26999999999</v>
      </c>
      <c r="M27" s="554">
        <v>0</v>
      </c>
      <c r="N27" s="617">
        <f t="shared" si="2"/>
        <v>-46134.26999999999</v>
      </c>
      <c r="O27" s="493"/>
      <c r="P27" s="486"/>
      <c r="Q27" s="486"/>
      <c r="R27" s="486"/>
      <c r="S27" s="486"/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  <c r="AK27" s="486"/>
      <c r="AL27" s="486"/>
      <c r="AM27" s="486"/>
      <c r="AN27" s="486"/>
      <c r="AO27" s="486"/>
      <c r="AP27" s="486"/>
      <c r="AQ27" s="486"/>
      <c r="AR27" s="486"/>
      <c r="AS27" s="486"/>
      <c r="AT27" s="486"/>
      <c r="AU27" s="486"/>
      <c r="AV27" s="486"/>
      <c r="AW27" s="486"/>
      <c r="AX27" s="486"/>
      <c r="AY27" s="486"/>
      <c r="AZ27" s="486"/>
      <c r="BA27" s="486"/>
      <c r="BB27" s="486"/>
      <c r="BC27" s="486"/>
      <c r="BD27" s="486"/>
      <c r="BE27" s="486"/>
      <c r="BF27" s="486"/>
      <c r="BG27" s="486"/>
      <c r="BH27" s="486"/>
      <c r="BI27" s="486"/>
      <c r="BJ27" s="486"/>
      <c r="BK27" s="486"/>
      <c r="BL27" s="486"/>
      <c r="BM27" s="486"/>
      <c r="BN27" s="486"/>
      <c r="BO27" s="486"/>
      <c r="BP27" s="486"/>
      <c r="BQ27" s="486"/>
      <c r="BR27" s="486"/>
      <c r="BS27" s="486"/>
      <c r="BT27" s="486"/>
      <c r="BU27" s="486"/>
      <c r="BV27" s="486"/>
      <c r="BW27" s="486"/>
      <c r="BX27" s="486"/>
      <c r="BY27" s="486"/>
      <c r="BZ27" s="486"/>
      <c r="CA27" s="486"/>
      <c r="CB27" s="486"/>
      <c r="CC27" s="486"/>
      <c r="CD27" s="486"/>
      <c r="CE27" s="486"/>
      <c r="CF27" s="486"/>
      <c r="CG27" s="486"/>
      <c r="CH27" s="486"/>
      <c r="CI27" s="486"/>
      <c r="CJ27" s="486"/>
      <c r="CK27" s="486"/>
      <c r="CL27" s="486"/>
      <c r="CM27" s="486"/>
      <c r="CN27" s="486"/>
      <c r="CO27" s="486"/>
      <c r="CP27" s="486"/>
      <c r="CQ27" s="486"/>
      <c r="CR27" s="486"/>
      <c r="CS27" s="486"/>
      <c r="CT27" s="486"/>
      <c r="CU27" s="486"/>
      <c r="CV27" s="486"/>
      <c r="CW27" s="486"/>
      <c r="CX27" s="486"/>
      <c r="CY27" s="486"/>
      <c r="CZ27" s="486"/>
      <c r="DA27" s="486"/>
      <c r="DB27" s="486"/>
      <c r="DC27" s="486"/>
      <c r="DD27" s="486"/>
      <c r="DE27" s="486"/>
      <c r="DF27" s="486"/>
      <c r="DG27" s="486"/>
      <c r="DH27" s="486"/>
      <c r="DI27" s="486"/>
      <c r="DJ27" s="486"/>
      <c r="DK27" s="486"/>
      <c r="DL27" s="486"/>
      <c r="DM27" s="486"/>
      <c r="DN27" s="486"/>
      <c r="DO27" s="486"/>
      <c r="DP27" s="486"/>
      <c r="DQ27" s="486"/>
      <c r="DR27" s="486"/>
      <c r="DS27" s="486"/>
      <c r="DT27" s="486"/>
      <c r="DU27" s="486"/>
      <c r="DV27" s="486"/>
      <c r="DW27" s="486"/>
      <c r="DX27" s="486"/>
      <c r="DY27" s="486"/>
      <c r="DZ27" s="486"/>
      <c r="EA27" s="486"/>
      <c r="EB27" s="486"/>
      <c r="EC27" s="486"/>
      <c r="ED27" s="486"/>
      <c r="EE27" s="486"/>
      <c r="EF27" s="486"/>
      <c r="EG27" s="486"/>
      <c r="EH27" s="486"/>
      <c r="EI27" s="486"/>
      <c r="EJ27" s="486"/>
      <c r="EK27" s="486"/>
      <c r="EL27" s="486"/>
      <c r="EM27" s="486"/>
      <c r="EN27" s="486"/>
      <c r="EO27" s="486"/>
      <c r="EP27" s="486"/>
      <c r="EQ27" s="486"/>
      <c r="ER27" s="486"/>
      <c r="ES27" s="486"/>
      <c r="ET27" s="486"/>
      <c r="EU27" s="486"/>
      <c r="EV27" s="486"/>
      <c r="EW27" s="486"/>
      <c r="EX27" s="486"/>
      <c r="EY27" s="486"/>
      <c r="EZ27" s="486"/>
      <c r="FA27" s="486"/>
      <c r="FB27" s="486"/>
      <c r="FC27" s="486"/>
      <c r="FD27" s="486"/>
      <c r="FE27" s="486"/>
      <c r="FF27" s="486"/>
      <c r="FG27" s="486"/>
      <c r="FH27" s="486"/>
      <c r="FI27" s="486"/>
      <c r="FJ27" s="486"/>
      <c r="FK27" s="486"/>
      <c r="FL27" s="486"/>
      <c r="FM27" s="486"/>
      <c r="FN27" s="486"/>
      <c r="FO27" s="486"/>
      <c r="FP27" s="486"/>
      <c r="FQ27" s="486"/>
      <c r="FR27" s="486"/>
      <c r="FS27" s="486"/>
      <c r="FT27" s="486"/>
      <c r="FU27" s="486"/>
      <c r="FV27" s="486"/>
      <c r="FW27" s="486"/>
      <c r="FX27" s="486"/>
      <c r="FY27" s="486"/>
      <c r="FZ27" s="486"/>
      <c r="GA27" s="486"/>
      <c r="GB27" s="486"/>
      <c r="GC27" s="486"/>
      <c r="GD27" s="486"/>
      <c r="GE27" s="486"/>
      <c r="GF27" s="486"/>
      <c r="GG27" s="486"/>
      <c r="GH27" s="486"/>
      <c r="GI27" s="486"/>
      <c r="GJ27" s="486"/>
      <c r="GK27" s="486"/>
      <c r="GL27" s="486"/>
      <c r="GM27" s="486"/>
      <c r="GN27" s="486"/>
      <c r="GO27" s="486"/>
      <c r="GP27" s="486"/>
      <c r="GQ27" s="486"/>
      <c r="GR27" s="486"/>
      <c r="GS27" s="486"/>
      <c r="GT27" s="486"/>
      <c r="GU27" s="486"/>
      <c r="GV27" s="486"/>
      <c r="GW27" s="486"/>
      <c r="GX27" s="486"/>
      <c r="GY27" s="486"/>
      <c r="GZ27" s="486"/>
      <c r="HA27" s="486"/>
      <c r="HB27" s="486"/>
      <c r="HC27" s="486"/>
      <c r="HD27" s="486"/>
      <c r="HE27" s="486"/>
      <c r="HF27" s="486"/>
      <c r="HG27" s="486"/>
      <c r="HH27" s="486"/>
      <c r="HI27" s="486"/>
      <c r="HJ27" s="486"/>
      <c r="HK27" s="486"/>
      <c r="HL27" s="486"/>
      <c r="HM27" s="486"/>
      <c r="HN27" s="486"/>
      <c r="HO27" s="486"/>
      <c r="HP27" s="486"/>
      <c r="HQ27" s="486"/>
      <c r="HR27" s="486"/>
      <c r="HS27" s="486"/>
      <c r="HT27" s="486"/>
      <c r="HU27" s="486"/>
      <c r="HV27" s="486"/>
      <c r="HW27" s="486"/>
      <c r="HX27" s="486"/>
      <c r="HY27" s="486"/>
      <c r="HZ27" s="486"/>
      <c r="IA27" s="486"/>
      <c r="IB27" s="486"/>
      <c r="IC27" s="486"/>
      <c r="ID27" s="486"/>
      <c r="IE27" s="486"/>
      <c r="IF27" s="486"/>
      <c r="IG27" s="486"/>
      <c r="IH27" s="486"/>
      <c r="II27" s="486"/>
      <c r="IJ27" s="486"/>
      <c r="IK27" s="486"/>
      <c r="IL27" s="486"/>
      <c r="IM27" s="486"/>
      <c r="IN27" s="486"/>
      <c r="IO27" s="486"/>
      <c r="IP27" s="486"/>
      <c r="IQ27" s="486"/>
      <c r="IR27" s="486"/>
      <c r="IS27" s="486"/>
      <c r="IT27" s="486"/>
      <c r="IU27" s="486"/>
    </row>
    <row r="28" spans="1:255" s="465" customFormat="1" ht="21" customHeight="1">
      <c r="A28" s="616" t="s">
        <v>223</v>
      </c>
      <c r="B28" s="485" t="s">
        <v>111</v>
      </c>
      <c r="C28" s="487">
        <v>15</v>
      </c>
      <c r="D28" s="488">
        <f>'15 (R)'!I19</f>
        <v>39780</v>
      </c>
      <c r="E28" s="489">
        <f>'15 (R)'!I20</f>
        <v>34646.379999999997</v>
      </c>
      <c r="F28" s="490">
        <f>'15 (R)'!I24</f>
        <v>56324.160000000003</v>
      </c>
      <c r="G28" s="490">
        <f>+'15 (R)'!I26</f>
        <v>0</v>
      </c>
      <c r="H28" s="490">
        <v>0</v>
      </c>
      <c r="I28" s="490">
        <f>'15 (R)'!I25</f>
        <v>4222.8</v>
      </c>
      <c r="J28" s="491">
        <f t="shared" si="0"/>
        <v>13879.420000000002</v>
      </c>
      <c r="K28" s="492">
        <v>0</v>
      </c>
      <c r="L28" s="491">
        <f t="shared" si="1"/>
        <v>13879.420000000002</v>
      </c>
      <c r="M28" s="554">
        <v>0</v>
      </c>
      <c r="N28" s="617">
        <f t="shared" si="2"/>
        <v>-13879.420000000002</v>
      </c>
      <c r="O28" s="493"/>
      <c r="P28" s="486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/>
      <c r="AL28" s="486"/>
      <c r="AM28" s="486"/>
      <c r="AN28" s="486"/>
      <c r="AO28" s="486"/>
      <c r="AP28" s="486"/>
      <c r="AQ28" s="486"/>
      <c r="AR28" s="486"/>
      <c r="AS28" s="486"/>
      <c r="AT28" s="486"/>
      <c r="AU28" s="486"/>
      <c r="AV28" s="486"/>
      <c r="AW28" s="486"/>
      <c r="AX28" s="486"/>
      <c r="AY28" s="486"/>
      <c r="AZ28" s="486"/>
      <c r="BA28" s="486"/>
      <c r="BB28" s="486"/>
      <c r="BC28" s="486"/>
      <c r="BD28" s="486"/>
      <c r="BE28" s="486"/>
      <c r="BF28" s="486"/>
      <c r="BG28" s="486"/>
      <c r="BH28" s="486"/>
      <c r="BI28" s="486"/>
      <c r="BJ28" s="486"/>
      <c r="BK28" s="486"/>
      <c r="BL28" s="486"/>
      <c r="BM28" s="486"/>
      <c r="BN28" s="486"/>
      <c r="BO28" s="486"/>
      <c r="BP28" s="486"/>
      <c r="BQ28" s="486"/>
      <c r="BR28" s="486"/>
      <c r="BS28" s="486"/>
      <c r="BT28" s="486"/>
      <c r="BU28" s="486"/>
      <c r="BV28" s="486"/>
      <c r="BW28" s="486"/>
      <c r="BX28" s="486"/>
      <c r="BY28" s="486"/>
      <c r="BZ28" s="486"/>
      <c r="CA28" s="486"/>
      <c r="CB28" s="486"/>
      <c r="CC28" s="486"/>
      <c r="CD28" s="486"/>
      <c r="CE28" s="486"/>
      <c r="CF28" s="486"/>
      <c r="CG28" s="486"/>
      <c r="CH28" s="486"/>
      <c r="CI28" s="486"/>
      <c r="CJ28" s="486"/>
      <c r="CK28" s="486"/>
      <c r="CL28" s="486"/>
      <c r="CM28" s="486"/>
      <c r="CN28" s="486"/>
      <c r="CO28" s="486"/>
      <c r="CP28" s="486"/>
      <c r="CQ28" s="486"/>
      <c r="CR28" s="486"/>
      <c r="CS28" s="486"/>
      <c r="CT28" s="486"/>
      <c r="CU28" s="486"/>
      <c r="CV28" s="486"/>
      <c r="CW28" s="486"/>
      <c r="CX28" s="486"/>
      <c r="CY28" s="486"/>
      <c r="CZ28" s="486"/>
      <c r="DA28" s="486"/>
      <c r="DB28" s="486"/>
      <c r="DC28" s="486"/>
      <c r="DD28" s="486"/>
      <c r="DE28" s="486"/>
      <c r="DF28" s="486"/>
      <c r="DG28" s="486"/>
      <c r="DH28" s="486"/>
      <c r="DI28" s="486"/>
      <c r="DJ28" s="486"/>
      <c r="DK28" s="486"/>
      <c r="DL28" s="486"/>
      <c r="DM28" s="486"/>
      <c r="DN28" s="486"/>
      <c r="DO28" s="486"/>
      <c r="DP28" s="486"/>
      <c r="DQ28" s="486"/>
      <c r="DR28" s="486"/>
      <c r="DS28" s="486"/>
      <c r="DT28" s="486"/>
      <c r="DU28" s="486"/>
      <c r="DV28" s="486"/>
      <c r="DW28" s="486"/>
      <c r="DX28" s="486"/>
      <c r="DY28" s="486"/>
      <c r="DZ28" s="486"/>
      <c r="EA28" s="486"/>
      <c r="EB28" s="486"/>
      <c r="EC28" s="486"/>
      <c r="ED28" s="486"/>
      <c r="EE28" s="486"/>
      <c r="EF28" s="486"/>
      <c r="EG28" s="486"/>
      <c r="EH28" s="486"/>
      <c r="EI28" s="486"/>
      <c r="EJ28" s="486"/>
      <c r="EK28" s="486"/>
      <c r="EL28" s="486"/>
      <c r="EM28" s="486"/>
      <c r="EN28" s="486"/>
      <c r="EO28" s="486"/>
      <c r="EP28" s="486"/>
      <c r="EQ28" s="486"/>
      <c r="ER28" s="486"/>
      <c r="ES28" s="486"/>
      <c r="ET28" s="486"/>
      <c r="EU28" s="486"/>
      <c r="EV28" s="486"/>
      <c r="EW28" s="486"/>
      <c r="EX28" s="486"/>
      <c r="EY28" s="486"/>
      <c r="EZ28" s="486"/>
      <c r="FA28" s="486"/>
      <c r="FB28" s="486"/>
      <c r="FC28" s="486"/>
      <c r="FD28" s="486"/>
      <c r="FE28" s="486"/>
      <c r="FF28" s="486"/>
      <c r="FG28" s="486"/>
      <c r="FH28" s="486"/>
      <c r="FI28" s="486"/>
      <c r="FJ28" s="486"/>
      <c r="FK28" s="486"/>
      <c r="FL28" s="486"/>
      <c r="FM28" s="486"/>
      <c r="FN28" s="486"/>
      <c r="FO28" s="486"/>
      <c r="FP28" s="486"/>
      <c r="FQ28" s="486"/>
      <c r="FR28" s="486"/>
      <c r="FS28" s="486"/>
      <c r="FT28" s="486"/>
      <c r="FU28" s="486"/>
      <c r="FV28" s="486"/>
      <c r="FW28" s="486"/>
      <c r="FX28" s="486"/>
      <c r="FY28" s="486"/>
      <c r="FZ28" s="486"/>
      <c r="GA28" s="486"/>
      <c r="GB28" s="486"/>
      <c r="GC28" s="486"/>
      <c r="GD28" s="486"/>
      <c r="GE28" s="486"/>
      <c r="GF28" s="486"/>
      <c r="GG28" s="486"/>
      <c r="GH28" s="486"/>
      <c r="GI28" s="486"/>
      <c r="GJ28" s="486"/>
      <c r="GK28" s="486"/>
      <c r="GL28" s="486"/>
      <c r="GM28" s="486"/>
      <c r="GN28" s="486"/>
      <c r="GO28" s="486"/>
      <c r="GP28" s="486"/>
      <c r="GQ28" s="486"/>
      <c r="GR28" s="486"/>
      <c r="GS28" s="486"/>
      <c r="GT28" s="486"/>
      <c r="GU28" s="486"/>
      <c r="GV28" s="486"/>
      <c r="GW28" s="486"/>
      <c r="GX28" s="486"/>
      <c r="GY28" s="486"/>
      <c r="GZ28" s="486"/>
      <c r="HA28" s="486"/>
      <c r="HB28" s="486"/>
      <c r="HC28" s="486"/>
      <c r="HD28" s="486"/>
      <c r="HE28" s="486"/>
      <c r="HF28" s="486"/>
      <c r="HG28" s="486"/>
      <c r="HH28" s="486"/>
      <c r="HI28" s="486"/>
      <c r="HJ28" s="486"/>
      <c r="HK28" s="486"/>
      <c r="HL28" s="486"/>
      <c r="HM28" s="486"/>
      <c r="HN28" s="486"/>
      <c r="HO28" s="486"/>
      <c r="HP28" s="486"/>
      <c r="HQ28" s="486"/>
      <c r="HR28" s="486"/>
      <c r="HS28" s="486"/>
      <c r="HT28" s="486"/>
      <c r="HU28" s="486"/>
      <c r="HV28" s="486"/>
      <c r="HW28" s="486"/>
      <c r="HX28" s="486"/>
      <c r="HY28" s="486"/>
      <c r="HZ28" s="486"/>
      <c r="IA28" s="486"/>
      <c r="IB28" s="486"/>
      <c r="IC28" s="486"/>
      <c r="ID28" s="486"/>
      <c r="IE28" s="486"/>
      <c r="IF28" s="486"/>
      <c r="IG28" s="486"/>
      <c r="IH28" s="486"/>
      <c r="II28" s="486"/>
      <c r="IJ28" s="486"/>
      <c r="IK28" s="486"/>
      <c r="IL28" s="486"/>
      <c r="IM28" s="486"/>
      <c r="IN28" s="486"/>
      <c r="IO28" s="486"/>
      <c r="IP28" s="486"/>
      <c r="IQ28" s="486"/>
      <c r="IR28" s="486"/>
      <c r="IS28" s="486"/>
      <c r="IT28" s="486"/>
      <c r="IU28" s="486"/>
    </row>
    <row r="29" spans="1:255" s="465" customFormat="1" ht="21" customHeight="1">
      <c r="A29" s="616" t="s">
        <v>252</v>
      </c>
      <c r="B29" s="485" t="s">
        <v>111</v>
      </c>
      <c r="C29" s="487">
        <v>12</v>
      </c>
      <c r="D29" s="494">
        <f>'12 (R)'!I18</f>
        <v>26890</v>
      </c>
      <c r="E29" s="490">
        <f>'12 (R)'!I19</f>
        <v>33332.959999999999</v>
      </c>
      <c r="F29" s="490">
        <f>'12 (R)'!I23</f>
        <v>52646.3</v>
      </c>
      <c r="G29" s="490">
        <f>'12 (R)'!J23</f>
        <v>0</v>
      </c>
      <c r="H29" s="490">
        <v>0</v>
      </c>
      <c r="I29" s="490">
        <f>+'12 (R)'!I6</f>
        <v>0</v>
      </c>
      <c r="J29" s="491">
        <f t="shared" si="0"/>
        <v>7576.6599999999962</v>
      </c>
      <c r="K29" s="492">
        <v>0</v>
      </c>
      <c r="L29" s="491">
        <f t="shared" si="1"/>
        <v>7576.6599999999962</v>
      </c>
      <c r="M29" s="554">
        <v>0</v>
      </c>
      <c r="N29" s="617">
        <f t="shared" si="2"/>
        <v>-7576.6599999999962</v>
      </c>
      <c r="O29" s="493"/>
      <c r="P29" s="486"/>
      <c r="Q29" s="486"/>
      <c r="R29" s="486"/>
      <c r="S29" s="486"/>
      <c r="T29" s="486"/>
      <c r="U29" s="486"/>
      <c r="V29" s="486"/>
      <c r="W29" s="486"/>
      <c r="X29" s="486"/>
      <c r="Y29" s="486"/>
      <c r="Z29" s="486"/>
      <c r="AA29" s="486"/>
      <c r="AB29" s="486"/>
      <c r="AC29" s="486"/>
      <c r="AD29" s="486"/>
      <c r="AE29" s="486"/>
      <c r="AF29" s="486"/>
      <c r="AG29" s="486"/>
      <c r="AH29" s="486"/>
      <c r="AI29" s="486"/>
      <c r="AJ29" s="486"/>
      <c r="AK29" s="486"/>
      <c r="AL29" s="486"/>
      <c r="AM29" s="486"/>
      <c r="AN29" s="486"/>
      <c r="AO29" s="486"/>
      <c r="AP29" s="486"/>
      <c r="AQ29" s="486"/>
      <c r="AR29" s="486"/>
      <c r="AS29" s="486"/>
      <c r="AT29" s="486"/>
      <c r="AU29" s="486"/>
      <c r="AV29" s="486"/>
      <c r="AW29" s="486"/>
      <c r="AX29" s="486"/>
      <c r="AY29" s="486"/>
      <c r="AZ29" s="486"/>
      <c r="BA29" s="486"/>
      <c r="BB29" s="486"/>
      <c r="BC29" s="486"/>
      <c r="BD29" s="486"/>
      <c r="BE29" s="486"/>
      <c r="BF29" s="486"/>
      <c r="BG29" s="486"/>
      <c r="BH29" s="486"/>
      <c r="BI29" s="486"/>
      <c r="BJ29" s="486"/>
      <c r="BK29" s="486"/>
      <c r="BL29" s="486"/>
      <c r="BM29" s="486"/>
      <c r="BN29" s="486"/>
      <c r="BO29" s="486"/>
      <c r="BP29" s="486"/>
      <c r="BQ29" s="486"/>
      <c r="BR29" s="486"/>
      <c r="BS29" s="486"/>
      <c r="BT29" s="486"/>
      <c r="BU29" s="486"/>
      <c r="BV29" s="486"/>
      <c r="BW29" s="486"/>
      <c r="BX29" s="486"/>
      <c r="BY29" s="486"/>
      <c r="BZ29" s="486"/>
      <c r="CA29" s="486"/>
      <c r="CB29" s="486"/>
      <c r="CC29" s="486"/>
      <c r="CD29" s="486"/>
      <c r="CE29" s="486"/>
      <c r="CF29" s="486"/>
      <c r="CG29" s="486"/>
      <c r="CH29" s="486"/>
      <c r="CI29" s="486"/>
      <c r="CJ29" s="486"/>
      <c r="CK29" s="486"/>
      <c r="CL29" s="486"/>
      <c r="CM29" s="486"/>
      <c r="CN29" s="486"/>
      <c r="CO29" s="486"/>
      <c r="CP29" s="486"/>
      <c r="CQ29" s="486"/>
      <c r="CR29" s="486"/>
      <c r="CS29" s="486"/>
      <c r="CT29" s="486"/>
      <c r="CU29" s="486"/>
      <c r="CV29" s="486"/>
      <c r="CW29" s="486"/>
      <c r="CX29" s="486"/>
      <c r="CY29" s="486"/>
      <c r="CZ29" s="486"/>
      <c r="DA29" s="486"/>
      <c r="DB29" s="486"/>
      <c r="DC29" s="486"/>
      <c r="DD29" s="486"/>
      <c r="DE29" s="486"/>
      <c r="DF29" s="486"/>
      <c r="DG29" s="486"/>
      <c r="DH29" s="486"/>
      <c r="DI29" s="486"/>
      <c r="DJ29" s="486"/>
      <c r="DK29" s="486"/>
      <c r="DL29" s="486"/>
      <c r="DM29" s="486"/>
      <c r="DN29" s="486"/>
      <c r="DO29" s="486"/>
      <c r="DP29" s="486"/>
      <c r="DQ29" s="486"/>
      <c r="DR29" s="486"/>
      <c r="DS29" s="486"/>
      <c r="DT29" s="486"/>
      <c r="DU29" s="486"/>
      <c r="DV29" s="486"/>
      <c r="DW29" s="486"/>
      <c r="DX29" s="486"/>
      <c r="DY29" s="486"/>
      <c r="DZ29" s="486"/>
      <c r="EA29" s="486"/>
      <c r="EB29" s="486"/>
      <c r="EC29" s="486"/>
      <c r="ED29" s="486"/>
      <c r="EE29" s="486"/>
      <c r="EF29" s="486"/>
      <c r="EG29" s="486"/>
      <c r="EH29" s="486"/>
      <c r="EI29" s="486"/>
      <c r="EJ29" s="486"/>
      <c r="EK29" s="486"/>
      <c r="EL29" s="486"/>
      <c r="EM29" s="486"/>
      <c r="EN29" s="486"/>
      <c r="EO29" s="486"/>
      <c r="EP29" s="486"/>
      <c r="EQ29" s="486"/>
      <c r="ER29" s="486"/>
      <c r="ES29" s="486"/>
      <c r="ET29" s="486"/>
      <c r="EU29" s="486"/>
      <c r="EV29" s="486"/>
      <c r="EW29" s="486"/>
      <c r="EX29" s="486"/>
      <c r="EY29" s="486"/>
      <c r="EZ29" s="486"/>
      <c r="FA29" s="486"/>
      <c r="FB29" s="486"/>
      <c r="FC29" s="486"/>
      <c r="FD29" s="486"/>
      <c r="FE29" s="486"/>
      <c r="FF29" s="486"/>
      <c r="FG29" s="486"/>
      <c r="FH29" s="486"/>
      <c r="FI29" s="486"/>
      <c r="FJ29" s="486"/>
      <c r="FK29" s="486"/>
      <c r="FL29" s="486"/>
      <c r="FM29" s="486"/>
      <c r="FN29" s="486"/>
      <c r="FO29" s="486"/>
      <c r="FP29" s="486"/>
      <c r="FQ29" s="486"/>
      <c r="FR29" s="486"/>
      <c r="FS29" s="486"/>
      <c r="FT29" s="486"/>
      <c r="FU29" s="486"/>
      <c r="FV29" s="486"/>
      <c r="FW29" s="486"/>
      <c r="FX29" s="486"/>
      <c r="FY29" s="486"/>
      <c r="FZ29" s="486"/>
      <c r="GA29" s="486"/>
      <c r="GB29" s="486"/>
      <c r="GC29" s="486"/>
      <c r="GD29" s="486"/>
      <c r="GE29" s="486"/>
      <c r="GF29" s="486"/>
      <c r="GG29" s="486"/>
      <c r="GH29" s="486"/>
      <c r="GI29" s="486"/>
      <c r="GJ29" s="486"/>
      <c r="GK29" s="486"/>
      <c r="GL29" s="486"/>
      <c r="GM29" s="486"/>
      <c r="GN29" s="486"/>
      <c r="GO29" s="486"/>
      <c r="GP29" s="486"/>
      <c r="GQ29" s="486"/>
      <c r="GR29" s="486"/>
      <c r="GS29" s="486"/>
      <c r="GT29" s="486"/>
      <c r="GU29" s="486"/>
      <c r="GV29" s="486"/>
      <c r="GW29" s="486"/>
      <c r="GX29" s="486"/>
      <c r="GY29" s="486"/>
      <c r="GZ29" s="486"/>
      <c r="HA29" s="486"/>
      <c r="HB29" s="486"/>
      <c r="HC29" s="486"/>
      <c r="HD29" s="486"/>
      <c r="HE29" s="486"/>
      <c r="HF29" s="486"/>
      <c r="HG29" s="486"/>
      <c r="HH29" s="486"/>
      <c r="HI29" s="486"/>
      <c r="HJ29" s="486"/>
      <c r="HK29" s="486"/>
      <c r="HL29" s="486"/>
      <c r="HM29" s="486"/>
      <c r="HN29" s="486"/>
      <c r="HO29" s="486"/>
      <c r="HP29" s="486"/>
      <c r="HQ29" s="486"/>
      <c r="HR29" s="486"/>
      <c r="HS29" s="486"/>
      <c r="HT29" s="486"/>
      <c r="HU29" s="486"/>
      <c r="HV29" s="486"/>
      <c r="HW29" s="486"/>
      <c r="HX29" s="486"/>
      <c r="HY29" s="486"/>
      <c r="HZ29" s="486"/>
      <c r="IA29" s="486"/>
      <c r="IB29" s="486"/>
      <c r="IC29" s="486"/>
      <c r="ID29" s="486"/>
      <c r="IE29" s="486"/>
      <c r="IF29" s="486"/>
      <c r="IG29" s="486"/>
      <c r="IH29" s="486"/>
      <c r="II29" s="486"/>
      <c r="IJ29" s="486"/>
      <c r="IK29" s="486"/>
      <c r="IL29" s="486"/>
      <c r="IM29" s="486"/>
      <c r="IN29" s="486"/>
      <c r="IO29" s="486"/>
      <c r="IP29" s="486"/>
      <c r="IQ29" s="486"/>
      <c r="IR29" s="486"/>
      <c r="IS29" s="486"/>
      <c r="IT29" s="486"/>
      <c r="IU29" s="486"/>
    </row>
    <row r="30" spans="1:255" s="465" customFormat="1" ht="21" hidden="1" customHeight="1">
      <c r="A30" s="616" t="s">
        <v>600</v>
      </c>
      <c r="B30" s="485" t="s">
        <v>111</v>
      </c>
      <c r="C30" s="487">
        <v>13</v>
      </c>
      <c r="D30" s="494">
        <f>+'13'!N19</f>
        <v>0</v>
      </c>
      <c r="E30" s="490">
        <f>'13'!N20</f>
        <v>0</v>
      </c>
      <c r="F30" s="490">
        <f>'13'!N24</f>
        <v>0</v>
      </c>
      <c r="G30" s="490">
        <f>+'13'!N26</f>
        <v>0</v>
      </c>
      <c r="H30" s="490">
        <v>0</v>
      </c>
      <c r="I30" s="490">
        <f>'13'!N25</f>
        <v>0</v>
      </c>
      <c r="J30" s="491">
        <f t="shared" si="0"/>
        <v>0</v>
      </c>
      <c r="K30" s="492">
        <v>0</v>
      </c>
      <c r="L30" s="491">
        <f t="shared" si="1"/>
        <v>0</v>
      </c>
      <c r="M30" s="554">
        <v>0</v>
      </c>
      <c r="N30" s="617">
        <f t="shared" si="2"/>
        <v>0</v>
      </c>
      <c r="O30" s="493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  <c r="AO30" s="486"/>
      <c r="AP30" s="486"/>
      <c r="AQ30" s="486"/>
      <c r="AR30" s="486"/>
      <c r="AS30" s="486"/>
      <c r="AT30" s="486"/>
      <c r="AU30" s="486"/>
      <c r="AV30" s="486"/>
      <c r="AW30" s="486"/>
      <c r="AX30" s="486"/>
      <c r="AY30" s="486"/>
      <c r="AZ30" s="486"/>
      <c r="BA30" s="486"/>
      <c r="BB30" s="486"/>
      <c r="BC30" s="486"/>
      <c r="BD30" s="486"/>
      <c r="BE30" s="486"/>
      <c r="BF30" s="486"/>
      <c r="BG30" s="486"/>
      <c r="BH30" s="486"/>
      <c r="BI30" s="486"/>
      <c r="BJ30" s="486"/>
      <c r="BK30" s="486"/>
      <c r="BL30" s="486"/>
      <c r="BM30" s="486"/>
      <c r="BN30" s="486"/>
      <c r="BO30" s="486"/>
      <c r="BP30" s="486"/>
      <c r="BQ30" s="486"/>
      <c r="BR30" s="486"/>
      <c r="BS30" s="486"/>
      <c r="BT30" s="486"/>
      <c r="BU30" s="486"/>
      <c r="BV30" s="486"/>
      <c r="BW30" s="486"/>
      <c r="BX30" s="486"/>
      <c r="BY30" s="486"/>
      <c r="BZ30" s="486"/>
      <c r="CA30" s="486"/>
      <c r="CB30" s="486"/>
      <c r="CC30" s="486"/>
      <c r="CD30" s="486"/>
      <c r="CE30" s="486"/>
      <c r="CF30" s="486"/>
      <c r="CG30" s="486"/>
      <c r="CH30" s="486"/>
      <c r="CI30" s="486"/>
      <c r="CJ30" s="486"/>
      <c r="CK30" s="486"/>
      <c r="CL30" s="486"/>
      <c r="CM30" s="486"/>
      <c r="CN30" s="486"/>
      <c r="CO30" s="486"/>
      <c r="CP30" s="486"/>
      <c r="CQ30" s="486"/>
      <c r="CR30" s="486"/>
      <c r="CS30" s="486"/>
      <c r="CT30" s="486"/>
      <c r="CU30" s="486"/>
      <c r="CV30" s="486"/>
      <c r="CW30" s="486"/>
      <c r="CX30" s="486"/>
      <c r="CY30" s="486"/>
      <c r="CZ30" s="486"/>
      <c r="DA30" s="486"/>
      <c r="DB30" s="486"/>
      <c r="DC30" s="486"/>
      <c r="DD30" s="486"/>
      <c r="DE30" s="486"/>
      <c r="DF30" s="486"/>
      <c r="DG30" s="486"/>
      <c r="DH30" s="486"/>
      <c r="DI30" s="486"/>
      <c r="DJ30" s="486"/>
      <c r="DK30" s="486"/>
      <c r="DL30" s="486"/>
      <c r="DM30" s="486"/>
      <c r="DN30" s="486"/>
      <c r="DO30" s="486"/>
      <c r="DP30" s="486"/>
      <c r="DQ30" s="486"/>
      <c r="DR30" s="486"/>
      <c r="DS30" s="486"/>
      <c r="DT30" s="486"/>
      <c r="DU30" s="486"/>
      <c r="DV30" s="486"/>
      <c r="DW30" s="486"/>
      <c r="DX30" s="486"/>
      <c r="DY30" s="486"/>
      <c r="DZ30" s="486"/>
      <c r="EA30" s="486"/>
      <c r="EB30" s="486"/>
      <c r="EC30" s="486"/>
      <c r="ED30" s="486"/>
      <c r="EE30" s="486"/>
      <c r="EF30" s="486"/>
      <c r="EG30" s="486"/>
      <c r="EH30" s="486"/>
      <c r="EI30" s="486"/>
      <c r="EJ30" s="486"/>
      <c r="EK30" s="486"/>
      <c r="EL30" s="486"/>
      <c r="EM30" s="486"/>
      <c r="EN30" s="486"/>
      <c r="EO30" s="486"/>
      <c r="EP30" s="486"/>
      <c r="EQ30" s="486"/>
      <c r="ER30" s="486"/>
      <c r="ES30" s="486"/>
      <c r="ET30" s="486"/>
      <c r="EU30" s="486"/>
      <c r="EV30" s="486"/>
      <c r="EW30" s="486"/>
      <c r="EX30" s="486"/>
      <c r="EY30" s="486"/>
      <c r="EZ30" s="486"/>
      <c r="FA30" s="486"/>
      <c r="FB30" s="486"/>
      <c r="FC30" s="486"/>
      <c r="FD30" s="486"/>
      <c r="FE30" s="486"/>
      <c r="FF30" s="486"/>
      <c r="FG30" s="486"/>
      <c r="FH30" s="486"/>
      <c r="FI30" s="486"/>
      <c r="FJ30" s="486"/>
      <c r="FK30" s="486"/>
      <c r="FL30" s="486"/>
      <c r="FM30" s="486"/>
      <c r="FN30" s="486"/>
      <c r="FO30" s="486"/>
      <c r="FP30" s="486"/>
      <c r="FQ30" s="486"/>
      <c r="FR30" s="486"/>
      <c r="FS30" s="486"/>
      <c r="FT30" s="486"/>
      <c r="FU30" s="486"/>
      <c r="FV30" s="486"/>
      <c r="FW30" s="486"/>
      <c r="FX30" s="486"/>
      <c r="FY30" s="486"/>
      <c r="FZ30" s="486"/>
      <c r="GA30" s="486"/>
      <c r="GB30" s="486"/>
      <c r="GC30" s="486"/>
      <c r="GD30" s="486"/>
      <c r="GE30" s="486"/>
      <c r="GF30" s="486"/>
      <c r="GG30" s="486"/>
      <c r="GH30" s="486"/>
      <c r="GI30" s="486"/>
      <c r="GJ30" s="486"/>
      <c r="GK30" s="486"/>
      <c r="GL30" s="486"/>
      <c r="GM30" s="486"/>
      <c r="GN30" s="486"/>
      <c r="GO30" s="486"/>
      <c r="GP30" s="486"/>
      <c r="GQ30" s="486"/>
      <c r="GR30" s="486"/>
      <c r="GS30" s="486"/>
      <c r="GT30" s="486"/>
      <c r="GU30" s="486"/>
      <c r="GV30" s="486"/>
      <c r="GW30" s="486"/>
      <c r="GX30" s="486"/>
      <c r="GY30" s="486"/>
      <c r="GZ30" s="486"/>
      <c r="HA30" s="486"/>
      <c r="HB30" s="486"/>
      <c r="HC30" s="486"/>
      <c r="HD30" s="486"/>
      <c r="HE30" s="486"/>
      <c r="HF30" s="486"/>
      <c r="HG30" s="486"/>
      <c r="HH30" s="486"/>
      <c r="HI30" s="486"/>
      <c r="HJ30" s="486"/>
      <c r="HK30" s="486"/>
      <c r="HL30" s="486"/>
      <c r="HM30" s="486"/>
      <c r="HN30" s="486"/>
      <c r="HO30" s="486"/>
      <c r="HP30" s="486"/>
      <c r="HQ30" s="486"/>
      <c r="HR30" s="486"/>
      <c r="HS30" s="486"/>
      <c r="HT30" s="486"/>
      <c r="HU30" s="486"/>
      <c r="HV30" s="486"/>
      <c r="HW30" s="486"/>
      <c r="HX30" s="486"/>
      <c r="HY30" s="486"/>
      <c r="HZ30" s="486"/>
      <c r="IA30" s="486"/>
      <c r="IB30" s="486"/>
      <c r="IC30" s="486"/>
      <c r="ID30" s="486"/>
      <c r="IE30" s="486"/>
      <c r="IF30" s="486"/>
      <c r="IG30" s="486"/>
      <c r="IH30" s="486"/>
      <c r="II30" s="486"/>
      <c r="IJ30" s="486"/>
      <c r="IK30" s="486"/>
      <c r="IL30" s="486"/>
      <c r="IM30" s="486"/>
      <c r="IN30" s="486"/>
      <c r="IO30" s="486"/>
      <c r="IP30" s="486"/>
      <c r="IQ30" s="486"/>
      <c r="IR30" s="486"/>
      <c r="IS30" s="486"/>
      <c r="IT30" s="486"/>
      <c r="IU30" s="486"/>
    </row>
    <row r="31" spans="1:255" s="465" customFormat="1" ht="21" hidden="1" customHeight="1">
      <c r="A31" s="616" t="s">
        <v>601</v>
      </c>
      <c r="B31" s="485" t="s">
        <v>111</v>
      </c>
      <c r="C31" s="487">
        <v>16</v>
      </c>
      <c r="D31" s="488">
        <f>+'16'!N19</f>
        <v>0</v>
      </c>
      <c r="E31" s="489">
        <f>'16'!N20</f>
        <v>0</v>
      </c>
      <c r="F31" s="490">
        <f>'16'!N26-'16'!N27</f>
        <v>0</v>
      </c>
      <c r="G31" s="490">
        <f>SUM('16'!N28)</f>
        <v>0</v>
      </c>
      <c r="H31" s="490">
        <v>0</v>
      </c>
      <c r="I31" s="490">
        <f>+'16'!N27</f>
        <v>0</v>
      </c>
      <c r="J31" s="491">
        <f t="shared" si="0"/>
        <v>0</v>
      </c>
      <c r="K31" s="492">
        <v>0</v>
      </c>
      <c r="L31" s="491">
        <f t="shared" si="1"/>
        <v>0</v>
      </c>
      <c r="M31" s="554">
        <v>0</v>
      </c>
      <c r="N31" s="617">
        <f t="shared" si="2"/>
        <v>0</v>
      </c>
      <c r="O31" s="493"/>
      <c r="P31" s="486"/>
      <c r="Q31" s="486"/>
      <c r="R31" s="486"/>
      <c r="S31" s="486"/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 s="486"/>
      <c r="AJ31" s="486"/>
      <c r="AK31" s="486"/>
      <c r="AL31" s="486"/>
      <c r="AM31" s="486"/>
      <c r="AN31" s="486"/>
      <c r="AO31" s="486"/>
      <c r="AP31" s="486"/>
      <c r="AQ31" s="486"/>
      <c r="AR31" s="486"/>
      <c r="AS31" s="486"/>
      <c r="AT31" s="486"/>
      <c r="AU31" s="486"/>
      <c r="AV31" s="486"/>
      <c r="AW31" s="486"/>
      <c r="AX31" s="486"/>
      <c r="AY31" s="486"/>
      <c r="AZ31" s="486"/>
      <c r="BA31" s="486"/>
      <c r="BB31" s="486"/>
      <c r="BC31" s="486"/>
      <c r="BD31" s="486"/>
      <c r="BE31" s="486"/>
      <c r="BF31" s="486"/>
      <c r="BG31" s="486"/>
      <c r="BH31" s="486"/>
      <c r="BI31" s="486"/>
      <c r="BJ31" s="486"/>
      <c r="BK31" s="486"/>
      <c r="BL31" s="486"/>
      <c r="BM31" s="486"/>
      <c r="BN31" s="486"/>
      <c r="BO31" s="486"/>
      <c r="BP31" s="486"/>
      <c r="BQ31" s="486"/>
      <c r="BR31" s="486"/>
      <c r="BS31" s="486"/>
      <c r="BT31" s="486"/>
      <c r="BU31" s="486"/>
      <c r="BV31" s="486"/>
      <c r="BW31" s="486"/>
      <c r="BX31" s="486"/>
      <c r="BY31" s="486"/>
      <c r="BZ31" s="486"/>
      <c r="CA31" s="486"/>
      <c r="CB31" s="486"/>
      <c r="CC31" s="486"/>
      <c r="CD31" s="486"/>
      <c r="CE31" s="486"/>
      <c r="CF31" s="486"/>
      <c r="CG31" s="486"/>
      <c r="CH31" s="486"/>
      <c r="CI31" s="486"/>
      <c r="CJ31" s="486"/>
      <c r="CK31" s="486"/>
      <c r="CL31" s="486"/>
      <c r="CM31" s="486"/>
      <c r="CN31" s="486"/>
      <c r="CO31" s="486"/>
      <c r="CP31" s="486"/>
      <c r="CQ31" s="486"/>
      <c r="CR31" s="486"/>
      <c r="CS31" s="486"/>
      <c r="CT31" s="486"/>
      <c r="CU31" s="486"/>
      <c r="CV31" s="486"/>
      <c r="CW31" s="486"/>
      <c r="CX31" s="486"/>
      <c r="CY31" s="486"/>
      <c r="CZ31" s="486"/>
      <c r="DA31" s="486"/>
      <c r="DB31" s="486"/>
      <c r="DC31" s="486"/>
      <c r="DD31" s="486"/>
      <c r="DE31" s="486"/>
      <c r="DF31" s="486"/>
      <c r="DG31" s="486"/>
      <c r="DH31" s="486"/>
      <c r="DI31" s="486"/>
      <c r="DJ31" s="486"/>
      <c r="DK31" s="486"/>
      <c r="DL31" s="486"/>
      <c r="DM31" s="486"/>
      <c r="DN31" s="486"/>
      <c r="DO31" s="486"/>
      <c r="DP31" s="486"/>
      <c r="DQ31" s="486"/>
      <c r="DR31" s="486"/>
      <c r="DS31" s="486"/>
      <c r="DT31" s="486"/>
      <c r="DU31" s="486"/>
      <c r="DV31" s="486"/>
      <c r="DW31" s="486"/>
      <c r="DX31" s="486"/>
      <c r="DY31" s="486"/>
      <c r="DZ31" s="486"/>
      <c r="EA31" s="486"/>
      <c r="EB31" s="486"/>
      <c r="EC31" s="486"/>
      <c r="ED31" s="486"/>
      <c r="EE31" s="486"/>
      <c r="EF31" s="486"/>
      <c r="EG31" s="486"/>
      <c r="EH31" s="486"/>
      <c r="EI31" s="486"/>
      <c r="EJ31" s="486"/>
      <c r="EK31" s="486"/>
      <c r="EL31" s="486"/>
      <c r="EM31" s="486"/>
      <c r="EN31" s="486"/>
      <c r="EO31" s="486"/>
      <c r="EP31" s="486"/>
      <c r="EQ31" s="486"/>
      <c r="ER31" s="486"/>
      <c r="ES31" s="486"/>
      <c r="ET31" s="486"/>
      <c r="EU31" s="486"/>
      <c r="EV31" s="486"/>
      <c r="EW31" s="486"/>
      <c r="EX31" s="486"/>
      <c r="EY31" s="486"/>
      <c r="EZ31" s="486"/>
      <c r="FA31" s="486"/>
      <c r="FB31" s="486"/>
      <c r="FC31" s="486"/>
      <c r="FD31" s="486"/>
      <c r="FE31" s="486"/>
      <c r="FF31" s="486"/>
      <c r="FG31" s="486"/>
      <c r="FH31" s="486"/>
      <c r="FI31" s="486"/>
      <c r="FJ31" s="486"/>
      <c r="FK31" s="486"/>
      <c r="FL31" s="486"/>
      <c r="FM31" s="486"/>
      <c r="FN31" s="486"/>
      <c r="FO31" s="486"/>
      <c r="FP31" s="486"/>
      <c r="FQ31" s="486"/>
      <c r="FR31" s="486"/>
      <c r="FS31" s="486"/>
      <c r="FT31" s="486"/>
      <c r="FU31" s="486"/>
      <c r="FV31" s="486"/>
      <c r="FW31" s="486"/>
      <c r="FX31" s="486"/>
      <c r="FY31" s="486"/>
      <c r="FZ31" s="486"/>
      <c r="GA31" s="486"/>
      <c r="GB31" s="486"/>
      <c r="GC31" s="486"/>
      <c r="GD31" s="486"/>
      <c r="GE31" s="486"/>
      <c r="GF31" s="486"/>
      <c r="GG31" s="486"/>
      <c r="GH31" s="486"/>
      <c r="GI31" s="486"/>
      <c r="GJ31" s="486"/>
      <c r="GK31" s="486"/>
      <c r="GL31" s="486"/>
      <c r="GM31" s="486"/>
      <c r="GN31" s="486"/>
      <c r="GO31" s="486"/>
      <c r="GP31" s="486"/>
      <c r="GQ31" s="486"/>
      <c r="GR31" s="486"/>
      <c r="GS31" s="486"/>
      <c r="GT31" s="486"/>
      <c r="GU31" s="486"/>
      <c r="GV31" s="486"/>
      <c r="GW31" s="486"/>
      <c r="GX31" s="486"/>
      <c r="GY31" s="486"/>
      <c r="GZ31" s="486"/>
      <c r="HA31" s="486"/>
      <c r="HB31" s="486"/>
      <c r="HC31" s="486"/>
      <c r="HD31" s="486"/>
      <c r="HE31" s="486"/>
      <c r="HF31" s="486"/>
      <c r="HG31" s="486"/>
      <c r="HH31" s="486"/>
      <c r="HI31" s="486"/>
      <c r="HJ31" s="486"/>
      <c r="HK31" s="486"/>
      <c r="HL31" s="486"/>
      <c r="HM31" s="486"/>
      <c r="HN31" s="486"/>
      <c r="HO31" s="486"/>
      <c r="HP31" s="486"/>
      <c r="HQ31" s="486"/>
      <c r="HR31" s="486"/>
      <c r="HS31" s="486"/>
      <c r="HT31" s="486"/>
      <c r="HU31" s="486"/>
      <c r="HV31" s="486"/>
      <c r="HW31" s="486"/>
      <c r="HX31" s="486"/>
      <c r="HY31" s="486"/>
      <c r="HZ31" s="486"/>
      <c r="IA31" s="486"/>
      <c r="IB31" s="486"/>
      <c r="IC31" s="486"/>
      <c r="ID31" s="486"/>
      <c r="IE31" s="486"/>
      <c r="IF31" s="486"/>
      <c r="IG31" s="486"/>
      <c r="IH31" s="486"/>
      <c r="II31" s="486"/>
      <c r="IJ31" s="486"/>
      <c r="IK31" s="486"/>
      <c r="IL31" s="486"/>
      <c r="IM31" s="486"/>
      <c r="IN31" s="486"/>
      <c r="IO31" s="486"/>
      <c r="IP31" s="486"/>
      <c r="IQ31" s="486"/>
      <c r="IR31" s="486"/>
      <c r="IS31" s="486"/>
      <c r="IT31" s="486"/>
      <c r="IU31" s="486"/>
    </row>
    <row r="32" spans="1:255" s="465" customFormat="1" ht="21" hidden="1" customHeight="1">
      <c r="A32" s="616" t="s">
        <v>602</v>
      </c>
      <c r="B32" s="485" t="s">
        <v>111</v>
      </c>
      <c r="C32" s="487">
        <v>17</v>
      </c>
      <c r="D32" s="488">
        <f>'17'!S19</f>
        <v>0</v>
      </c>
      <c r="E32" s="489">
        <f>'17'!S20</f>
        <v>0</v>
      </c>
      <c r="F32" s="490">
        <f>'17'!S24</f>
        <v>0</v>
      </c>
      <c r="G32" s="490">
        <f>+'17'!S26</f>
        <v>0</v>
      </c>
      <c r="H32" s="490">
        <v>0</v>
      </c>
      <c r="I32" s="490">
        <v>0</v>
      </c>
      <c r="J32" s="491">
        <f t="shared" si="0"/>
        <v>0</v>
      </c>
      <c r="K32" s="492">
        <v>0</v>
      </c>
      <c r="L32" s="491">
        <f t="shared" si="1"/>
        <v>0</v>
      </c>
      <c r="M32" s="554">
        <v>0</v>
      </c>
      <c r="N32" s="617">
        <f t="shared" si="2"/>
        <v>0</v>
      </c>
      <c r="O32" s="493"/>
      <c r="P32" s="486"/>
      <c r="Q32" s="486"/>
      <c r="R32" s="486"/>
      <c r="S32" s="486"/>
      <c r="T32" s="486"/>
      <c r="U32" s="486"/>
      <c r="V32" s="486"/>
      <c r="W32" s="486"/>
      <c r="X32" s="486"/>
      <c r="Y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 s="486"/>
      <c r="AJ32" s="486"/>
      <c r="AK32" s="486"/>
      <c r="AL32" s="486"/>
      <c r="AM32" s="486"/>
      <c r="AN32" s="486"/>
      <c r="AO32" s="486"/>
      <c r="AP32" s="486"/>
      <c r="AQ32" s="486"/>
      <c r="AR32" s="486"/>
      <c r="AS32" s="486"/>
      <c r="AT32" s="486"/>
      <c r="AU32" s="486"/>
      <c r="AV32" s="486"/>
      <c r="AW32" s="486"/>
      <c r="AX32" s="486"/>
      <c r="AY32" s="486"/>
      <c r="AZ32" s="486"/>
      <c r="BA32" s="486"/>
      <c r="BB32" s="486"/>
      <c r="BC32" s="486"/>
      <c r="BD32" s="486"/>
      <c r="BE32" s="486"/>
      <c r="BF32" s="486"/>
      <c r="BG32" s="486"/>
      <c r="BH32" s="486"/>
      <c r="BI32" s="486"/>
      <c r="BJ32" s="486"/>
      <c r="BK32" s="486"/>
      <c r="BL32" s="486"/>
      <c r="BM32" s="486"/>
      <c r="BN32" s="486"/>
      <c r="BO32" s="486"/>
      <c r="BP32" s="486"/>
      <c r="BQ32" s="486"/>
      <c r="BR32" s="486"/>
      <c r="BS32" s="486"/>
      <c r="BT32" s="486"/>
      <c r="BU32" s="486"/>
      <c r="BV32" s="486"/>
      <c r="BW32" s="486"/>
      <c r="BX32" s="486"/>
      <c r="BY32" s="486"/>
      <c r="BZ32" s="486"/>
      <c r="CA32" s="486"/>
      <c r="CB32" s="486"/>
      <c r="CC32" s="486"/>
      <c r="CD32" s="486"/>
      <c r="CE32" s="486"/>
      <c r="CF32" s="486"/>
      <c r="CG32" s="486"/>
      <c r="CH32" s="486"/>
      <c r="CI32" s="486"/>
      <c r="CJ32" s="486"/>
      <c r="CK32" s="486"/>
      <c r="CL32" s="486"/>
      <c r="CM32" s="486"/>
      <c r="CN32" s="486"/>
      <c r="CO32" s="486"/>
      <c r="CP32" s="486"/>
      <c r="CQ32" s="486"/>
      <c r="CR32" s="486"/>
      <c r="CS32" s="486"/>
      <c r="CT32" s="486"/>
      <c r="CU32" s="486"/>
      <c r="CV32" s="486"/>
      <c r="CW32" s="486"/>
      <c r="CX32" s="486"/>
      <c r="CY32" s="486"/>
      <c r="CZ32" s="486"/>
      <c r="DA32" s="486"/>
      <c r="DB32" s="486"/>
      <c r="DC32" s="486"/>
      <c r="DD32" s="486"/>
      <c r="DE32" s="486"/>
      <c r="DF32" s="486"/>
      <c r="DG32" s="486"/>
      <c r="DH32" s="486"/>
      <c r="DI32" s="486"/>
      <c r="DJ32" s="486"/>
      <c r="DK32" s="486"/>
      <c r="DL32" s="486"/>
      <c r="DM32" s="486"/>
      <c r="DN32" s="486"/>
      <c r="DO32" s="486"/>
      <c r="DP32" s="486"/>
      <c r="DQ32" s="486"/>
      <c r="DR32" s="486"/>
      <c r="DS32" s="486"/>
      <c r="DT32" s="486"/>
      <c r="DU32" s="486"/>
      <c r="DV32" s="486"/>
      <c r="DW32" s="486"/>
      <c r="DX32" s="486"/>
      <c r="DY32" s="486"/>
      <c r="DZ32" s="486"/>
      <c r="EA32" s="486"/>
      <c r="EB32" s="486"/>
      <c r="EC32" s="486"/>
      <c r="ED32" s="486"/>
      <c r="EE32" s="486"/>
      <c r="EF32" s="486"/>
      <c r="EG32" s="486"/>
      <c r="EH32" s="486"/>
      <c r="EI32" s="486"/>
      <c r="EJ32" s="486"/>
      <c r="EK32" s="486"/>
      <c r="EL32" s="486"/>
      <c r="EM32" s="486"/>
      <c r="EN32" s="486"/>
      <c r="EO32" s="486"/>
      <c r="EP32" s="486"/>
      <c r="EQ32" s="486"/>
      <c r="ER32" s="486"/>
      <c r="ES32" s="486"/>
      <c r="ET32" s="486"/>
      <c r="EU32" s="486"/>
      <c r="EV32" s="486"/>
      <c r="EW32" s="486"/>
      <c r="EX32" s="486"/>
      <c r="EY32" s="486"/>
      <c r="EZ32" s="486"/>
      <c r="FA32" s="486"/>
      <c r="FB32" s="486"/>
      <c r="FC32" s="486"/>
      <c r="FD32" s="486"/>
      <c r="FE32" s="486"/>
      <c r="FF32" s="486"/>
      <c r="FG32" s="486"/>
      <c r="FH32" s="486"/>
      <c r="FI32" s="486"/>
      <c r="FJ32" s="486"/>
      <c r="FK32" s="486"/>
      <c r="FL32" s="486"/>
      <c r="FM32" s="486"/>
      <c r="FN32" s="486"/>
      <c r="FO32" s="486"/>
      <c r="FP32" s="486"/>
      <c r="FQ32" s="486"/>
      <c r="FR32" s="486"/>
      <c r="FS32" s="486"/>
      <c r="FT32" s="486"/>
      <c r="FU32" s="486"/>
      <c r="FV32" s="486"/>
      <c r="FW32" s="486"/>
      <c r="FX32" s="486"/>
      <c r="FY32" s="486"/>
      <c r="FZ32" s="486"/>
      <c r="GA32" s="486"/>
      <c r="GB32" s="486"/>
      <c r="GC32" s="486"/>
      <c r="GD32" s="486"/>
      <c r="GE32" s="486"/>
      <c r="GF32" s="486"/>
      <c r="GG32" s="486"/>
      <c r="GH32" s="486"/>
      <c r="GI32" s="486"/>
      <c r="GJ32" s="486"/>
      <c r="GK32" s="486"/>
      <c r="GL32" s="486"/>
      <c r="GM32" s="486"/>
      <c r="GN32" s="486"/>
      <c r="GO32" s="486"/>
      <c r="GP32" s="486"/>
      <c r="GQ32" s="486"/>
      <c r="GR32" s="486"/>
      <c r="GS32" s="486"/>
      <c r="GT32" s="486"/>
      <c r="GU32" s="486"/>
      <c r="GV32" s="486"/>
      <c r="GW32" s="486"/>
      <c r="GX32" s="486"/>
      <c r="GY32" s="486"/>
      <c r="GZ32" s="486"/>
      <c r="HA32" s="486"/>
      <c r="HB32" s="486"/>
      <c r="HC32" s="486"/>
      <c r="HD32" s="486"/>
      <c r="HE32" s="486"/>
      <c r="HF32" s="486"/>
      <c r="HG32" s="486"/>
      <c r="HH32" s="486"/>
      <c r="HI32" s="486"/>
      <c r="HJ32" s="486"/>
      <c r="HK32" s="486"/>
      <c r="HL32" s="486"/>
      <c r="HM32" s="486"/>
      <c r="HN32" s="486"/>
      <c r="HO32" s="486"/>
      <c r="HP32" s="486"/>
      <c r="HQ32" s="486"/>
      <c r="HR32" s="486"/>
      <c r="HS32" s="486"/>
      <c r="HT32" s="486"/>
      <c r="HU32" s="486"/>
      <c r="HV32" s="486"/>
      <c r="HW32" s="486"/>
      <c r="HX32" s="486"/>
      <c r="HY32" s="486"/>
      <c r="HZ32" s="486"/>
      <c r="IA32" s="486"/>
      <c r="IB32" s="486"/>
      <c r="IC32" s="486"/>
      <c r="ID32" s="486"/>
      <c r="IE32" s="486"/>
      <c r="IF32" s="486"/>
      <c r="IG32" s="486"/>
      <c r="IH32" s="486"/>
      <c r="II32" s="486"/>
      <c r="IJ32" s="486"/>
      <c r="IK32" s="486"/>
      <c r="IL32" s="486"/>
      <c r="IM32" s="486"/>
      <c r="IN32" s="486"/>
      <c r="IO32" s="486"/>
      <c r="IP32" s="486"/>
      <c r="IQ32" s="486"/>
      <c r="IR32" s="486"/>
      <c r="IS32" s="486"/>
      <c r="IT32" s="486"/>
      <c r="IU32" s="486"/>
    </row>
    <row r="33" spans="1:255" s="465" customFormat="1" ht="21" hidden="1" customHeight="1">
      <c r="A33" s="616" t="s">
        <v>441</v>
      </c>
      <c r="B33" s="485" t="s">
        <v>111</v>
      </c>
      <c r="C33" s="487">
        <v>18</v>
      </c>
      <c r="D33" s="488">
        <f>'18'!R19</f>
        <v>0</v>
      </c>
      <c r="E33" s="489">
        <f>'18'!R20</f>
        <v>0</v>
      </c>
      <c r="F33" s="490">
        <f>'18'!R24</f>
        <v>0</v>
      </c>
      <c r="G33" s="490">
        <f>SUM('18'!Q26*0.02)</f>
        <v>0</v>
      </c>
      <c r="H33" s="490">
        <v>0</v>
      </c>
      <c r="I33" s="490">
        <f>'18'!R25</f>
        <v>0</v>
      </c>
      <c r="J33" s="491">
        <f t="shared" si="0"/>
        <v>0</v>
      </c>
      <c r="K33" s="492">
        <v>0</v>
      </c>
      <c r="L33" s="491">
        <f t="shared" si="1"/>
        <v>0</v>
      </c>
      <c r="M33" s="554">
        <v>0</v>
      </c>
      <c r="N33" s="617">
        <f t="shared" si="2"/>
        <v>0</v>
      </c>
      <c r="O33" s="493"/>
      <c r="P33" s="486"/>
      <c r="Q33" s="486"/>
      <c r="R33" s="486"/>
      <c r="S33" s="486"/>
      <c r="T33" s="486"/>
      <c r="U33" s="486"/>
      <c r="V33" s="486"/>
      <c r="W33" s="486"/>
      <c r="X33" s="486"/>
      <c r="Y33" s="486"/>
      <c r="Z33" s="486"/>
      <c r="AA33" s="486"/>
      <c r="AB33" s="486"/>
      <c r="AC33" s="486"/>
      <c r="AD33" s="486"/>
      <c r="AE33" s="486"/>
      <c r="AF33" s="486"/>
      <c r="AG33" s="486"/>
      <c r="AH33" s="486"/>
      <c r="AI33" s="486"/>
      <c r="AJ33" s="486"/>
      <c r="AK33" s="486"/>
      <c r="AL33" s="486"/>
      <c r="AM33" s="486"/>
      <c r="AN33" s="486"/>
      <c r="AO33" s="486"/>
      <c r="AP33" s="486"/>
      <c r="AQ33" s="486"/>
      <c r="AR33" s="486"/>
      <c r="AS33" s="486"/>
      <c r="AT33" s="486"/>
      <c r="AU33" s="486"/>
      <c r="AV33" s="486"/>
      <c r="AW33" s="486"/>
      <c r="AX33" s="486"/>
      <c r="AY33" s="486"/>
      <c r="AZ33" s="486"/>
      <c r="BA33" s="486"/>
      <c r="BB33" s="486"/>
      <c r="BC33" s="486"/>
      <c r="BD33" s="486"/>
      <c r="BE33" s="486"/>
      <c r="BF33" s="486"/>
      <c r="BG33" s="486"/>
      <c r="BH33" s="486"/>
      <c r="BI33" s="486"/>
      <c r="BJ33" s="486"/>
      <c r="BK33" s="486"/>
      <c r="BL33" s="486"/>
      <c r="BM33" s="486"/>
      <c r="BN33" s="486"/>
      <c r="BO33" s="486"/>
      <c r="BP33" s="486"/>
      <c r="BQ33" s="486"/>
      <c r="BR33" s="486"/>
      <c r="BS33" s="486"/>
      <c r="BT33" s="486"/>
      <c r="BU33" s="486"/>
      <c r="BV33" s="486"/>
      <c r="BW33" s="486"/>
      <c r="BX33" s="486"/>
      <c r="BY33" s="486"/>
      <c r="BZ33" s="486"/>
      <c r="CA33" s="486"/>
      <c r="CB33" s="486"/>
      <c r="CC33" s="486"/>
      <c r="CD33" s="486"/>
      <c r="CE33" s="486"/>
      <c r="CF33" s="486"/>
      <c r="CG33" s="486"/>
      <c r="CH33" s="486"/>
      <c r="CI33" s="486"/>
      <c r="CJ33" s="486"/>
      <c r="CK33" s="486"/>
      <c r="CL33" s="486"/>
      <c r="CM33" s="486"/>
      <c r="CN33" s="486"/>
      <c r="CO33" s="486"/>
      <c r="CP33" s="486"/>
      <c r="CQ33" s="486"/>
      <c r="CR33" s="486"/>
      <c r="CS33" s="486"/>
      <c r="CT33" s="486"/>
      <c r="CU33" s="486"/>
      <c r="CV33" s="486"/>
      <c r="CW33" s="486"/>
      <c r="CX33" s="486"/>
      <c r="CY33" s="486"/>
      <c r="CZ33" s="486"/>
      <c r="DA33" s="486"/>
      <c r="DB33" s="486"/>
      <c r="DC33" s="486"/>
      <c r="DD33" s="486"/>
      <c r="DE33" s="486"/>
      <c r="DF33" s="486"/>
      <c r="DG33" s="486"/>
      <c r="DH33" s="486"/>
      <c r="DI33" s="486"/>
      <c r="DJ33" s="486"/>
      <c r="DK33" s="486"/>
      <c r="DL33" s="486"/>
      <c r="DM33" s="486"/>
      <c r="DN33" s="486"/>
      <c r="DO33" s="486"/>
      <c r="DP33" s="486"/>
      <c r="DQ33" s="486"/>
      <c r="DR33" s="486"/>
      <c r="DS33" s="486"/>
      <c r="DT33" s="486"/>
      <c r="DU33" s="486"/>
      <c r="DV33" s="486"/>
      <c r="DW33" s="486"/>
      <c r="DX33" s="486"/>
      <c r="DY33" s="486"/>
      <c r="DZ33" s="486"/>
      <c r="EA33" s="486"/>
      <c r="EB33" s="486"/>
      <c r="EC33" s="486"/>
      <c r="ED33" s="486"/>
      <c r="EE33" s="486"/>
      <c r="EF33" s="486"/>
      <c r="EG33" s="486"/>
      <c r="EH33" s="486"/>
      <c r="EI33" s="486"/>
      <c r="EJ33" s="486"/>
      <c r="EK33" s="486"/>
      <c r="EL33" s="486"/>
      <c r="EM33" s="486"/>
      <c r="EN33" s="486"/>
      <c r="EO33" s="486"/>
      <c r="EP33" s="486"/>
      <c r="EQ33" s="486"/>
      <c r="ER33" s="486"/>
      <c r="ES33" s="486"/>
      <c r="ET33" s="486"/>
      <c r="EU33" s="486"/>
      <c r="EV33" s="486"/>
      <c r="EW33" s="486"/>
      <c r="EX33" s="486"/>
      <c r="EY33" s="486"/>
      <c r="EZ33" s="486"/>
      <c r="FA33" s="486"/>
      <c r="FB33" s="486"/>
      <c r="FC33" s="486"/>
      <c r="FD33" s="486"/>
      <c r="FE33" s="486"/>
      <c r="FF33" s="486"/>
      <c r="FG33" s="486"/>
      <c r="FH33" s="486"/>
      <c r="FI33" s="486"/>
      <c r="FJ33" s="486"/>
      <c r="FK33" s="486"/>
      <c r="FL33" s="486"/>
      <c r="FM33" s="486"/>
      <c r="FN33" s="486"/>
      <c r="FO33" s="486"/>
      <c r="FP33" s="486"/>
      <c r="FQ33" s="486"/>
      <c r="FR33" s="486"/>
      <c r="FS33" s="486"/>
      <c r="FT33" s="486"/>
      <c r="FU33" s="486"/>
      <c r="FV33" s="486"/>
      <c r="FW33" s="486"/>
      <c r="FX33" s="486"/>
      <c r="FY33" s="486"/>
      <c r="FZ33" s="486"/>
      <c r="GA33" s="486"/>
      <c r="GB33" s="486"/>
      <c r="GC33" s="486"/>
      <c r="GD33" s="486"/>
      <c r="GE33" s="486"/>
      <c r="GF33" s="486"/>
      <c r="GG33" s="486"/>
      <c r="GH33" s="486"/>
      <c r="GI33" s="486"/>
      <c r="GJ33" s="486"/>
      <c r="GK33" s="486"/>
      <c r="GL33" s="486"/>
      <c r="GM33" s="486"/>
      <c r="GN33" s="486"/>
      <c r="GO33" s="486"/>
      <c r="GP33" s="486"/>
      <c r="GQ33" s="486"/>
      <c r="GR33" s="486"/>
      <c r="GS33" s="486"/>
      <c r="GT33" s="486"/>
      <c r="GU33" s="486"/>
      <c r="GV33" s="486"/>
      <c r="GW33" s="486"/>
      <c r="GX33" s="486"/>
      <c r="GY33" s="486"/>
      <c r="GZ33" s="486"/>
      <c r="HA33" s="486"/>
      <c r="HB33" s="486"/>
      <c r="HC33" s="486"/>
      <c r="HD33" s="486"/>
      <c r="HE33" s="486"/>
      <c r="HF33" s="486"/>
      <c r="HG33" s="486"/>
      <c r="HH33" s="486"/>
      <c r="HI33" s="486"/>
      <c r="HJ33" s="486"/>
      <c r="HK33" s="486"/>
      <c r="HL33" s="486"/>
      <c r="HM33" s="486"/>
      <c r="HN33" s="486"/>
      <c r="HO33" s="486"/>
      <c r="HP33" s="486"/>
      <c r="HQ33" s="486"/>
      <c r="HR33" s="486"/>
      <c r="HS33" s="486"/>
      <c r="HT33" s="486"/>
      <c r="HU33" s="486"/>
      <c r="HV33" s="486"/>
      <c r="HW33" s="486"/>
      <c r="HX33" s="486"/>
      <c r="HY33" s="486"/>
      <c r="HZ33" s="486"/>
      <c r="IA33" s="486"/>
      <c r="IB33" s="486"/>
      <c r="IC33" s="486"/>
      <c r="ID33" s="486"/>
      <c r="IE33" s="486"/>
      <c r="IF33" s="486"/>
      <c r="IG33" s="486"/>
      <c r="IH33" s="486"/>
      <c r="II33" s="486"/>
      <c r="IJ33" s="486"/>
      <c r="IK33" s="486"/>
      <c r="IL33" s="486"/>
      <c r="IM33" s="486"/>
      <c r="IN33" s="486"/>
      <c r="IO33" s="486"/>
      <c r="IP33" s="486"/>
      <c r="IQ33" s="486"/>
      <c r="IR33" s="486"/>
      <c r="IS33" s="486"/>
      <c r="IT33" s="486"/>
      <c r="IU33" s="486"/>
    </row>
    <row r="34" spans="1:255" s="465" customFormat="1" ht="21" customHeight="1">
      <c r="A34" s="616" t="s">
        <v>805</v>
      </c>
      <c r="B34" s="485" t="s">
        <v>829</v>
      </c>
      <c r="C34" s="487">
        <v>94</v>
      </c>
      <c r="D34" s="488">
        <f>'94 (R)'!H31</f>
        <v>-967</v>
      </c>
      <c r="E34" s="489">
        <f>'94 (R)'!H30</f>
        <v>3189.8900000000031</v>
      </c>
      <c r="F34" s="490">
        <f>'94 (R)'!H22</f>
        <v>-2821.2200000000012</v>
      </c>
      <c r="G34" s="490">
        <v>0</v>
      </c>
      <c r="H34" s="490">
        <v>0</v>
      </c>
      <c r="I34" s="490">
        <v>0</v>
      </c>
      <c r="J34" s="491">
        <f t="shared" si="0"/>
        <v>5044.1100000000042</v>
      </c>
      <c r="K34" s="492">
        <v>0</v>
      </c>
      <c r="L34" s="491">
        <f t="shared" si="1"/>
        <v>5044.1100000000042</v>
      </c>
      <c r="M34" s="554">
        <v>0</v>
      </c>
      <c r="N34" s="617">
        <f t="shared" si="2"/>
        <v>-5044.1100000000042</v>
      </c>
      <c r="O34" s="493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  <c r="AO34" s="486"/>
      <c r="AP34" s="486"/>
      <c r="AQ34" s="486"/>
      <c r="AR34" s="486"/>
      <c r="AS34" s="486"/>
      <c r="AT34" s="486"/>
      <c r="AU34" s="486"/>
      <c r="AV34" s="486"/>
      <c r="AW34" s="486"/>
      <c r="AX34" s="486"/>
      <c r="AY34" s="486"/>
      <c r="AZ34" s="486"/>
      <c r="BA34" s="486"/>
      <c r="BB34" s="486"/>
      <c r="BC34" s="486"/>
      <c r="BD34" s="486"/>
      <c r="BE34" s="486"/>
      <c r="BF34" s="486"/>
      <c r="BG34" s="486"/>
      <c r="BH34" s="486"/>
      <c r="BI34" s="486"/>
      <c r="BJ34" s="486"/>
      <c r="BK34" s="486"/>
      <c r="BL34" s="486"/>
      <c r="BM34" s="486"/>
      <c r="BN34" s="486"/>
      <c r="BO34" s="486"/>
      <c r="BP34" s="486"/>
      <c r="BQ34" s="486"/>
      <c r="BR34" s="486"/>
      <c r="BS34" s="486"/>
      <c r="BT34" s="486"/>
      <c r="BU34" s="486"/>
      <c r="BV34" s="486"/>
      <c r="BW34" s="486"/>
      <c r="BX34" s="486"/>
      <c r="BY34" s="486"/>
      <c r="BZ34" s="486"/>
      <c r="CA34" s="486"/>
      <c r="CB34" s="486"/>
      <c r="CC34" s="486"/>
      <c r="CD34" s="486"/>
      <c r="CE34" s="486"/>
      <c r="CF34" s="486"/>
      <c r="CG34" s="486"/>
      <c r="CH34" s="486"/>
      <c r="CI34" s="486"/>
      <c r="CJ34" s="486"/>
      <c r="CK34" s="486"/>
      <c r="CL34" s="486"/>
      <c r="CM34" s="486"/>
      <c r="CN34" s="486"/>
      <c r="CO34" s="486"/>
      <c r="CP34" s="486"/>
      <c r="CQ34" s="486"/>
      <c r="CR34" s="486"/>
      <c r="CS34" s="486"/>
      <c r="CT34" s="486"/>
      <c r="CU34" s="486"/>
      <c r="CV34" s="486"/>
      <c r="CW34" s="486"/>
      <c r="CX34" s="486"/>
      <c r="CY34" s="486"/>
      <c r="CZ34" s="486"/>
      <c r="DA34" s="486"/>
      <c r="DB34" s="486"/>
      <c r="DC34" s="486"/>
      <c r="DD34" s="486"/>
      <c r="DE34" s="486"/>
      <c r="DF34" s="486"/>
      <c r="DG34" s="486"/>
      <c r="DH34" s="486"/>
      <c r="DI34" s="486"/>
      <c r="DJ34" s="486"/>
      <c r="DK34" s="486"/>
      <c r="DL34" s="486"/>
      <c r="DM34" s="486"/>
      <c r="DN34" s="486"/>
      <c r="DO34" s="486"/>
      <c r="DP34" s="486"/>
      <c r="DQ34" s="486"/>
      <c r="DR34" s="486"/>
      <c r="DS34" s="486"/>
      <c r="DT34" s="486"/>
      <c r="DU34" s="486"/>
      <c r="DV34" s="486"/>
      <c r="DW34" s="486"/>
      <c r="DX34" s="486"/>
      <c r="DY34" s="486"/>
      <c r="DZ34" s="486"/>
      <c r="EA34" s="486"/>
      <c r="EB34" s="486"/>
      <c r="EC34" s="486"/>
      <c r="ED34" s="486"/>
      <c r="EE34" s="486"/>
      <c r="EF34" s="486"/>
      <c r="EG34" s="486"/>
      <c r="EH34" s="486"/>
      <c r="EI34" s="486"/>
      <c r="EJ34" s="486"/>
      <c r="EK34" s="486"/>
      <c r="EL34" s="486"/>
      <c r="EM34" s="486"/>
      <c r="EN34" s="486"/>
      <c r="EO34" s="486"/>
      <c r="EP34" s="486"/>
      <c r="EQ34" s="486"/>
      <c r="ER34" s="486"/>
      <c r="ES34" s="486"/>
      <c r="ET34" s="486"/>
      <c r="EU34" s="486"/>
      <c r="EV34" s="486"/>
      <c r="EW34" s="486"/>
      <c r="EX34" s="486"/>
      <c r="EY34" s="486"/>
      <c r="EZ34" s="486"/>
      <c r="FA34" s="486"/>
      <c r="FB34" s="486"/>
      <c r="FC34" s="486"/>
      <c r="FD34" s="486"/>
      <c r="FE34" s="486"/>
      <c r="FF34" s="486"/>
      <c r="FG34" s="486"/>
      <c r="FH34" s="486"/>
      <c r="FI34" s="486"/>
      <c r="FJ34" s="486"/>
      <c r="FK34" s="486"/>
      <c r="FL34" s="486"/>
      <c r="FM34" s="486"/>
      <c r="FN34" s="486"/>
      <c r="FO34" s="486"/>
      <c r="FP34" s="486"/>
      <c r="FQ34" s="486"/>
      <c r="FR34" s="486"/>
      <c r="FS34" s="486"/>
      <c r="FT34" s="486"/>
      <c r="FU34" s="486"/>
      <c r="FV34" s="486"/>
      <c r="FW34" s="486"/>
      <c r="FX34" s="486"/>
      <c r="FY34" s="486"/>
      <c r="FZ34" s="486"/>
      <c r="GA34" s="486"/>
      <c r="GB34" s="486"/>
      <c r="GC34" s="486"/>
      <c r="GD34" s="486"/>
      <c r="GE34" s="486"/>
      <c r="GF34" s="486"/>
      <c r="GG34" s="486"/>
      <c r="GH34" s="486"/>
      <c r="GI34" s="486"/>
      <c r="GJ34" s="486"/>
      <c r="GK34" s="486"/>
      <c r="GL34" s="486"/>
      <c r="GM34" s="486"/>
      <c r="GN34" s="486"/>
      <c r="GO34" s="486"/>
      <c r="GP34" s="486"/>
      <c r="GQ34" s="486"/>
      <c r="GR34" s="486"/>
      <c r="GS34" s="486"/>
      <c r="GT34" s="486"/>
      <c r="GU34" s="486"/>
      <c r="GV34" s="486"/>
      <c r="GW34" s="486"/>
      <c r="GX34" s="486"/>
      <c r="GY34" s="486"/>
      <c r="GZ34" s="486"/>
      <c r="HA34" s="486"/>
      <c r="HB34" s="486"/>
      <c r="HC34" s="486"/>
      <c r="HD34" s="486"/>
      <c r="HE34" s="486"/>
      <c r="HF34" s="486"/>
      <c r="HG34" s="486"/>
      <c r="HH34" s="486"/>
      <c r="HI34" s="486"/>
      <c r="HJ34" s="486"/>
      <c r="HK34" s="486"/>
      <c r="HL34" s="486"/>
      <c r="HM34" s="486"/>
      <c r="HN34" s="486"/>
      <c r="HO34" s="486"/>
      <c r="HP34" s="486"/>
      <c r="HQ34" s="486"/>
      <c r="HR34" s="486"/>
      <c r="HS34" s="486"/>
      <c r="HT34" s="486"/>
      <c r="HU34" s="486"/>
      <c r="HV34" s="486"/>
      <c r="HW34" s="486"/>
      <c r="HX34" s="486"/>
      <c r="HY34" s="486"/>
      <c r="HZ34" s="486"/>
      <c r="IA34" s="486"/>
      <c r="IB34" s="486"/>
      <c r="IC34" s="486"/>
      <c r="ID34" s="486"/>
      <c r="IE34" s="486"/>
      <c r="IF34" s="486"/>
      <c r="IG34" s="486"/>
      <c r="IH34" s="486"/>
      <c r="II34" s="486"/>
      <c r="IJ34" s="486"/>
      <c r="IK34" s="486"/>
      <c r="IL34" s="486"/>
      <c r="IM34" s="486"/>
      <c r="IN34" s="486"/>
      <c r="IO34" s="486"/>
      <c r="IP34" s="486"/>
      <c r="IQ34" s="486"/>
      <c r="IR34" s="486"/>
      <c r="IS34" s="486"/>
      <c r="IT34" s="486"/>
      <c r="IU34" s="486"/>
    </row>
    <row r="35" spans="1:255" s="465" customFormat="1" ht="21" customHeight="1">
      <c r="A35" s="616" t="s">
        <v>838</v>
      </c>
      <c r="B35" s="485" t="s">
        <v>111</v>
      </c>
      <c r="C35" s="487">
        <v>34</v>
      </c>
      <c r="D35" s="488">
        <f>'34 (R)'!G30</f>
        <v>0</v>
      </c>
      <c r="E35" s="489">
        <f>'34 (R)'!F36</f>
        <v>57916</v>
      </c>
      <c r="F35" s="490">
        <f>'34 (R)'!F37</f>
        <v>32683</v>
      </c>
      <c r="G35" s="490">
        <f>'34 (R)'!F12</f>
        <v>0</v>
      </c>
      <c r="H35" s="490">
        <v>0</v>
      </c>
      <c r="I35" s="490">
        <f>'34 (R)'!F13</f>
        <v>12000</v>
      </c>
      <c r="J35" s="491">
        <f t="shared" si="0"/>
        <v>13233</v>
      </c>
      <c r="K35" s="492">
        <v>0</v>
      </c>
      <c r="L35" s="491">
        <f t="shared" si="1"/>
        <v>13233</v>
      </c>
      <c r="M35" s="554">
        <v>0</v>
      </c>
      <c r="N35" s="617">
        <f t="shared" si="2"/>
        <v>-13233</v>
      </c>
      <c r="O35" s="493"/>
      <c r="P35" s="486"/>
      <c r="Q35" s="486"/>
      <c r="R35" s="486"/>
      <c r="S35" s="486"/>
      <c r="T35" s="486"/>
      <c r="U35" s="486"/>
      <c r="V35" s="486"/>
      <c r="W35" s="486"/>
      <c r="X35" s="486"/>
      <c r="Y35" s="486"/>
      <c r="Z35" s="486"/>
      <c r="AA35" s="486"/>
      <c r="AB35" s="486"/>
      <c r="AC35" s="486"/>
      <c r="AD35" s="486"/>
      <c r="AE35" s="486"/>
      <c r="AF35" s="486"/>
      <c r="AG35" s="486"/>
      <c r="AH35" s="486"/>
      <c r="AI35" s="486"/>
      <c r="AJ35" s="486"/>
      <c r="AK35" s="486"/>
      <c r="AL35" s="486"/>
      <c r="AM35" s="486"/>
      <c r="AN35" s="486"/>
      <c r="AO35" s="486"/>
      <c r="AP35" s="486"/>
      <c r="AQ35" s="486"/>
      <c r="AR35" s="486"/>
      <c r="AS35" s="486"/>
      <c r="AT35" s="486"/>
      <c r="AU35" s="486"/>
      <c r="AV35" s="486"/>
      <c r="AW35" s="486"/>
      <c r="AX35" s="486"/>
      <c r="AY35" s="486"/>
      <c r="AZ35" s="486"/>
      <c r="BA35" s="486"/>
      <c r="BB35" s="486"/>
      <c r="BC35" s="486"/>
      <c r="BD35" s="486"/>
      <c r="BE35" s="486"/>
      <c r="BF35" s="486"/>
      <c r="BG35" s="486"/>
      <c r="BH35" s="486"/>
      <c r="BI35" s="486"/>
      <c r="BJ35" s="486"/>
      <c r="BK35" s="486"/>
      <c r="BL35" s="486"/>
      <c r="BM35" s="486"/>
      <c r="BN35" s="486"/>
      <c r="BO35" s="486"/>
      <c r="BP35" s="486"/>
      <c r="BQ35" s="486"/>
      <c r="BR35" s="486"/>
      <c r="BS35" s="486"/>
      <c r="BT35" s="486"/>
      <c r="BU35" s="486"/>
      <c r="BV35" s="486"/>
      <c r="BW35" s="486"/>
      <c r="BX35" s="486"/>
      <c r="BY35" s="486"/>
      <c r="BZ35" s="486"/>
      <c r="CA35" s="486"/>
      <c r="CB35" s="486"/>
      <c r="CC35" s="486"/>
      <c r="CD35" s="486"/>
      <c r="CE35" s="486"/>
      <c r="CF35" s="486"/>
      <c r="CG35" s="486"/>
      <c r="CH35" s="486"/>
      <c r="CI35" s="486"/>
      <c r="CJ35" s="486"/>
      <c r="CK35" s="486"/>
      <c r="CL35" s="486"/>
      <c r="CM35" s="486"/>
      <c r="CN35" s="486"/>
      <c r="CO35" s="486"/>
      <c r="CP35" s="486"/>
      <c r="CQ35" s="486"/>
      <c r="CR35" s="486"/>
      <c r="CS35" s="486"/>
      <c r="CT35" s="486"/>
      <c r="CU35" s="486"/>
      <c r="CV35" s="486"/>
      <c r="CW35" s="486"/>
      <c r="CX35" s="486"/>
      <c r="CY35" s="486"/>
      <c r="CZ35" s="486"/>
      <c r="DA35" s="486"/>
      <c r="DB35" s="486"/>
      <c r="DC35" s="486"/>
      <c r="DD35" s="486"/>
      <c r="DE35" s="486"/>
      <c r="DF35" s="486"/>
      <c r="DG35" s="486"/>
      <c r="DH35" s="486"/>
      <c r="DI35" s="486"/>
      <c r="DJ35" s="486"/>
      <c r="DK35" s="486"/>
      <c r="DL35" s="486"/>
      <c r="DM35" s="486"/>
      <c r="DN35" s="486"/>
      <c r="DO35" s="486"/>
      <c r="DP35" s="486"/>
      <c r="DQ35" s="486"/>
      <c r="DR35" s="486"/>
      <c r="DS35" s="486"/>
      <c r="DT35" s="486"/>
      <c r="DU35" s="486"/>
      <c r="DV35" s="486"/>
      <c r="DW35" s="486"/>
      <c r="DX35" s="486"/>
      <c r="DY35" s="486"/>
      <c r="DZ35" s="486"/>
      <c r="EA35" s="486"/>
      <c r="EB35" s="486"/>
      <c r="EC35" s="486"/>
      <c r="ED35" s="486"/>
      <c r="EE35" s="486"/>
      <c r="EF35" s="486"/>
      <c r="EG35" s="486"/>
      <c r="EH35" s="486"/>
      <c r="EI35" s="486"/>
      <c r="EJ35" s="486"/>
      <c r="EK35" s="486"/>
      <c r="EL35" s="486"/>
      <c r="EM35" s="486"/>
      <c r="EN35" s="486"/>
      <c r="EO35" s="486"/>
      <c r="EP35" s="486"/>
      <c r="EQ35" s="486"/>
      <c r="ER35" s="486"/>
      <c r="ES35" s="486"/>
      <c r="ET35" s="486"/>
      <c r="EU35" s="486"/>
      <c r="EV35" s="486"/>
      <c r="EW35" s="486"/>
      <c r="EX35" s="486"/>
      <c r="EY35" s="486"/>
      <c r="EZ35" s="486"/>
      <c r="FA35" s="486"/>
      <c r="FB35" s="486"/>
      <c r="FC35" s="486"/>
      <c r="FD35" s="486"/>
      <c r="FE35" s="486"/>
      <c r="FF35" s="486"/>
      <c r="FG35" s="486"/>
      <c r="FH35" s="486"/>
      <c r="FI35" s="486"/>
      <c r="FJ35" s="486"/>
      <c r="FK35" s="486"/>
      <c r="FL35" s="486"/>
      <c r="FM35" s="486"/>
      <c r="FN35" s="486"/>
      <c r="FO35" s="486"/>
      <c r="FP35" s="486"/>
      <c r="FQ35" s="486"/>
      <c r="FR35" s="486"/>
      <c r="FS35" s="486"/>
      <c r="FT35" s="486"/>
      <c r="FU35" s="486"/>
      <c r="FV35" s="486"/>
      <c r="FW35" s="486"/>
      <c r="FX35" s="486"/>
      <c r="FY35" s="486"/>
      <c r="FZ35" s="486"/>
      <c r="GA35" s="486"/>
      <c r="GB35" s="486"/>
      <c r="GC35" s="486"/>
      <c r="GD35" s="486"/>
      <c r="GE35" s="486"/>
      <c r="GF35" s="486"/>
      <c r="GG35" s="486"/>
      <c r="GH35" s="486"/>
      <c r="GI35" s="486"/>
      <c r="GJ35" s="486"/>
      <c r="GK35" s="486"/>
      <c r="GL35" s="486"/>
      <c r="GM35" s="486"/>
      <c r="GN35" s="486"/>
      <c r="GO35" s="486"/>
      <c r="GP35" s="486"/>
      <c r="GQ35" s="486"/>
      <c r="GR35" s="486"/>
      <c r="GS35" s="486"/>
      <c r="GT35" s="486"/>
      <c r="GU35" s="486"/>
      <c r="GV35" s="486"/>
      <c r="GW35" s="486"/>
      <c r="GX35" s="486"/>
      <c r="GY35" s="486"/>
      <c r="GZ35" s="486"/>
      <c r="HA35" s="486"/>
      <c r="HB35" s="486"/>
      <c r="HC35" s="486"/>
      <c r="HD35" s="486"/>
      <c r="HE35" s="486"/>
      <c r="HF35" s="486"/>
      <c r="HG35" s="486"/>
      <c r="HH35" s="486"/>
      <c r="HI35" s="486"/>
      <c r="HJ35" s="486"/>
      <c r="HK35" s="486"/>
      <c r="HL35" s="486"/>
      <c r="HM35" s="486"/>
      <c r="HN35" s="486"/>
      <c r="HO35" s="486"/>
      <c r="HP35" s="486"/>
      <c r="HQ35" s="486"/>
      <c r="HR35" s="486"/>
      <c r="HS35" s="486"/>
      <c r="HT35" s="486"/>
      <c r="HU35" s="486"/>
      <c r="HV35" s="486"/>
      <c r="HW35" s="486"/>
      <c r="HX35" s="486"/>
      <c r="HY35" s="486"/>
      <c r="HZ35" s="486"/>
      <c r="IA35" s="486"/>
      <c r="IB35" s="486"/>
      <c r="IC35" s="486"/>
      <c r="ID35" s="486"/>
      <c r="IE35" s="486"/>
      <c r="IF35" s="486"/>
      <c r="IG35" s="486"/>
      <c r="IH35" s="486"/>
      <c r="II35" s="486"/>
      <c r="IJ35" s="486"/>
      <c r="IK35" s="486"/>
      <c r="IL35" s="486"/>
      <c r="IM35" s="486"/>
      <c r="IN35" s="486"/>
      <c r="IO35" s="486"/>
      <c r="IP35" s="486"/>
      <c r="IQ35" s="486"/>
      <c r="IR35" s="486"/>
      <c r="IS35" s="486"/>
      <c r="IT35" s="486"/>
      <c r="IU35" s="486"/>
    </row>
    <row r="36" spans="1:255" s="465" customFormat="1" ht="21" customHeight="1">
      <c r="A36" s="616" t="s">
        <v>659</v>
      </c>
      <c r="B36" s="485" t="s">
        <v>1</v>
      </c>
      <c r="C36" s="487">
        <v>42</v>
      </c>
      <c r="D36" s="488">
        <f>'42 (R)'!H26</f>
        <v>193225</v>
      </c>
      <c r="E36" s="489">
        <f>'42 (R)'!H27</f>
        <v>77235.429999999935</v>
      </c>
      <c r="F36" s="490">
        <f>'42 (R)'!H40</f>
        <v>214824.43000000017</v>
      </c>
      <c r="G36" s="490">
        <f>'42 (R)'!H36</f>
        <v>223.12999999999965</v>
      </c>
      <c r="H36" s="490">
        <v>0</v>
      </c>
      <c r="I36" s="490">
        <f>'42 (R)'!H35</f>
        <v>0</v>
      </c>
      <c r="J36" s="491">
        <f t="shared" si="0"/>
        <v>55412.86999999977</v>
      </c>
      <c r="K36" s="492">
        <v>0</v>
      </c>
      <c r="L36" s="491">
        <f t="shared" si="1"/>
        <v>55412.86999999977</v>
      </c>
      <c r="M36" s="554">
        <v>0</v>
      </c>
      <c r="N36" s="617">
        <f t="shared" si="2"/>
        <v>-55412.86999999977</v>
      </c>
      <c r="O36" s="493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  <c r="AO36" s="486"/>
      <c r="AP36" s="486"/>
      <c r="AQ36" s="486"/>
      <c r="AR36" s="486"/>
      <c r="AS36" s="486"/>
      <c r="AT36" s="486"/>
      <c r="AU36" s="486"/>
      <c r="AV36" s="486"/>
      <c r="AW36" s="486"/>
      <c r="AX36" s="486"/>
      <c r="AY36" s="486"/>
      <c r="AZ36" s="486"/>
      <c r="BA36" s="486"/>
      <c r="BB36" s="486"/>
      <c r="BC36" s="486"/>
      <c r="BD36" s="486"/>
      <c r="BE36" s="486"/>
      <c r="BF36" s="486"/>
      <c r="BG36" s="486"/>
      <c r="BH36" s="486"/>
      <c r="BI36" s="486"/>
      <c r="BJ36" s="486"/>
      <c r="BK36" s="486"/>
      <c r="BL36" s="486"/>
      <c r="BM36" s="486"/>
      <c r="BN36" s="486"/>
      <c r="BO36" s="486"/>
      <c r="BP36" s="486"/>
      <c r="BQ36" s="486"/>
      <c r="BR36" s="486"/>
      <c r="BS36" s="486"/>
      <c r="BT36" s="486"/>
      <c r="BU36" s="486"/>
      <c r="BV36" s="486"/>
      <c r="BW36" s="486"/>
      <c r="BX36" s="486"/>
      <c r="BY36" s="486"/>
      <c r="BZ36" s="486"/>
      <c r="CA36" s="486"/>
      <c r="CB36" s="486"/>
      <c r="CC36" s="486"/>
      <c r="CD36" s="486"/>
      <c r="CE36" s="486"/>
      <c r="CF36" s="486"/>
      <c r="CG36" s="486"/>
      <c r="CH36" s="486"/>
      <c r="CI36" s="486"/>
      <c r="CJ36" s="486"/>
      <c r="CK36" s="486"/>
      <c r="CL36" s="486"/>
      <c r="CM36" s="486"/>
      <c r="CN36" s="486"/>
      <c r="CO36" s="486"/>
      <c r="CP36" s="486"/>
      <c r="CQ36" s="486"/>
      <c r="CR36" s="486"/>
      <c r="CS36" s="486"/>
      <c r="CT36" s="486"/>
      <c r="CU36" s="486"/>
      <c r="CV36" s="486"/>
      <c r="CW36" s="486"/>
      <c r="CX36" s="486"/>
      <c r="CY36" s="486"/>
      <c r="CZ36" s="486"/>
      <c r="DA36" s="486"/>
      <c r="DB36" s="486"/>
      <c r="DC36" s="486"/>
      <c r="DD36" s="486"/>
      <c r="DE36" s="486"/>
      <c r="DF36" s="486"/>
      <c r="DG36" s="486"/>
      <c r="DH36" s="486"/>
      <c r="DI36" s="486"/>
      <c r="DJ36" s="486"/>
      <c r="DK36" s="486"/>
      <c r="DL36" s="486"/>
      <c r="DM36" s="486"/>
      <c r="DN36" s="486"/>
      <c r="DO36" s="486"/>
      <c r="DP36" s="486"/>
      <c r="DQ36" s="486"/>
      <c r="DR36" s="486"/>
      <c r="DS36" s="486"/>
      <c r="DT36" s="486"/>
      <c r="DU36" s="486"/>
      <c r="DV36" s="486"/>
      <c r="DW36" s="486"/>
      <c r="DX36" s="486"/>
      <c r="DY36" s="486"/>
      <c r="DZ36" s="486"/>
      <c r="EA36" s="486"/>
      <c r="EB36" s="486"/>
      <c r="EC36" s="486"/>
      <c r="ED36" s="486"/>
      <c r="EE36" s="486"/>
      <c r="EF36" s="486"/>
      <c r="EG36" s="486"/>
      <c r="EH36" s="486"/>
      <c r="EI36" s="486"/>
      <c r="EJ36" s="486"/>
      <c r="EK36" s="486"/>
      <c r="EL36" s="486"/>
      <c r="EM36" s="486"/>
      <c r="EN36" s="486"/>
      <c r="EO36" s="486"/>
      <c r="EP36" s="486"/>
      <c r="EQ36" s="486"/>
      <c r="ER36" s="486"/>
      <c r="ES36" s="486"/>
      <c r="ET36" s="486"/>
      <c r="EU36" s="486"/>
      <c r="EV36" s="486"/>
      <c r="EW36" s="486"/>
      <c r="EX36" s="486"/>
      <c r="EY36" s="486"/>
      <c r="EZ36" s="486"/>
      <c r="FA36" s="486"/>
      <c r="FB36" s="486"/>
      <c r="FC36" s="486"/>
      <c r="FD36" s="486"/>
      <c r="FE36" s="486"/>
      <c r="FF36" s="486"/>
      <c r="FG36" s="486"/>
      <c r="FH36" s="486"/>
      <c r="FI36" s="486"/>
      <c r="FJ36" s="486"/>
      <c r="FK36" s="486"/>
      <c r="FL36" s="486"/>
      <c r="FM36" s="486"/>
      <c r="FN36" s="486"/>
      <c r="FO36" s="486"/>
      <c r="FP36" s="486"/>
      <c r="FQ36" s="486"/>
      <c r="FR36" s="486"/>
      <c r="FS36" s="486"/>
      <c r="FT36" s="486"/>
      <c r="FU36" s="486"/>
      <c r="FV36" s="486"/>
      <c r="FW36" s="486"/>
      <c r="FX36" s="486"/>
      <c r="FY36" s="486"/>
      <c r="FZ36" s="486"/>
      <c r="GA36" s="486"/>
      <c r="GB36" s="486"/>
      <c r="GC36" s="486"/>
      <c r="GD36" s="486"/>
      <c r="GE36" s="486"/>
      <c r="GF36" s="486"/>
      <c r="GG36" s="486"/>
      <c r="GH36" s="486"/>
      <c r="GI36" s="486"/>
      <c r="GJ36" s="486"/>
      <c r="GK36" s="486"/>
      <c r="GL36" s="486"/>
      <c r="GM36" s="486"/>
      <c r="GN36" s="486"/>
      <c r="GO36" s="486"/>
      <c r="GP36" s="486"/>
      <c r="GQ36" s="486"/>
      <c r="GR36" s="486"/>
      <c r="GS36" s="486"/>
      <c r="GT36" s="486"/>
      <c r="GU36" s="486"/>
      <c r="GV36" s="486"/>
      <c r="GW36" s="486"/>
      <c r="GX36" s="486"/>
      <c r="GY36" s="486"/>
      <c r="GZ36" s="486"/>
      <c r="HA36" s="486"/>
      <c r="HB36" s="486"/>
      <c r="HC36" s="486"/>
      <c r="HD36" s="486"/>
      <c r="HE36" s="486"/>
      <c r="HF36" s="486"/>
      <c r="HG36" s="486"/>
      <c r="HH36" s="486"/>
      <c r="HI36" s="486"/>
      <c r="HJ36" s="486"/>
      <c r="HK36" s="486"/>
      <c r="HL36" s="486"/>
      <c r="HM36" s="486"/>
      <c r="HN36" s="486"/>
      <c r="HO36" s="486"/>
      <c r="HP36" s="486"/>
      <c r="HQ36" s="486"/>
      <c r="HR36" s="486"/>
      <c r="HS36" s="486"/>
      <c r="HT36" s="486"/>
      <c r="HU36" s="486"/>
      <c r="HV36" s="486"/>
      <c r="HW36" s="486"/>
      <c r="HX36" s="486"/>
      <c r="HY36" s="486"/>
      <c r="HZ36" s="486"/>
      <c r="IA36" s="486"/>
      <c r="IB36" s="486"/>
      <c r="IC36" s="486"/>
      <c r="ID36" s="486"/>
      <c r="IE36" s="486"/>
      <c r="IF36" s="486"/>
      <c r="IG36" s="486"/>
      <c r="IH36" s="486"/>
      <c r="II36" s="486"/>
      <c r="IJ36" s="486"/>
      <c r="IK36" s="486"/>
      <c r="IL36" s="486"/>
      <c r="IM36" s="486"/>
      <c r="IN36" s="486"/>
      <c r="IO36" s="486"/>
      <c r="IP36" s="486"/>
      <c r="IQ36" s="486"/>
      <c r="IR36" s="486"/>
      <c r="IS36" s="486"/>
      <c r="IT36" s="486"/>
      <c r="IU36" s="486"/>
    </row>
    <row r="37" spans="1:255" s="465" customFormat="1" ht="21" hidden="1" customHeight="1">
      <c r="A37" s="616"/>
      <c r="B37" s="485" t="s">
        <v>70</v>
      </c>
      <c r="C37" s="487">
        <v>48</v>
      </c>
      <c r="D37" s="488">
        <f>'50N'!H43</f>
        <v>0</v>
      </c>
      <c r="E37" s="489">
        <f>'50N'!I23</f>
        <v>0</v>
      </c>
      <c r="F37" s="490">
        <f>'50N'!H24</f>
        <v>0</v>
      </c>
      <c r="G37" s="490">
        <v>0</v>
      </c>
      <c r="H37" s="490">
        <v>0</v>
      </c>
      <c r="I37" s="490">
        <v>0</v>
      </c>
      <c r="J37" s="491">
        <f t="shared" si="0"/>
        <v>0</v>
      </c>
      <c r="K37" s="492">
        <v>0</v>
      </c>
      <c r="L37" s="491">
        <f t="shared" si="1"/>
        <v>0</v>
      </c>
      <c r="M37" s="554">
        <v>0</v>
      </c>
      <c r="N37" s="617">
        <f t="shared" si="2"/>
        <v>0</v>
      </c>
      <c r="O37" s="493"/>
      <c r="P37" s="486"/>
      <c r="Q37" s="486"/>
      <c r="R37" s="486"/>
      <c r="S37" s="486"/>
      <c r="T37" s="486"/>
      <c r="U37" s="486"/>
      <c r="V37" s="486"/>
      <c r="W37" s="486"/>
      <c r="X37" s="486"/>
      <c r="Y37" s="486"/>
      <c r="Z37" s="486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  <c r="AK37" s="486"/>
      <c r="AL37" s="486"/>
      <c r="AM37" s="486"/>
      <c r="AN37" s="486"/>
      <c r="AO37" s="486"/>
      <c r="AP37" s="486"/>
      <c r="AQ37" s="486"/>
      <c r="AR37" s="486"/>
      <c r="AS37" s="486"/>
      <c r="AT37" s="486"/>
      <c r="AU37" s="486"/>
      <c r="AV37" s="486"/>
      <c r="AW37" s="486"/>
      <c r="AX37" s="486"/>
      <c r="AY37" s="486"/>
      <c r="AZ37" s="486"/>
      <c r="BA37" s="486"/>
      <c r="BB37" s="486"/>
      <c r="BC37" s="486"/>
      <c r="BD37" s="486"/>
      <c r="BE37" s="486"/>
      <c r="BF37" s="486"/>
      <c r="BG37" s="486"/>
      <c r="BH37" s="486"/>
      <c r="BI37" s="486"/>
      <c r="BJ37" s="486"/>
      <c r="BK37" s="486"/>
      <c r="BL37" s="486"/>
      <c r="BM37" s="486"/>
      <c r="BN37" s="486"/>
      <c r="BO37" s="486"/>
      <c r="BP37" s="486"/>
      <c r="BQ37" s="486"/>
      <c r="BR37" s="486"/>
      <c r="BS37" s="486"/>
      <c r="BT37" s="486"/>
      <c r="BU37" s="486"/>
      <c r="BV37" s="486"/>
      <c r="BW37" s="486"/>
      <c r="BX37" s="486"/>
      <c r="BY37" s="486"/>
      <c r="BZ37" s="486"/>
      <c r="CA37" s="486"/>
      <c r="CB37" s="486"/>
      <c r="CC37" s="486"/>
      <c r="CD37" s="486"/>
      <c r="CE37" s="486"/>
      <c r="CF37" s="486"/>
      <c r="CG37" s="486"/>
      <c r="CH37" s="486"/>
      <c r="CI37" s="486"/>
      <c r="CJ37" s="486"/>
      <c r="CK37" s="486"/>
      <c r="CL37" s="486"/>
      <c r="CM37" s="486"/>
      <c r="CN37" s="486"/>
      <c r="CO37" s="486"/>
      <c r="CP37" s="486"/>
      <c r="CQ37" s="486"/>
      <c r="CR37" s="486"/>
      <c r="CS37" s="486"/>
      <c r="CT37" s="486"/>
      <c r="CU37" s="486"/>
      <c r="CV37" s="486"/>
      <c r="CW37" s="486"/>
      <c r="CX37" s="486"/>
      <c r="CY37" s="486"/>
      <c r="CZ37" s="486"/>
      <c r="DA37" s="486"/>
      <c r="DB37" s="486"/>
      <c r="DC37" s="486"/>
      <c r="DD37" s="486"/>
      <c r="DE37" s="486"/>
      <c r="DF37" s="486"/>
      <c r="DG37" s="486"/>
      <c r="DH37" s="486"/>
      <c r="DI37" s="486"/>
      <c r="DJ37" s="486"/>
      <c r="DK37" s="486"/>
      <c r="DL37" s="486"/>
      <c r="DM37" s="486"/>
      <c r="DN37" s="486"/>
      <c r="DO37" s="486"/>
      <c r="DP37" s="486"/>
      <c r="DQ37" s="486"/>
      <c r="DR37" s="486"/>
      <c r="DS37" s="486"/>
      <c r="DT37" s="486"/>
      <c r="DU37" s="486"/>
      <c r="DV37" s="486"/>
      <c r="DW37" s="486"/>
      <c r="DX37" s="486"/>
      <c r="DY37" s="486"/>
      <c r="DZ37" s="486"/>
      <c r="EA37" s="486"/>
      <c r="EB37" s="486"/>
      <c r="EC37" s="486"/>
      <c r="ED37" s="486"/>
      <c r="EE37" s="486"/>
      <c r="EF37" s="486"/>
      <c r="EG37" s="486"/>
      <c r="EH37" s="486"/>
      <c r="EI37" s="486"/>
      <c r="EJ37" s="486"/>
      <c r="EK37" s="486"/>
      <c r="EL37" s="486"/>
      <c r="EM37" s="486"/>
      <c r="EN37" s="486"/>
      <c r="EO37" s="486"/>
      <c r="EP37" s="486"/>
      <c r="EQ37" s="486"/>
      <c r="ER37" s="486"/>
      <c r="ES37" s="486"/>
      <c r="ET37" s="486"/>
      <c r="EU37" s="486"/>
      <c r="EV37" s="486"/>
      <c r="EW37" s="486"/>
      <c r="EX37" s="486"/>
      <c r="EY37" s="486"/>
      <c r="EZ37" s="486"/>
      <c r="FA37" s="486"/>
      <c r="FB37" s="486"/>
      <c r="FC37" s="486"/>
      <c r="FD37" s="486"/>
      <c r="FE37" s="486"/>
      <c r="FF37" s="486"/>
      <c r="FG37" s="486"/>
      <c r="FH37" s="486"/>
      <c r="FI37" s="486"/>
      <c r="FJ37" s="486"/>
      <c r="FK37" s="486"/>
      <c r="FL37" s="486"/>
      <c r="FM37" s="486"/>
      <c r="FN37" s="486"/>
      <c r="FO37" s="486"/>
      <c r="FP37" s="486"/>
      <c r="FQ37" s="486"/>
      <c r="FR37" s="486"/>
      <c r="FS37" s="486"/>
      <c r="FT37" s="486"/>
      <c r="FU37" s="486"/>
      <c r="FV37" s="486"/>
      <c r="FW37" s="486"/>
      <c r="FX37" s="486"/>
      <c r="FY37" s="486"/>
      <c r="FZ37" s="486"/>
      <c r="GA37" s="486"/>
      <c r="GB37" s="486"/>
      <c r="GC37" s="486"/>
      <c r="GD37" s="486"/>
      <c r="GE37" s="486"/>
      <c r="GF37" s="486"/>
      <c r="GG37" s="486"/>
      <c r="GH37" s="486"/>
      <c r="GI37" s="486"/>
      <c r="GJ37" s="486"/>
      <c r="GK37" s="486"/>
      <c r="GL37" s="486"/>
      <c r="GM37" s="486"/>
      <c r="GN37" s="486"/>
      <c r="GO37" s="486"/>
      <c r="GP37" s="486"/>
      <c r="GQ37" s="486"/>
      <c r="GR37" s="486"/>
      <c r="GS37" s="486"/>
      <c r="GT37" s="486"/>
      <c r="GU37" s="486"/>
      <c r="GV37" s="486"/>
      <c r="GW37" s="486"/>
      <c r="GX37" s="486"/>
      <c r="GY37" s="486"/>
      <c r="GZ37" s="486"/>
      <c r="HA37" s="486"/>
      <c r="HB37" s="486"/>
      <c r="HC37" s="486"/>
      <c r="HD37" s="486"/>
      <c r="HE37" s="486"/>
      <c r="HF37" s="486"/>
      <c r="HG37" s="486"/>
      <c r="HH37" s="486"/>
      <c r="HI37" s="486"/>
      <c r="HJ37" s="486"/>
      <c r="HK37" s="486"/>
      <c r="HL37" s="486"/>
      <c r="HM37" s="486"/>
      <c r="HN37" s="486"/>
      <c r="HO37" s="486"/>
      <c r="HP37" s="486"/>
      <c r="HQ37" s="486"/>
      <c r="HR37" s="486"/>
      <c r="HS37" s="486"/>
      <c r="HT37" s="486"/>
      <c r="HU37" s="486"/>
      <c r="HV37" s="486"/>
      <c r="HW37" s="486"/>
      <c r="HX37" s="486"/>
      <c r="HY37" s="486"/>
      <c r="HZ37" s="486"/>
      <c r="IA37" s="486"/>
      <c r="IB37" s="486"/>
      <c r="IC37" s="486"/>
      <c r="ID37" s="486"/>
      <c r="IE37" s="486"/>
      <c r="IF37" s="486"/>
      <c r="IG37" s="486"/>
      <c r="IH37" s="486"/>
      <c r="II37" s="486"/>
      <c r="IJ37" s="486"/>
      <c r="IK37" s="486"/>
      <c r="IL37" s="486"/>
      <c r="IM37" s="486"/>
      <c r="IN37" s="486"/>
      <c r="IO37" s="486"/>
      <c r="IP37" s="486"/>
      <c r="IQ37" s="486"/>
      <c r="IR37" s="486"/>
      <c r="IS37" s="486"/>
      <c r="IT37" s="486"/>
      <c r="IU37" s="486"/>
    </row>
    <row r="38" spans="1:255" s="465" customFormat="1" ht="21" hidden="1" customHeight="1">
      <c r="A38" s="616" t="s">
        <v>609</v>
      </c>
      <c r="B38" s="485" t="s">
        <v>70</v>
      </c>
      <c r="C38" s="487">
        <v>49</v>
      </c>
      <c r="D38" s="488">
        <f>'49'!H43</f>
        <v>0</v>
      </c>
      <c r="E38" s="489">
        <f>'49'!I23</f>
        <v>0</v>
      </c>
      <c r="F38" s="490">
        <f>'49'!H24</f>
        <v>0</v>
      </c>
      <c r="G38" s="490">
        <v>0</v>
      </c>
      <c r="H38" s="490">
        <v>0</v>
      </c>
      <c r="I38" s="490"/>
      <c r="J38" s="491">
        <f t="shared" si="0"/>
        <v>0</v>
      </c>
      <c r="K38" s="492">
        <v>0</v>
      </c>
      <c r="L38" s="491">
        <f t="shared" si="1"/>
        <v>0</v>
      </c>
      <c r="M38" s="554">
        <v>0</v>
      </c>
      <c r="N38" s="617">
        <f t="shared" si="2"/>
        <v>0</v>
      </c>
      <c r="O38" s="493"/>
      <c r="P38" s="486"/>
      <c r="Q38" s="486"/>
      <c r="R38" s="486"/>
      <c r="S38" s="486"/>
      <c r="T38" s="486"/>
      <c r="U38" s="486"/>
      <c r="V38" s="486"/>
      <c r="W38" s="486"/>
      <c r="X38" s="486"/>
      <c r="Y38" s="486"/>
      <c r="Z38" s="486"/>
      <c r="AA38" s="486"/>
      <c r="AB38" s="486"/>
      <c r="AC38" s="486"/>
      <c r="AD38" s="486"/>
      <c r="AE38" s="486"/>
      <c r="AF38" s="486"/>
      <c r="AG38" s="486"/>
      <c r="AH38" s="486"/>
      <c r="AI38" s="486"/>
      <c r="AJ38" s="486"/>
      <c r="AK38" s="486"/>
      <c r="AL38" s="486"/>
      <c r="AM38" s="486"/>
      <c r="AN38" s="486"/>
      <c r="AO38" s="486"/>
      <c r="AP38" s="486"/>
      <c r="AQ38" s="486"/>
      <c r="AR38" s="486"/>
      <c r="AS38" s="486"/>
      <c r="AT38" s="486"/>
      <c r="AU38" s="486"/>
      <c r="AV38" s="486"/>
      <c r="AW38" s="486"/>
      <c r="AX38" s="486"/>
      <c r="AY38" s="486"/>
      <c r="AZ38" s="486"/>
      <c r="BA38" s="486"/>
      <c r="BB38" s="486"/>
      <c r="BC38" s="486"/>
      <c r="BD38" s="486"/>
      <c r="BE38" s="486"/>
      <c r="BF38" s="486"/>
      <c r="BG38" s="486"/>
      <c r="BH38" s="486"/>
      <c r="BI38" s="486"/>
      <c r="BJ38" s="486"/>
      <c r="BK38" s="486"/>
      <c r="BL38" s="486"/>
      <c r="BM38" s="486"/>
      <c r="BN38" s="486"/>
      <c r="BO38" s="486"/>
      <c r="BP38" s="486"/>
      <c r="BQ38" s="486"/>
      <c r="BR38" s="486"/>
      <c r="BS38" s="486"/>
      <c r="BT38" s="486"/>
      <c r="BU38" s="486"/>
      <c r="BV38" s="486"/>
      <c r="BW38" s="486"/>
      <c r="BX38" s="486"/>
      <c r="BY38" s="486"/>
      <c r="BZ38" s="486"/>
      <c r="CA38" s="486"/>
      <c r="CB38" s="486"/>
      <c r="CC38" s="486"/>
      <c r="CD38" s="486"/>
      <c r="CE38" s="486"/>
      <c r="CF38" s="486"/>
      <c r="CG38" s="486"/>
      <c r="CH38" s="486"/>
      <c r="CI38" s="486"/>
      <c r="CJ38" s="486"/>
      <c r="CK38" s="486"/>
      <c r="CL38" s="486"/>
      <c r="CM38" s="486"/>
      <c r="CN38" s="486"/>
      <c r="CO38" s="486"/>
      <c r="CP38" s="486"/>
      <c r="CQ38" s="486"/>
      <c r="CR38" s="486"/>
      <c r="CS38" s="486"/>
      <c r="CT38" s="486"/>
      <c r="CU38" s="486"/>
      <c r="CV38" s="486"/>
      <c r="CW38" s="486"/>
      <c r="CX38" s="486"/>
      <c r="CY38" s="486"/>
      <c r="CZ38" s="486"/>
      <c r="DA38" s="486"/>
      <c r="DB38" s="486"/>
      <c r="DC38" s="486"/>
      <c r="DD38" s="486"/>
      <c r="DE38" s="486"/>
      <c r="DF38" s="486"/>
      <c r="DG38" s="486"/>
      <c r="DH38" s="486"/>
      <c r="DI38" s="486"/>
      <c r="DJ38" s="486"/>
      <c r="DK38" s="486"/>
      <c r="DL38" s="486"/>
      <c r="DM38" s="486"/>
      <c r="DN38" s="486"/>
      <c r="DO38" s="486"/>
      <c r="DP38" s="486"/>
      <c r="DQ38" s="486"/>
      <c r="DR38" s="486"/>
      <c r="DS38" s="486"/>
      <c r="DT38" s="486"/>
      <c r="DU38" s="486"/>
      <c r="DV38" s="486"/>
      <c r="DW38" s="486"/>
      <c r="DX38" s="486"/>
      <c r="DY38" s="486"/>
      <c r="DZ38" s="486"/>
      <c r="EA38" s="486"/>
      <c r="EB38" s="486"/>
      <c r="EC38" s="486"/>
      <c r="ED38" s="486"/>
      <c r="EE38" s="486"/>
      <c r="EF38" s="486"/>
      <c r="EG38" s="486"/>
      <c r="EH38" s="486"/>
      <c r="EI38" s="486"/>
      <c r="EJ38" s="486"/>
      <c r="EK38" s="486"/>
      <c r="EL38" s="486"/>
      <c r="EM38" s="486"/>
      <c r="EN38" s="486"/>
      <c r="EO38" s="486"/>
      <c r="EP38" s="486"/>
      <c r="EQ38" s="486"/>
      <c r="ER38" s="486"/>
      <c r="ES38" s="486"/>
      <c r="ET38" s="486"/>
      <c r="EU38" s="486"/>
      <c r="EV38" s="486"/>
      <c r="EW38" s="486"/>
      <c r="EX38" s="486"/>
      <c r="EY38" s="486"/>
      <c r="EZ38" s="486"/>
      <c r="FA38" s="486"/>
      <c r="FB38" s="486"/>
      <c r="FC38" s="486"/>
      <c r="FD38" s="486"/>
      <c r="FE38" s="486"/>
      <c r="FF38" s="486"/>
      <c r="FG38" s="486"/>
      <c r="FH38" s="486"/>
      <c r="FI38" s="486"/>
      <c r="FJ38" s="486"/>
      <c r="FK38" s="486"/>
      <c r="FL38" s="486"/>
      <c r="FM38" s="486"/>
      <c r="FN38" s="486"/>
      <c r="FO38" s="486"/>
      <c r="FP38" s="486"/>
      <c r="FQ38" s="486"/>
      <c r="FR38" s="486"/>
      <c r="FS38" s="486"/>
      <c r="FT38" s="486"/>
      <c r="FU38" s="486"/>
      <c r="FV38" s="486"/>
      <c r="FW38" s="486"/>
      <c r="FX38" s="486"/>
      <c r="FY38" s="486"/>
      <c r="FZ38" s="486"/>
      <c r="GA38" s="486"/>
      <c r="GB38" s="486"/>
      <c r="GC38" s="486"/>
      <c r="GD38" s="486"/>
      <c r="GE38" s="486"/>
      <c r="GF38" s="486"/>
      <c r="GG38" s="486"/>
      <c r="GH38" s="486"/>
      <c r="GI38" s="486"/>
      <c r="GJ38" s="486"/>
      <c r="GK38" s="486"/>
      <c r="GL38" s="486"/>
      <c r="GM38" s="486"/>
      <c r="GN38" s="486"/>
      <c r="GO38" s="486"/>
      <c r="GP38" s="486"/>
      <c r="GQ38" s="486"/>
      <c r="GR38" s="486"/>
      <c r="GS38" s="486"/>
      <c r="GT38" s="486"/>
      <c r="GU38" s="486"/>
      <c r="GV38" s="486"/>
      <c r="GW38" s="486"/>
      <c r="GX38" s="486"/>
      <c r="GY38" s="486"/>
      <c r="GZ38" s="486"/>
      <c r="HA38" s="486"/>
      <c r="HB38" s="486"/>
      <c r="HC38" s="486"/>
      <c r="HD38" s="486"/>
      <c r="HE38" s="486"/>
      <c r="HF38" s="486"/>
      <c r="HG38" s="486"/>
      <c r="HH38" s="486"/>
      <c r="HI38" s="486"/>
      <c r="HJ38" s="486"/>
      <c r="HK38" s="486"/>
      <c r="HL38" s="486"/>
      <c r="HM38" s="486"/>
      <c r="HN38" s="486"/>
      <c r="HO38" s="486"/>
      <c r="HP38" s="486"/>
      <c r="HQ38" s="486"/>
      <c r="HR38" s="486"/>
      <c r="HS38" s="486"/>
      <c r="HT38" s="486"/>
      <c r="HU38" s="486"/>
      <c r="HV38" s="486"/>
      <c r="HW38" s="486"/>
      <c r="HX38" s="486"/>
      <c r="HY38" s="486"/>
      <c r="HZ38" s="486"/>
      <c r="IA38" s="486"/>
      <c r="IB38" s="486"/>
      <c r="IC38" s="486"/>
      <c r="ID38" s="486"/>
      <c r="IE38" s="486"/>
      <c r="IF38" s="486"/>
      <c r="IG38" s="486"/>
      <c r="IH38" s="486"/>
      <c r="II38" s="486"/>
      <c r="IJ38" s="486"/>
      <c r="IK38" s="486"/>
      <c r="IL38" s="486"/>
      <c r="IM38" s="486"/>
      <c r="IN38" s="486"/>
      <c r="IO38" s="486"/>
      <c r="IP38" s="486"/>
      <c r="IQ38" s="486"/>
      <c r="IR38" s="486"/>
      <c r="IS38" s="486"/>
      <c r="IT38" s="486"/>
      <c r="IU38" s="486"/>
    </row>
    <row r="39" spans="1:255" s="465" customFormat="1" ht="21" hidden="1" customHeight="1">
      <c r="A39" s="616">
        <v>20</v>
      </c>
      <c r="B39" s="485" t="s">
        <v>70</v>
      </c>
      <c r="C39" s="487">
        <v>50</v>
      </c>
      <c r="D39" s="488">
        <f>'50'!H43</f>
        <v>0</v>
      </c>
      <c r="E39" s="489">
        <f>'50'!I23</f>
        <v>0</v>
      </c>
      <c r="F39" s="490">
        <f>+'50'!H24</f>
        <v>0</v>
      </c>
      <c r="G39" s="490">
        <v>0</v>
      </c>
      <c r="H39" s="490">
        <v>0</v>
      </c>
      <c r="I39" s="490">
        <v>0</v>
      </c>
      <c r="J39" s="491">
        <f t="shared" si="0"/>
        <v>0</v>
      </c>
      <c r="K39" s="492">
        <v>0</v>
      </c>
      <c r="L39" s="491">
        <f t="shared" si="1"/>
        <v>0</v>
      </c>
      <c r="M39" s="554">
        <v>0</v>
      </c>
      <c r="N39" s="617">
        <f t="shared" si="2"/>
        <v>0</v>
      </c>
      <c r="O39" s="493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  <c r="AK39" s="486"/>
      <c r="AL39" s="486"/>
      <c r="AM39" s="486"/>
      <c r="AN39" s="486"/>
      <c r="AO39" s="486"/>
      <c r="AP39" s="486"/>
      <c r="AQ39" s="486"/>
      <c r="AR39" s="486"/>
      <c r="AS39" s="486"/>
      <c r="AT39" s="486"/>
      <c r="AU39" s="486"/>
      <c r="AV39" s="486"/>
      <c r="AW39" s="486"/>
      <c r="AX39" s="486"/>
      <c r="AY39" s="486"/>
      <c r="AZ39" s="486"/>
      <c r="BA39" s="486"/>
      <c r="BB39" s="486"/>
      <c r="BC39" s="486"/>
      <c r="BD39" s="486"/>
      <c r="BE39" s="486"/>
      <c r="BF39" s="486"/>
      <c r="BG39" s="486"/>
      <c r="BH39" s="486"/>
      <c r="BI39" s="486"/>
      <c r="BJ39" s="486"/>
      <c r="BK39" s="486"/>
      <c r="BL39" s="486"/>
      <c r="BM39" s="486"/>
      <c r="BN39" s="486"/>
      <c r="BO39" s="486"/>
      <c r="BP39" s="486"/>
      <c r="BQ39" s="486"/>
      <c r="BR39" s="486"/>
      <c r="BS39" s="486"/>
      <c r="BT39" s="486"/>
      <c r="BU39" s="486"/>
      <c r="BV39" s="486"/>
      <c r="BW39" s="486"/>
      <c r="BX39" s="486"/>
      <c r="BY39" s="486"/>
      <c r="BZ39" s="486"/>
      <c r="CA39" s="486"/>
      <c r="CB39" s="486"/>
      <c r="CC39" s="486"/>
      <c r="CD39" s="486"/>
      <c r="CE39" s="486"/>
      <c r="CF39" s="486"/>
      <c r="CG39" s="486"/>
      <c r="CH39" s="486"/>
      <c r="CI39" s="486"/>
      <c r="CJ39" s="486"/>
      <c r="CK39" s="486"/>
      <c r="CL39" s="486"/>
      <c r="CM39" s="486"/>
      <c r="CN39" s="486"/>
      <c r="CO39" s="486"/>
      <c r="CP39" s="486"/>
      <c r="CQ39" s="486"/>
      <c r="CR39" s="486"/>
      <c r="CS39" s="486"/>
      <c r="CT39" s="486"/>
      <c r="CU39" s="486"/>
      <c r="CV39" s="486"/>
      <c r="CW39" s="486"/>
      <c r="CX39" s="486"/>
      <c r="CY39" s="486"/>
      <c r="CZ39" s="486"/>
      <c r="DA39" s="486"/>
      <c r="DB39" s="486"/>
      <c r="DC39" s="486"/>
      <c r="DD39" s="486"/>
      <c r="DE39" s="486"/>
      <c r="DF39" s="486"/>
      <c r="DG39" s="486"/>
      <c r="DH39" s="486"/>
      <c r="DI39" s="486"/>
      <c r="DJ39" s="486"/>
      <c r="DK39" s="486"/>
      <c r="DL39" s="486"/>
      <c r="DM39" s="486"/>
      <c r="DN39" s="486"/>
      <c r="DO39" s="486"/>
      <c r="DP39" s="486"/>
      <c r="DQ39" s="486"/>
      <c r="DR39" s="486"/>
      <c r="DS39" s="486"/>
      <c r="DT39" s="486"/>
      <c r="DU39" s="486"/>
      <c r="DV39" s="486"/>
      <c r="DW39" s="486"/>
      <c r="DX39" s="486"/>
      <c r="DY39" s="486"/>
      <c r="DZ39" s="486"/>
      <c r="EA39" s="486"/>
      <c r="EB39" s="486"/>
      <c r="EC39" s="486"/>
      <c r="ED39" s="486"/>
      <c r="EE39" s="486"/>
      <c r="EF39" s="486"/>
      <c r="EG39" s="486"/>
      <c r="EH39" s="486"/>
      <c r="EI39" s="486"/>
      <c r="EJ39" s="486"/>
      <c r="EK39" s="486"/>
      <c r="EL39" s="486"/>
      <c r="EM39" s="486"/>
      <c r="EN39" s="486"/>
      <c r="EO39" s="486"/>
      <c r="EP39" s="486"/>
      <c r="EQ39" s="486"/>
      <c r="ER39" s="486"/>
      <c r="ES39" s="486"/>
      <c r="ET39" s="486"/>
      <c r="EU39" s="486"/>
      <c r="EV39" s="486"/>
      <c r="EW39" s="486"/>
      <c r="EX39" s="486"/>
      <c r="EY39" s="486"/>
      <c r="EZ39" s="486"/>
      <c r="FA39" s="486"/>
      <c r="FB39" s="486"/>
      <c r="FC39" s="486"/>
      <c r="FD39" s="486"/>
      <c r="FE39" s="486"/>
      <c r="FF39" s="486"/>
      <c r="FG39" s="486"/>
      <c r="FH39" s="486"/>
      <c r="FI39" s="486"/>
      <c r="FJ39" s="486"/>
      <c r="FK39" s="486"/>
      <c r="FL39" s="486"/>
      <c r="FM39" s="486"/>
      <c r="FN39" s="486"/>
      <c r="FO39" s="486"/>
      <c r="FP39" s="486"/>
      <c r="FQ39" s="486"/>
      <c r="FR39" s="486"/>
      <c r="FS39" s="486"/>
      <c r="FT39" s="486"/>
      <c r="FU39" s="486"/>
      <c r="FV39" s="486"/>
      <c r="FW39" s="486"/>
      <c r="FX39" s="486"/>
      <c r="FY39" s="486"/>
      <c r="FZ39" s="486"/>
      <c r="GA39" s="486"/>
      <c r="GB39" s="486"/>
      <c r="GC39" s="486"/>
      <c r="GD39" s="486"/>
      <c r="GE39" s="486"/>
      <c r="GF39" s="486"/>
      <c r="GG39" s="486"/>
      <c r="GH39" s="486"/>
      <c r="GI39" s="486"/>
      <c r="GJ39" s="486"/>
      <c r="GK39" s="486"/>
      <c r="GL39" s="486"/>
      <c r="GM39" s="486"/>
      <c r="GN39" s="486"/>
      <c r="GO39" s="486"/>
      <c r="GP39" s="486"/>
      <c r="GQ39" s="486"/>
      <c r="GR39" s="486"/>
      <c r="GS39" s="486"/>
      <c r="GT39" s="486"/>
      <c r="GU39" s="486"/>
      <c r="GV39" s="486"/>
      <c r="GW39" s="486"/>
      <c r="GX39" s="486"/>
      <c r="GY39" s="486"/>
      <c r="GZ39" s="486"/>
      <c r="HA39" s="486"/>
      <c r="HB39" s="486"/>
      <c r="HC39" s="486"/>
      <c r="HD39" s="486"/>
      <c r="HE39" s="486"/>
      <c r="HF39" s="486"/>
      <c r="HG39" s="486"/>
      <c r="HH39" s="486"/>
      <c r="HI39" s="486"/>
      <c r="HJ39" s="486"/>
      <c r="HK39" s="486"/>
      <c r="HL39" s="486"/>
      <c r="HM39" s="486"/>
      <c r="HN39" s="486"/>
      <c r="HO39" s="486"/>
      <c r="HP39" s="486"/>
      <c r="HQ39" s="486"/>
      <c r="HR39" s="486"/>
      <c r="HS39" s="486"/>
      <c r="HT39" s="486"/>
      <c r="HU39" s="486"/>
      <c r="HV39" s="486"/>
      <c r="HW39" s="486"/>
      <c r="HX39" s="486"/>
      <c r="HY39" s="486"/>
      <c r="HZ39" s="486"/>
      <c r="IA39" s="486"/>
      <c r="IB39" s="486"/>
      <c r="IC39" s="486"/>
      <c r="ID39" s="486"/>
      <c r="IE39" s="486"/>
      <c r="IF39" s="486"/>
      <c r="IG39" s="486"/>
      <c r="IH39" s="486"/>
      <c r="II39" s="486"/>
      <c r="IJ39" s="486"/>
      <c r="IK39" s="486"/>
      <c r="IL39" s="486"/>
      <c r="IM39" s="486"/>
      <c r="IN39" s="486"/>
      <c r="IO39" s="486"/>
      <c r="IP39" s="486"/>
      <c r="IQ39" s="486"/>
      <c r="IR39" s="486"/>
      <c r="IS39" s="486"/>
      <c r="IT39" s="486"/>
      <c r="IU39" s="486"/>
    </row>
    <row r="40" spans="1:255" s="465" customFormat="1" ht="21" hidden="1" customHeight="1">
      <c r="A40" s="616" t="s">
        <v>440</v>
      </c>
      <c r="B40" s="485" t="s">
        <v>70</v>
      </c>
      <c r="C40" s="487">
        <v>59</v>
      </c>
      <c r="D40" s="488">
        <f>'59'!H43</f>
        <v>0</v>
      </c>
      <c r="E40" s="489">
        <f>'59'!I23</f>
        <v>0</v>
      </c>
      <c r="F40" s="490">
        <f>'59'!H24</f>
        <v>0</v>
      </c>
      <c r="G40" s="490">
        <v>0</v>
      </c>
      <c r="H40" s="490">
        <v>0</v>
      </c>
      <c r="I40" s="490">
        <v>0</v>
      </c>
      <c r="J40" s="491">
        <f t="shared" si="0"/>
        <v>0</v>
      </c>
      <c r="K40" s="492">
        <v>0</v>
      </c>
      <c r="L40" s="491">
        <f t="shared" si="1"/>
        <v>0</v>
      </c>
      <c r="M40" s="554">
        <v>0</v>
      </c>
      <c r="N40" s="617">
        <f t="shared" si="2"/>
        <v>0</v>
      </c>
      <c r="O40" s="493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  <c r="AO40" s="486"/>
      <c r="AP40" s="486"/>
      <c r="AQ40" s="486"/>
      <c r="AR40" s="486"/>
      <c r="AS40" s="486"/>
      <c r="AT40" s="486"/>
      <c r="AU40" s="486"/>
      <c r="AV40" s="486"/>
      <c r="AW40" s="486"/>
      <c r="AX40" s="486"/>
      <c r="AY40" s="486"/>
      <c r="AZ40" s="486"/>
      <c r="BA40" s="486"/>
      <c r="BB40" s="486"/>
      <c r="BC40" s="486"/>
      <c r="BD40" s="486"/>
      <c r="BE40" s="486"/>
      <c r="BF40" s="486"/>
      <c r="BG40" s="486"/>
      <c r="BH40" s="486"/>
      <c r="BI40" s="486"/>
      <c r="BJ40" s="486"/>
      <c r="BK40" s="486"/>
      <c r="BL40" s="486"/>
      <c r="BM40" s="486"/>
      <c r="BN40" s="486"/>
      <c r="BO40" s="486"/>
      <c r="BP40" s="486"/>
      <c r="BQ40" s="486"/>
      <c r="BR40" s="486"/>
      <c r="BS40" s="486"/>
      <c r="BT40" s="486"/>
      <c r="BU40" s="486"/>
      <c r="BV40" s="486"/>
      <c r="BW40" s="486"/>
      <c r="BX40" s="486"/>
      <c r="BY40" s="486"/>
      <c r="BZ40" s="486"/>
      <c r="CA40" s="486"/>
      <c r="CB40" s="486"/>
      <c r="CC40" s="486"/>
      <c r="CD40" s="486"/>
      <c r="CE40" s="486"/>
      <c r="CF40" s="486"/>
      <c r="CG40" s="486"/>
      <c r="CH40" s="486"/>
      <c r="CI40" s="486"/>
      <c r="CJ40" s="486"/>
      <c r="CK40" s="486"/>
      <c r="CL40" s="486"/>
      <c r="CM40" s="486"/>
      <c r="CN40" s="486"/>
      <c r="CO40" s="486"/>
      <c r="CP40" s="486"/>
      <c r="CQ40" s="486"/>
      <c r="CR40" s="486"/>
      <c r="CS40" s="486"/>
      <c r="CT40" s="486"/>
      <c r="CU40" s="486"/>
      <c r="CV40" s="486"/>
      <c r="CW40" s="486"/>
      <c r="CX40" s="486"/>
      <c r="CY40" s="486"/>
      <c r="CZ40" s="486"/>
      <c r="DA40" s="486"/>
      <c r="DB40" s="486"/>
      <c r="DC40" s="486"/>
      <c r="DD40" s="486"/>
      <c r="DE40" s="486"/>
      <c r="DF40" s="486"/>
      <c r="DG40" s="486"/>
      <c r="DH40" s="486"/>
      <c r="DI40" s="486"/>
      <c r="DJ40" s="486"/>
      <c r="DK40" s="486"/>
      <c r="DL40" s="486"/>
      <c r="DM40" s="486"/>
      <c r="DN40" s="486"/>
      <c r="DO40" s="486"/>
      <c r="DP40" s="486"/>
      <c r="DQ40" s="486"/>
      <c r="DR40" s="486"/>
      <c r="DS40" s="486"/>
      <c r="DT40" s="486"/>
      <c r="DU40" s="486"/>
      <c r="DV40" s="486"/>
      <c r="DW40" s="486"/>
      <c r="DX40" s="486"/>
      <c r="DY40" s="486"/>
      <c r="DZ40" s="486"/>
      <c r="EA40" s="486"/>
      <c r="EB40" s="486"/>
      <c r="EC40" s="486"/>
      <c r="ED40" s="486"/>
      <c r="EE40" s="486"/>
      <c r="EF40" s="486"/>
      <c r="EG40" s="486"/>
      <c r="EH40" s="486"/>
      <c r="EI40" s="486"/>
      <c r="EJ40" s="486"/>
      <c r="EK40" s="486"/>
      <c r="EL40" s="486"/>
      <c r="EM40" s="486"/>
      <c r="EN40" s="486"/>
      <c r="EO40" s="486"/>
      <c r="EP40" s="486"/>
      <c r="EQ40" s="486"/>
      <c r="ER40" s="486"/>
      <c r="ES40" s="486"/>
      <c r="ET40" s="486"/>
      <c r="EU40" s="486"/>
      <c r="EV40" s="486"/>
      <c r="EW40" s="486"/>
      <c r="EX40" s="486"/>
      <c r="EY40" s="486"/>
      <c r="EZ40" s="486"/>
      <c r="FA40" s="486"/>
      <c r="FB40" s="486"/>
      <c r="FC40" s="486"/>
      <c r="FD40" s="486"/>
      <c r="FE40" s="486"/>
      <c r="FF40" s="486"/>
      <c r="FG40" s="486"/>
      <c r="FH40" s="486"/>
      <c r="FI40" s="486"/>
      <c r="FJ40" s="486"/>
      <c r="FK40" s="486"/>
      <c r="FL40" s="486"/>
      <c r="FM40" s="486"/>
      <c r="FN40" s="486"/>
      <c r="FO40" s="486"/>
      <c r="FP40" s="486"/>
      <c r="FQ40" s="486"/>
      <c r="FR40" s="486"/>
      <c r="FS40" s="486"/>
      <c r="FT40" s="486"/>
      <c r="FU40" s="486"/>
      <c r="FV40" s="486"/>
      <c r="FW40" s="486"/>
      <c r="FX40" s="486"/>
      <c r="FY40" s="486"/>
      <c r="FZ40" s="486"/>
      <c r="GA40" s="486"/>
      <c r="GB40" s="486"/>
      <c r="GC40" s="486"/>
      <c r="GD40" s="486"/>
      <c r="GE40" s="486"/>
      <c r="GF40" s="486"/>
      <c r="GG40" s="486"/>
      <c r="GH40" s="486"/>
      <c r="GI40" s="486"/>
      <c r="GJ40" s="486"/>
      <c r="GK40" s="486"/>
      <c r="GL40" s="486"/>
      <c r="GM40" s="486"/>
      <c r="GN40" s="486"/>
      <c r="GO40" s="486"/>
      <c r="GP40" s="486"/>
      <c r="GQ40" s="486"/>
      <c r="GR40" s="486"/>
      <c r="GS40" s="486"/>
      <c r="GT40" s="486"/>
      <c r="GU40" s="486"/>
      <c r="GV40" s="486"/>
      <c r="GW40" s="486"/>
      <c r="GX40" s="486"/>
      <c r="GY40" s="486"/>
      <c r="GZ40" s="486"/>
      <c r="HA40" s="486"/>
      <c r="HB40" s="486"/>
      <c r="HC40" s="486"/>
      <c r="HD40" s="486"/>
      <c r="HE40" s="486"/>
      <c r="HF40" s="486"/>
      <c r="HG40" s="486"/>
      <c r="HH40" s="486"/>
      <c r="HI40" s="486"/>
      <c r="HJ40" s="486"/>
      <c r="HK40" s="486"/>
      <c r="HL40" s="486"/>
      <c r="HM40" s="486"/>
      <c r="HN40" s="486"/>
      <c r="HO40" s="486"/>
      <c r="HP40" s="486"/>
      <c r="HQ40" s="486"/>
      <c r="HR40" s="486"/>
      <c r="HS40" s="486"/>
      <c r="HT40" s="486"/>
      <c r="HU40" s="486"/>
      <c r="HV40" s="486"/>
      <c r="HW40" s="486"/>
      <c r="HX40" s="486"/>
      <c r="HY40" s="486"/>
      <c r="HZ40" s="486"/>
      <c r="IA40" s="486"/>
      <c r="IB40" s="486"/>
      <c r="IC40" s="486"/>
      <c r="ID40" s="486"/>
      <c r="IE40" s="486"/>
      <c r="IF40" s="486"/>
      <c r="IG40" s="486"/>
      <c r="IH40" s="486"/>
      <c r="II40" s="486"/>
      <c r="IJ40" s="486"/>
      <c r="IK40" s="486"/>
      <c r="IL40" s="486"/>
      <c r="IM40" s="486"/>
      <c r="IN40" s="486"/>
      <c r="IO40" s="486"/>
      <c r="IP40" s="486"/>
      <c r="IQ40" s="486"/>
      <c r="IR40" s="486"/>
      <c r="IS40" s="486"/>
      <c r="IT40" s="486"/>
      <c r="IU40" s="486"/>
    </row>
    <row r="41" spans="1:255" s="465" customFormat="1" ht="21" customHeight="1" thickBot="1">
      <c r="A41" s="616" t="s">
        <v>810</v>
      </c>
      <c r="B41" s="485" t="s">
        <v>829</v>
      </c>
      <c r="C41" s="487">
        <v>93</v>
      </c>
      <c r="D41" s="555">
        <f>'93 (R)'!G31</f>
        <v>425</v>
      </c>
      <c r="E41" s="556">
        <f>'93 (R)'!G30</f>
        <v>-10325.290000000001</v>
      </c>
      <c r="F41" s="557">
        <f>'93 (R)'!G22</f>
        <v>-12098.880000000001</v>
      </c>
      <c r="G41" s="557">
        <v>0</v>
      </c>
      <c r="H41" s="557">
        <v>0</v>
      </c>
      <c r="I41" s="557">
        <v>0</v>
      </c>
      <c r="J41" s="558">
        <f t="shared" si="0"/>
        <v>2198.59</v>
      </c>
      <c r="K41" s="559">
        <v>0</v>
      </c>
      <c r="L41" s="558">
        <f t="shared" si="1"/>
        <v>2198.59</v>
      </c>
      <c r="M41" s="554">
        <v>0</v>
      </c>
      <c r="N41" s="618">
        <f t="shared" si="2"/>
        <v>-2198.59</v>
      </c>
      <c r="O41" s="493"/>
      <c r="P41" s="486"/>
      <c r="Q41" s="486"/>
      <c r="R41" s="486"/>
      <c r="S41" s="486"/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  <c r="AO41" s="486"/>
      <c r="AP41" s="486"/>
      <c r="AQ41" s="486"/>
      <c r="AR41" s="486"/>
      <c r="AS41" s="486"/>
      <c r="AT41" s="486"/>
      <c r="AU41" s="486"/>
      <c r="AV41" s="486"/>
      <c r="AW41" s="486"/>
      <c r="AX41" s="486"/>
      <c r="AY41" s="486"/>
      <c r="AZ41" s="486"/>
      <c r="BA41" s="486"/>
      <c r="BB41" s="486"/>
      <c r="BC41" s="486"/>
      <c r="BD41" s="486"/>
      <c r="BE41" s="486"/>
      <c r="BF41" s="486"/>
      <c r="BG41" s="486"/>
      <c r="BH41" s="486"/>
      <c r="BI41" s="486"/>
      <c r="BJ41" s="486"/>
      <c r="BK41" s="486"/>
      <c r="BL41" s="486"/>
      <c r="BM41" s="486"/>
      <c r="BN41" s="486"/>
      <c r="BO41" s="486"/>
      <c r="BP41" s="486"/>
      <c r="BQ41" s="486"/>
      <c r="BR41" s="486"/>
      <c r="BS41" s="486"/>
      <c r="BT41" s="486"/>
      <c r="BU41" s="486"/>
      <c r="BV41" s="486"/>
      <c r="BW41" s="486"/>
      <c r="BX41" s="486"/>
      <c r="BY41" s="486"/>
      <c r="BZ41" s="486"/>
      <c r="CA41" s="486"/>
      <c r="CB41" s="486"/>
      <c r="CC41" s="486"/>
      <c r="CD41" s="486"/>
      <c r="CE41" s="486"/>
      <c r="CF41" s="486"/>
      <c r="CG41" s="486"/>
      <c r="CH41" s="486"/>
      <c r="CI41" s="486"/>
      <c r="CJ41" s="486"/>
      <c r="CK41" s="486"/>
      <c r="CL41" s="486"/>
      <c r="CM41" s="486"/>
      <c r="CN41" s="486"/>
      <c r="CO41" s="486"/>
      <c r="CP41" s="486"/>
      <c r="CQ41" s="486"/>
      <c r="CR41" s="486"/>
      <c r="CS41" s="486"/>
      <c r="CT41" s="486"/>
      <c r="CU41" s="486"/>
      <c r="CV41" s="486"/>
      <c r="CW41" s="486"/>
      <c r="CX41" s="486"/>
      <c r="CY41" s="486"/>
      <c r="CZ41" s="486"/>
      <c r="DA41" s="486"/>
      <c r="DB41" s="486"/>
      <c r="DC41" s="486"/>
      <c r="DD41" s="486"/>
      <c r="DE41" s="486"/>
      <c r="DF41" s="486"/>
      <c r="DG41" s="486"/>
      <c r="DH41" s="486"/>
      <c r="DI41" s="486"/>
      <c r="DJ41" s="486"/>
      <c r="DK41" s="486"/>
      <c r="DL41" s="486"/>
      <c r="DM41" s="486"/>
      <c r="DN41" s="486"/>
      <c r="DO41" s="486"/>
      <c r="DP41" s="486"/>
      <c r="DQ41" s="486"/>
      <c r="DR41" s="486"/>
      <c r="DS41" s="486"/>
      <c r="DT41" s="486"/>
      <c r="DU41" s="486"/>
      <c r="DV41" s="486"/>
      <c r="DW41" s="486"/>
      <c r="DX41" s="486"/>
      <c r="DY41" s="486"/>
      <c r="DZ41" s="486"/>
      <c r="EA41" s="486"/>
      <c r="EB41" s="486"/>
      <c r="EC41" s="486"/>
      <c r="ED41" s="486"/>
      <c r="EE41" s="486"/>
      <c r="EF41" s="486"/>
      <c r="EG41" s="486"/>
      <c r="EH41" s="486"/>
      <c r="EI41" s="486"/>
      <c r="EJ41" s="486"/>
      <c r="EK41" s="486"/>
      <c r="EL41" s="486"/>
      <c r="EM41" s="486"/>
      <c r="EN41" s="486"/>
      <c r="EO41" s="486"/>
      <c r="EP41" s="486"/>
      <c r="EQ41" s="486"/>
      <c r="ER41" s="486"/>
      <c r="ES41" s="486"/>
      <c r="ET41" s="486"/>
      <c r="EU41" s="486"/>
      <c r="EV41" s="486"/>
      <c r="EW41" s="486"/>
      <c r="EX41" s="486"/>
      <c r="EY41" s="486"/>
      <c r="EZ41" s="486"/>
      <c r="FA41" s="486"/>
      <c r="FB41" s="486"/>
      <c r="FC41" s="486"/>
      <c r="FD41" s="486"/>
      <c r="FE41" s="486"/>
      <c r="FF41" s="486"/>
      <c r="FG41" s="486"/>
      <c r="FH41" s="486"/>
      <c r="FI41" s="486"/>
      <c r="FJ41" s="486"/>
      <c r="FK41" s="486"/>
      <c r="FL41" s="486"/>
      <c r="FM41" s="486"/>
      <c r="FN41" s="486"/>
      <c r="FO41" s="486"/>
      <c r="FP41" s="486"/>
      <c r="FQ41" s="486"/>
      <c r="FR41" s="486"/>
      <c r="FS41" s="486"/>
      <c r="FT41" s="486"/>
      <c r="FU41" s="486"/>
      <c r="FV41" s="486"/>
      <c r="FW41" s="486"/>
      <c r="FX41" s="486"/>
      <c r="FY41" s="486"/>
      <c r="FZ41" s="486"/>
      <c r="GA41" s="486"/>
      <c r="GB41" s="486"/>
      <c r="GC41" s="486"/>
      <c r="GD41" s="486"/>
      <c r="GE41" s="486"/>
      <c r="GF41" s="486"/>
      <c r="GG41" s="486"/>
      <c r="GH41" s="486"/>
      <c r="GI41" s="486"/>
      <c r="GJ41" s="486"/>
      <c r="GK41" s="486"/>
      <c r="GL41" s="486"/>
      <c r="GM41" s="486"/>
      <c r="GN41" s="486"/>
      <c r="GO41" s="486"/>
      <c r="GP41" s="486"/>
      <c r="GQ41" s="486"/>
      <c r="GR41" s="486"/>
      <c r="GS41" s="486"/>
      <c r="GT41" s="486"/>
      <c r="GU41" s="486"/>
      <c r="GV41" s="486"/>
      <c r="GW41" s="486"/>
      <c r="GX41" s="486"/>
      <c r="GY41" s="486"/>
      <c r="GZ41" s="486"/>
      <c r="HA41" s="486"/>
      <c r="HB41" s="486"/>
      <c r="HC41" s="486"/>
      <c r="HD41" s="486"/>
      <c r="HE41" s="486"/>
      <c r="HF41" s="486"/>
      <c r="HG41" s="486"/>
      <c r="HH41" s="486"/>
      <c r="HI41" s="486"/>
      <c r="HJ41" s="486"/>
      <c r="HK41" s="486"/>
      <c r="HL41" s="486"/>
      <c r="HM41" s="486"/>
      <c r="HN41" s="486"/>
      <c r="HO41" s="486"/>
      <c r="HP41" s="486"/>
      <c r="HQ41" s="486"/>
      <c r="HR41" s="486"/>
      <c r="HS41" s="486"/>
      <c r="HT41" s="486"/>
      <c r="HU41" s="486"/>
      <c r="HV41" s="486"/>
      <c r="HW41" s="486"/>
      <c r="HX41" s="486"/>
      <c r="HY41" s="486"/>
      <c r="HZ41" s="486"/>
      <c r="IA41" s="486"/>
      <c r="IB41" s="486"/>
      <c r="IC41" s="486"/>
      <c r="ID41" s="486"/>
      <c r="IE41" s="486"/>
      <c r="IF41" s="486"/>
      <c r="IG41" s="486"/>
      <c r="IH41" s="486"/>
      <c r="II41" s="486"/>
      <c r="IJ41" s="486"/>
      <c r="IK41" s="486"/>
      <c r="IL41" s="486"/>
      <c r="IM41" s="486"/>
      <c r="IN41" s="486"/>
      <c r="IO41" s="486"/>
      <c r="IP41" s="486"/>
      <c r="IQ41" s="486"/>
      <c r="IR41" s="486"/>
      <c r="IS41" s="486"/>
      <c r="IT41" s="486"/>
      <c r="IU41" s="486"/>
    </row>
    <row r="42" spans="1:255" s="465" customFormat="1" ht="24.75" customHeight="1" thickBot="1">
      <c r="A42" s="619"/>
      <c r="B42" s="1070" t="s">
        <v>614</v>
      </c>
      <c r="C42" s="1070"/>
      <c r="D42" s="561">
        <f t="shared" ref="D42:N42" si="3">SUM(D4:D41)</f>
        <v>9997602</v>
      </c>
      <c r="E42" s="562">
        <f t="shared" si="3"/>
        <v>6117789.5599999996</v>
      </c>
      <c r="F42" s="562">
        <f t="shared" si="3"/>
        <v>12722071.359999998</v>
      </c>
      <c r="G42" s="562">
        <f t="shared" si="3"/>
        <v>7611.1699999999983</v>
      </c>
      <c r="H42" s="562">
        <f t="shared" si="3"/>
        <v>0</v>
      </c>
      <c r="I42" s="562">
        <f t="shared" si="3"/>
        <v>558686.14</v>
      </c>
      <c r="J42" s="562">
        <f t="shared" si="3"/>
        <v>2827022.8899999997</v>
      </c>
      <c r="K42" s="562">
        <f t="shared" si="3"/>
        <v>0</v>
      </c>
      <c r="L42" s="562">
        <f t="shared" si="3"/>
        <v>2827022.8899999997</v>
      </c>
      <c r="M42" s="563">
        <f>SUM(M4:M41)</f>
        <v>0</v>
      </c>
      <c r="N42" s="564">
        <f t="shared" si="3"/>
        <v>-2827022.8899999997</v>
      </c>
      <c r="O42" s="495"/>
      <c r="P42" s="486"/>
      <c r="Q42" s="486"/>
      <c r="R42" s="486"/>
      <c r="S42" s="486"/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  <c r="AO42" s="486"/>
      <c r="AP42" s="486"/>
      <c r="AQ42" s="486"/>
      <c r="AR42" s="486"/>
      <c r="AS42" s="486"/>
      <c r="AT42" s="486"/>
      <c r="AU42" s="486"/>
      <c r="AV42" s="486"/>
      <c r="AW42" s="486"/>
      <c r="AX42" s="486"/>
      <c r="AY42" s="486"/>
      <c r="AZ42" s="486"/>
      <c r="BA42" s="486"/>
      <c r="BB42" s="486"/>
      <c r="BC42" s="486"/>
      <c r="BD42" s="486"/>
      <c r="BE42" s="486"/>
      <c r="BF42" s="486"/>
      <c r="BG42" s="486"/>
      <c r="BH42" s="486"/>
      <c r="BI42" s="486"/>
      <c r="BJ42" s="486"/>
      <c r="BK42" s="486"/>
      <c r="BL42" s="486"/>
      <c r="BM42" s="486"/>
      <c r="BN42" s="486"/>
      <c r="BO42" s="486"/>
      <c r="BP42" s="486"/>
      <c r="BQ42" s="486"/>
      <c r="BR42" s="486"/>
      <c r="BS42" s="486"/>
      <c r="BT42" s="486"/>
      <c r="BU42" s="486"/>
      <c r="BV42" s="486"/>
      <c r="BW42" s="486"/>
      <c r="BX42" s="486"/>
      <c r="BY42" s="486"/>
      <c r="BZ42" s="486"/>
      <c r="CA42" s="486"/>
      <c r="CB42" s="486"/>
      <c r="CC42" s="486"/>
      <c r="CD42" s="486"/>
      <c r="CE42" s="486"/>
      <c r="CF42" s="486"/>
      <c r="CG42" s="486"/>
      <c r="CH42" s="486"/>
      <c r="CI42" s="486"/>
      <c r="CJ42" s="486"/>
      <c r="CK42" s="486"/>
      <c r="CL42" s="486"/>
      <c r="CM42" s="486"/>
      <c r="CN42" s="486"/>
      <c r="CO42" s="486"/>
      <c r="CP42" s="486"/>
      <c r="CQ42" s="486"/>
      <c r="CR42" s="486"/>
      <c r="CS42" s="486"/>
      <c r="CT42" s="486"/>
      <c r="CU42" s="486"/>
      <c r="CV42" s="486"/>
      <c r="CW42" s="486"/>
      <c r="CX42" s="486"/>
      <c r="CY42" s="486"/>
      <c r="CZ42" s="486"/>
      <c r="DA42" s="486"/>
      <c r="DB42" s="486"/>
      <c r="DC42" s="486"/>
      <c r="DD42" s="486"/>
      <c r="DE42" s="486"/>
      <c r="DF42" s="486"/>
      <c r="DG42" s="486"/>
      <c r="DH42" s="486"/>
      <c r="DI42" s="486"/>
      <c r="DJ42" s="486"/>
      <c r="DK42" s="486"/>
      <c r="DL42" s="486"/>
      <c r="DM42" s="486"/>
      <c r="DN42" s="486"/>
      <c r="DO42" s="486"/>
      <c r="DP42" s="486"/>
      <c r="DQ42" s="486"/>
      <c r="DR42" s="486"/>
      <c r="DS42" s="486"/>
      <c r="DT42" s="486"/>
      <c r="DU42" s="486"/>
      <c r="DV42" s="486"/>
      <c r="DW42" s="486"/>
      <c r="DX42" s="486"/>
      <c r="DY42" s="486"/>
      <c r="DZ42" s="486"/>
      <c r="EA42" s="486"/>
      <c r="EB42" s="486"/>
      <c r="EC42" s="486"/>
      <c r="ED42" s="486"/>
      <c r="EE42" s="486"/>
      <c r="EF42" s="486"/>
      <c r="EG42" s="486"/>
      <c r="EH42" s="486"/>
      <c r="EI42" s="486"/>
      <c r="EJ42" s="486"/>
      <c r="EK42" s="486"/>
      <c r="EL42" s="486"/>
      <c r="EM42" s="486"/>
      <c r="EN42" s="486"/>
      <c r="EO42" s="486"/>
      <c r="EP42" s="486"/>
      <c r="EQ42" s="486"/>
      <c r="ER42" s="486"/>
      <c r="ES42" s="486"/>
      <c r="ET42" s="486"/>
      <c r="EU42" s="486"/>
      <c r="EV42" s="486"/>
      <c r="EW42" s="486"/>
      <c r="EX42" s="486"/>
      <c r="EY42" s="486"/>
      <c r="EZ42" s="486"/>
      <c r="FA42" s="486"/>
      <c r="FB42" s="486"/>
      <c r="FC42" s="486"/>
      <c r="FD42" s="486"/>
      <c r="FE42" s="486"/>
      <c r="FF42" s="486"/>
      <c r="FG42" s="486"/>
      <c r="FH42" s="486"/>
      <c r="FI42" s="486"/>
      <c r="FJ42" s="486"/>
      <c r="FK42" s="486"/>
      <c r="FL42" s="486"/>
      <c r="FM42" s="486"/>
      <c r="FN42" s="486"/>
      <c r="FO42" s="486"/>
      <c r="FP42" s="486"/>
      <c r="FQ42" s="486"/>
      <c r="FR42" s="486"/>
      <c r="FS42" s="486"/>
      <c r="FT42" s="486"/>
      <c r="FU42" s="486"/>
      <c r="FV42" s="486"/>
      <c r="FW42" s="486"/>
      <c r="FX42" s="486"/>
      <c r="FY42" s="486"/>
      <c r="FZ42" s="486"/>
      <c r="GA42" s="486"/>
      <c r="GB42" s="486"/>
      <c r="GC42" s="486"/>
      <c r="GD42" s="486"/>
      <c r="GE42" s="486"/>
      <c r="GF42" s="486"/>
      <c r="GG42" s="486"/>
      <c r="GH42" s="486"/>
      <c r="GI42" s="486"/>
      <c r="GJ42" s="486"/>
      <c r="GK42" s="486"/>
      <c r="GL42" s="486"/>
      <c r="GM42" s="486"/>
      <c r="GN42" s="486"/>
      <c r="GO42" s="486"/>
      <c r="GP42" s="486"/>
      <c r="GQ42" s="486"/>
      <c r="GR42" s="486"/>
      <c r="GS42" s="486"/>
      <c r="GT42" s="486"/>
      <c r="GU42" s="486"/>
      <c r="GV42" s="486"/>
      <c r="GW42" s="486"/>
      <c r="GX42" s="486"/>
      <c r="GY42" s="486"/>
      <c r="GZ42" s="486"/>
      <c r="HA42" s="486"/>
      <c r="HB42" s="486"/>
      <c r="HC42" s="486"/>
      <c r="HD42" s="486"/>
      <c r="HE42" s="486"/>
      <c r="HF42" s="486"/>
      <c r="HG42" s="486"/>
      <c r="HH42" s="486"/>
      <c r="HI42" s="486"/>
      <c r="HJ42" s="486"/>
      <c r="HK42" s="486"/>
      <c r="HL42" s="486"/>
      <c r="HM42" s="486"/>
      <c r="HN42" s="486"/>
      <c r="HO42" s="486"/>
      <c r="HP42" s="486"/>
      <c r="HQ42" s="486"/>
      <c r="HR42" s="486"/>
      <c r="HS42" s="486"/>
      <c r="HT42" s="486"/>
      <c r="HU42" s="486"/>
      <c r="HV42" s="486"/>
      <c r="HW42" s="486"/>
      <c r="HX42" s="486"/>
      <c r="HY42" s="486"/>
      <c r="HZ42" s="486"/>
      <c r="IA42" s="486"/>
      <c r="IB42" s="486"/>
      <c r="IC42" s="486"/>
      <c r="ID42" s="486"/>
      <c r="IE42" s="486"/>
      <c r="IF42" s="486"/>
      <c r="IG42" s="486"/>
      <c r="IH42" s="486"/>
      <c r="II42" s="486"/>
      <c r="IJ42" s="486"/>
      <c r="IK42" s="486"/>
      <c r="IL42" s="486"/>
      <c r="IM42" s="486"/>
      <c r="IN42" s="486"/>
      <c r="IO42" s="486"/>
      <c r="IP42" s="486"/>
      <c r="IQ42" s="486"/>
      <c r="IR42" s="486"/>
      <c r="IS42" s="486"/>
      <c r="IT42" s="486"/>
      <c r="IU42" s="486"/>
    </row>
    <row r="43" spans="1:255" s="465" customFormat="1" ht="17.100000000000001" customHeight="1">
      <c r="A43" s="486"/>
      <c r="B43" s="486"/>
      <c r="C43" s="486"/>
      <c r="D43" s="496"/>
      <c r="E43" s="496"/>
      <c r="F43" s="496"/>
      <c r="G43" s="496"/>
      <c r="H43" s="496"/>
      <c r="I43" s="497">
        <f>+I42</f>
        <v>558686.14</v>
      </c>
      <c r="J43" s="498"/>
      <c r="K43" s="497"/>
      <c r="L43" s="560">
        <v>0</v>
      </c>
      <c r="M43" s="499"/>
      <c r="N43" s="498"/>
      <c r="O43" s="500"/>
      <c r="P43" s="486"/>
      <c r="Q43" s="486"/>
      <c r="R43" s="486"/>
      <c r="S43" s="486"/>
      <c r="T43" s="486"/>
      <c r="U43" s="486"/>
      <c r="V43" s="486"/>
      <c r="W43" s="486"/>
      <c r="X43" s="486"/>
      <c r="Y43" s="486"/>
      <c r="Z43" s="486"/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  <c r="AK43" s="486"/>
      <c r="AL43" s="486"/>
      <c r="AM43" s="486"/>
      <c r="AN43" s="486"/>
      <c r="AO43" s="486"/>
      <c r="AP43" s="486"/>
      <c r="AQ43" s="486"/>
      <c r="AR43" s="486"/>
      <c r="AS43" s="486"/>
      <c r="AT43" s="486"/>
      <c r="AU43" s="486"/>
      <c r="AV43" s="486"/>
      <c r="AW43" s="486"/>
      <c r="AX43" s="486"/>
      <c r="AY43" s="486"/>
      <c r="AZ43" s="486"/>
      <c r="BA43" s="486"/>
      <c r="BB43" s="486"/>
      <c r="BC43" s="486"/>
      <c r="BD43" s="486"/>
      <c r="BE43" s="486"/>
      <c r="BF43" s="486"/>
      <c r="BG43" s="486"/>
      <c r="BH43" s="486"/>
      <c r="BI43" s="486"/>
      <c r="BJ43" s="486"/>
      <c r="BK43" s="486"/>
      <c r="BL43" s="486"/>
      <c r="BM43" s="486"/>
      <c r="BN43" s="486"/>
      <c r="BO43" s="486"/>
      <c r="BP43" s="486"/>
      <c r="BQ43" s="486"/>
      <c r="BR43" s="486"/>
      <c r="BS43" s="486"/>
      <c r="BT43" s="486"/>
      <c r="BU43" s="486"/>
      <c r="BV43" s="486"/>
      <c r="BW43" s="486"/>
      <c r="BX43" s="486"/>
      <c r="BY43" s="486"/>
      <c r="BZ43" s="486"/>
      <c r="CA43" s="486"/>
      <c r="CB43" s="486"/>
      <c r="CC43" s="486"/>
      <c r="CD43" s="486"/>
      <c r="CE43" s="486"/>
      <c r="CF43" s="486"/>
      <c r="CG43" s="486"/>
      <c r="CH43" s="486"/>
      <c r="CI43" s="486"/>
      <c r="CJ43" s="486"/>
      <c r="CK43" s="486"/>
      <c r="CL43" s="486"/>
      <c r="CM43" s="486"/>
      <c r="CN43" s="486"/>
      <c r="CO43" s="486"/>
      <c r="CP43" s="486"/>
      <c r="CQ43" s="486"/>
      <c r="CR43" s="486"/>
      <c r="CS43" s="486"/>
      <c r="CT43" s="486"/>
      <c r="CU43" s="486"/>
      <c r="CV43" s="486"/>
      <c r="CW43" s="486"/>
      <c r="CX43" s="486"/>
      <c r="CY43" s="486"/>
      <c r="CZ43" s="486"/>
      <c r="DA43" s="486"/>
      <c r="DB43" s="486"/>
      <c r="DC43" s="486"/>
      <c r="DD43" s="486"/>
      <c r="DE43" s="486"/>
      <c r="DF43" s="486"/>
      <c r="DG43" s="486"/>
      <c r="DH43" s="486"/>
      <c r="DI43" s="486"/>
      <c r="DJ43" s="486"/>
      <c r="DK43" s="486"/>
      <c r="DL43" s="486"/>
      <c r="DM43" s="486"/>
      <c r="DN43" s="486"/>
      <c r="DO43" s="486"/>
      <c r="DP43" s="486"/>
      <c r="DQ43" s="486"/>
      <c r="DR43" s="486"/>
      <c r="DS43" s="486"/>
      <c r="DT43" s="486"/>
      <c r="DU43" s="486"/>
      <c r="DV43" s="486"/>
      <c r="DW43" s="486"/>
      <c r="DX43" s="486"/>
      <c r="DY43" s="486"/>
      <c r="DZ43" s="486"/>
      <c r="EA43" s="486"/>
      <c r="EB43" s="486"/>
      <c r="EC43" s="486"/>
      <c r="ED43" s="486"/>
      <c r="EE43" s="486"/>
      <c r="EF43" s="486"/>
      <c r="EG43" s="486"/>
      <c r="EH43" s="486"/>
      <c r="EI43" s="486"/>
      <c r="EJ43" s="486"/>
      <c r="EK43" s="486"/>
      <c r="EL43" s="486"/>
      <c r="EM43" s="486"/>
      <c r="EN43" s="486"/>
      <c r="EO43" s="486"/>
      <c r="EP43" s="486"/>
      <c r="EQ43" s="486"/>
      <c r="ER43" s="486"/>
      <c r="ES43" s="486"/>
      <c r="ET43" s="486"/>
      <c r="EU43" s="486"/>
      <c r="EV43" s="486"/>
      <c r="EW43" s="486"/>
      <c r="EX43" s="486"/>
      <c r="EY43" s="486"/>
      <c r="EZ43" s="486"/>
      <c r="FA43" s="486"/>
      <c r="FB43" s="486"/>
      <c r="FC43" s="486"/>
      <c r="FD43" s="486"/>
      <c r="FE43" s="486"/>
      <c r="FF43" s="486"/>
      <c r="FG43" s="486"/>
      <c r="FH43" s="486"/>
      <c r="FI43" s="486"/>
      <c r="FJ43" s="486"/>
      <c r="FK43" s="486"/>
      <c r="FL43" s="486"/>
      <c r="FM43" s="486"/>
      <c r="FN43" s="486"/>
      <c r="FO43" s="486"/>
      <c r="FP43" s="486"/>
      <c r="FQ43" s="486"/>
      <c r="FR43" s="486"/>
      <c r="FS43" s="486"/>
      <c r="FT43" s="486"/>
      <c r="FU43" s="486"/>
      <c r="FV43" s="486"/>
      <c r="FW43" s="486"/>
      <c r="FX43" s="486"/>
      <c r="FY43" s="486"/>
      <c r="FZ43" s="486"/>
      <c r="GA43" s="486"/>
      <c r="GB43" s="486"/>
      <c r="GC43" s="486"/>
      <c r="GD43" s="486"/>
      <c r="GE43" s="486"/>
      <c r="GF43" s="486"/>
      <c r="GG43" s="486"/>
      <c r="GH43" s="486"/>
      <c r="GI43" s="486"/>
      <c r="GJ43" s="486"/>
      <c r="GK43" s="486"/>
      <c r="GL43" s="486"/>
      <c r="GM43" s="486"/>
      <c r="GN43" s="486"/>
      <c r="GO43" s="486"/>
      <c r="GP43" s="486"/>
      <c r="GQ43" s="486"/>
      <c r="GR43" s="486"/>
      <c r="GS43" s="486"/>
      <c r="GT43" s="486"/>
      <c r="GU43" s="486"/>
      <c r="GV43" s="486"/>
      <c r="GW43" s="486"/>
      <c r="GX43" s="486"/>
      <c r="GY43" s="486"/>
      <c r="GZ43" s="486"/>
      <c r="HA43" s="486"/>
      <c r="HB43" s="486"/>
      <c r="HC43" s="486"/>
      <c r="HD43" s="486"/>
      <c r="HE43" s="486"/>
      <c r="HF43" s="486"/>
      <c r="HG43" s="486"/>
      <c r="HH43" s="486"/>
      <c r="HI43" s="486"/>
      <c r="HJ43" s="486"/>
      <c r="HK43" s="486"/>
      <c r="HL43" s="486"/>
      <c r="HM43" s="486"/>
      <c r="HN43" s="486"/>
      <c r="HO43" s="486"/>
      <c r="HP43" s="486"/>
      <c r="HQ43" s="486"/>
      <c r="HR43" s="486"/>
      <c r="HS43" s="486"/>
      <c r="HT43" s="486"/>
      <c r="HU43" s="486"/>
      <c r="HV43" s="486"/>
      <c r="HW43" s="486"/>
      <c r="HX43" s="486"/>
      <c r="HY43" s="486"/>
      <c r="HZ43" s="486"/>
      <c r="IA43" s="486"/>
      <c r="IB43" s="486"/>
      <c r="IC43" s="486"/>
      <c r="ID43" s="486"/>
      <c r="IE43" s="486"/>
      <c r="IF43" s="486"/>
      <c r="IG43" s="486"/>
      <c r="IH43" s="486"/>
      <c r="II43" s="486"/>
      <c r="IJ43" s="486"/>
      <c r="IK43" s="486"/>
      <c r="IL43" s="486"/>
      <c r="IM43" s="486"/>
      <c r="IN43" s="486"/>
      <c r="IO43" s="486"/>
      <c r="IP43" s="486"/>
      <c r="IQ43" s="486"/>
      <c r="IR43" s="486"/>
      <c r="IS43" s="486"/>
      <c r="IT43" s="486"/>
      <c r="IU43" s="486"/>
    </row>
    <row r="44" spans="1:255" s="465" customFormat="1" ht="17.100000000000001" customHeight="1">
      <c r="A44" s="486"/>
      <c r="B44" s="486"/>
      <c r="C44" s="486"/>
      <c r="D44" s="495"/>
      <c r="E44" s="495"/>
      <c r="F44" s="495"/>
      <c r="G44" s="495"/>
      <c r="H44" s="495"/>
      <c r="I44" s="495"/>
      <c r="J44" s="495" t="s">
        <v>36</v>
      </c>
      <c r="K44" s="495"/>
      <c r="L44" s="495"/>
      <c r="M44" s="495"/>
      <c r="N44" s="486"/>
      <c r="O44" s="495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  <c r="AO44" s="486"/>
      <c r="AP44" s="486"/>
      <c r="AQ44" s="486"/>
      <c r="AR44" s="486"/>
      <c r="AS44" s="486"/>
      <c r="AT44" s="486"/>
      <c r="AU44" s="486"/>
      <c r="AV44" s="486"/>
      <c r="AW44" s="486"/>
      <c r="AX44" s="486"/>
      <c r="AY44" s="486"/>
      <c r="AZ44" s="486"/>
      <c r="BA44" s="486"/>
      <c r="BB44" s="486"/>
      <c r="BC44" s="486"/>
      <c r="BD44" s="486"/>
      <c r="BE44" s="486"/>
      <c r="BF44" s="486"/>
      <c r="BG44" s="486"/>
      <c r="BH44" s="486"/>
      <c r="BI44" s="486"/>
      <c r="BJ44" s="486"/>
      <c r="BK44" s="486"/>
      <c r="BL44" s="486"/>
      <c r="BM44" s="486"/>
      <c r="BN44" s="486"/>
      <c r="BO44" s="486"/>
      <c r="BP44" s="486"/>
      <c r="BQ44" s="486"/>
      <c r="BR44" s="486"/>
      <c r="BS44" s="486"/>
      <c r="BT44" s="486"/>
      <c r="BU44" s="486"/>
      <c r="BV44" s="486"/>
      <c r="BW44" s="486"/>
      <c r="BX44" s="486"/>
      <c r="BY44" s="486"/>
      <c r="BZ44" s="486"/>
      <c r="CA44" s="486"/>
      <c r="CB44" s="486"/>
      <c r="CC44" s="486"/>
      <c r="CD44" s="486"/>
      <c r="CE44" s="486"/>
      <c r="CF44" s="486"/>
      <c r="CG44" s="486"/>
      <c r="CH44" s="486"/>
      <c r="CI44" s="486"/>
      <c r="CJ44" s="486"/>
      <c r="CK44" s="486"/>
      <c r="CL44" s="486"/>
      <c r="CM44" s="486"/>
      <c r="CN44" s="486"/>
      <c r="CO44" s="486"/>
      <c r="CP44" s="486"/>
      <c r="CQ44" s="486"/>
      <c r="CR44" s="486"/>
      <c r="CS44" s="486"/>
      <c r="CT44" s="486"/>
      <c r="CU44" s="486"/>
      <c r="CV44" s="486"/>
      <c r="CW44" s="486"/>
      <c r="CX44" s="486"/>
      <c r="CY44" s="486"/>
      <c r="CZ44" s="486"/>
      <c r="DA44" s="486"/>
      <c r="DB44" s="486"/>
      <c r="DC44" s="486"/>
      <c r="DD44" s="486"/>
      <c r="DE44" s="486"/>
      <c r="DF44" s="486"/>
      <c r="DG44" s="486"/>
      <c r="DH44" s="486"/>
      <c r="DI44" s="486"/>
      <c r="DJ44" s="486"/>
      <c r="DK44" s="486"/>
      <c r="DL44" s="486"/>
      <c r="DM44" s="486"/>
      <c r="DN44" s="486"/>
      <c r="DO44" s="486"/>
      <c r="DP44" s="486"/>
      <c r="DQ44" s="486"/>
      <c r="DR44" s="486"/>
      <c r="DS44" s="486"/>
      <c r="DT44" s="486"/>
      <c r="DU44" s="486"/>
      <c r="DV44" s="486"/>
      <c r="DW44" s="486"/>
      <c r="DX44" s="486"/>
      <c r="DY44" s="486"/>
      <c r="DZ44" s="486"/>
      <c r="EA44" s="486"/>
      <c r="EB44" s="486"/>
      <c r="EC44" s="486"/>
      <c r="ED44" s="486"/>
      <c r="EE44" s="486"/>
      <c r="EF44" s="486"/>
      <c r="EG44" s="486"/>
      <c r="EH44" s="486"/>
      <c r="EI44" s="486"/>
      <c r="EJ44" s="486"/>
      <c r="EK44" s="486"/>
      <c r="EL44" s="486"/>
      <c r="EM44" s="486"/>
      <c r="EN44" s="486"/>
      <c r="EO44" s="486"/>
      <c r="EP44" s="486"/>
      <c r="EQ44" s="486"/>
      <c r="ER44" s="486"/>
      <c r="ES44" s="486"/>
      <c r="ET44" s="486"/>
      <c r="EU44" s="486"/>
      <c r="EV44" s="486"/>
      <c r="EW44" s="486"/>
      <c r="EX44" s="486"/>
      <c r="EY44" s="486"/>
      <c r="EZ44" s="486"/>
      <c r="FA44" s="486"/>
      <c r="FB44" s="486"/>
      <c r="FC44" s="486"/>
      <c r="FD44" s="486"/>
      <c r="FE44" s="486"/>
      <c r="FF44" s="486"/>
      <c r="FG44" s="486"/>
      <c r="FH44" s="486"/>
      <c r="FI44" s="486"/>
      <c r="FJ44" s="486"/>
      <c r="FK44" s="486"/>
      <c r="FL44" s="486"/>
      <c r="FM44" s="486"/>
      <c r="FN44" s="486"/>
      <c r="FO44" s="486"/>
      <c r="FP44" s="486"/>
      <c r="FQ44" s="486"/>
      <c r="FR44" s="486"/>
      <c r="FS44" s="486"/>
      <c r="FT44" s="486"/>
      <c r="FU44" s="486"/>
      <c r="FV44" s="486"/>
      <c r="FW44" s="486"/>
      <c r="FX44" s="486"/>
      <c r="FY44" s="486"/>
      <c r="FZ44" s="486"/>
      <c r="GA44" s="486"/>
      <c r="GB44" s="486"/>
      <c r="GC44" s="486"/>
      <c r="GD44" s="486"/>
      <c r="GE44" s="486"/>
      <c r="GF44" s="486"/>
      <c r="GG44" s="486"/>
      <c r="GH44" s="486"/>
      <c r="GI44" s="486"/>
      <c r="GJ44" s="486"/>
      <c r="GK44" s="486"/>
      <c r="GL44" s="486"/>
      <c r="GM44" s="486"/>
      <c r="GN44" s="486"/>
      <c r="GO44" s="486"/>
      <c r="GP44" s="486"/>
      <c r="GQ44" s="486"/>
      <c r="GR44" s="486"/>
      <c r="GS44" s="486"/>
      <c r="GT44" s="486"/>
      <c r="GU44" s="486"/>
      <c r="GV44" s="486"/>
      <c r="GW44" s="486"/>
      <c r="GX44" s="486"/>
      <c r="GY44" s="486"/>
      <c r="GZ44" s="486"/>
      <c r="HA44" s="486"/>
      <c r="HB44" s="486"/>
      <c r="HC44" s="486"/>
      <c r="HD44" s="486"/>
      <c r="HE44" s="486"/>
      <c r="HF44" s="486"/>
      <c r="HG44" s="486"/>
      <c r="HH44" s="486"/>
      <c r="HI44" s="486"/>
      <c r="HJ44" s="486"/>
      <c r="HK44" s="486"/>
      <c r="HL44" s="486"/>
      <c r="HM44" s="486"/>
      <c r="HN44" s="486"/>
      <c r="HO44" s="486"/>
      <c r="HP44" s="486"/>
      <c r="HQ44" s="486"/>
      <c r="HR44" s="486"/>
      <c r="HS44" s="486"/>
      <c r="HT44" s="486"/>
      <c r="HU44" s="486"/>
      <c r="HV44" s="486"/>
      <c r="HW44" s="486"/>
      <c r="HX44" s="486"/>
      <c r="HY44" s="486"/>
      <c r="HZ44" s="486"/>
      <c r="IA44" s="486"/>
      <c r="IB44" s="486"/>
      <c r="IC44" s="486"/>
      <c r="ID44" s="486"/>
      <c r="IE44" s="486"/>
      <c r="IF44" s="486"/>
      <c r="IG44" s="486"/>
      <c r="IH44" s="486"/>
      <c r="II44" s="486"/>
      <c r="IJ44" s="486"/>
      <c r="IK44" s="486"/>
      <c r="IL44" s="486"/>
      <c r="IM44" s="486"/>
      <c r="IN44" s="486"/>
      <c r="IO44" s="486"/>
      <c r="IP44" s="486"/>
      <c r="IQ44" s="486"/>
      <c r="IR44" s="486"/>
      <c r="IS44" s="486"/>
      <c r="IT44" s="486"/>
      <c r="IU44" s="486"/>
    </row>
    <row r="45" spans="1:255" s="465" customFormat="1" ht="17.100000000000001" customHeight="1">
      <c r="A45" s="486"/>
      <c r="B45" s="486"/>
      <c r="C45" s="486"/>
      <c r="D45" s="486"/>
      <c r="E45" s="486"/>
      <c r="F45" s="501"/>
      <c r="G45" s="501"/>
      <c r="H45" s="501"/>
      <c r="I45" s="495"/>
      <c r="J45" s="486" t="s">
        <v>36</v>
      </c>
      <c r="K45" s="495"/>
      <c r="L45" s="502"/>
      <c r="M45" s="486"/>
      <c r="N45" s="486"/>
      <c r="O45" s="486"/>
      <c r="P45" s="486"/>
      <c r="Q45" s="486"/>
      <c r="R45" s="486"/>
      <c r="S45" s="486"/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  <c r="AK45" s="486"/>
      <c r="AL45" s="486"/>
      <c r="AM45" s="486"/>
      <c r="AN45" s="486"/>
      <c r="AO45" s="486"/>
      <c r="AP45" s="486"/>
      <c r="AQ45" s="486"/>
      <c r="AR45" s="486"/>
      <c r="AS45" s="486"/>
      <c r="AT45" s="486"/>
      <c r="AU45" s="486"/>
      <c r="AV45" s="486"/>
      <c r="AW45" s="486"/>
      <c r="AX45" s="486"/>
      <c r="AY45" s="486"/>
      <c r="AZ45" s="486"/>
      <c r="BA45" s="486"/>
      <c r="BB45" s="486"/>
      <c r="BC45" s="486"/>
      <c r="BD45" s="486"/>
      <c r="BE45" s="486"/>
      <c r="BF45" s="486"/>
      <c r="BG45" s="486"/>
      <c r="BH45" s="486"/>
      <c r="BI45" s="486"/>
      <c r="BJ45" s="486"/>
      <c r="BK45" s="486"/>
      <c r="BL45" s="486"/>
      <c r="BM45" s="486"/>
      <c r="BN45" s="486"/>
      <c r="BO45" s="486"/>
      <c r="BP45" s="486"/>
      <c r="BQ45" s="486"/>
      <c r="BR45" s="486"/>
      <c r="BS45" s="486"/>
      <c r="BT45" s="486"/>
      <c r="BU45" s="486"/>
      <c r="BV45" s="486"/>
      <c r="BW45" s="486"/>
      <c r="BX45" s="486"/>
      <c r="BY45" s="486"/>
      <c r="BZ45" s="486"/>
      <c r="CA45" s="486"/>
      <c r="CB45" s="486"/>
      <c r="CC45" s="486"/>
      <c r="CD45" s="486"/>
      <c r="CE45" s="486"/>
      <c r="CF45" s="486"/>
      <c r="CG45" s="486"/>
      <c r="CH45" s="486"/>
      <c r="CI45" s="486"/>
      <c r="CJ45" s="486"/>
      <c r="CK45" s="486"/>
      <c r="CL45" s="486"/>
      <c r="CM45" s="486"/>
      <c r="CN45" s="486"/>
      <c r="CO45" s="486"/>
      <c r="CP45" s="486"/>
      <c r="CQ45" s="486"/>
      <c r="CR45" s="486"/>
      <c r="CS45" s="486"/>
      <c r="CT45" s="486"/>
      <c r="CU45" s="486"/>
      <c r="CV45" s="486"/>
      <c r="CW45" s="486"/>
      <c r="CX45" s="486"/>
      <c r="CY45" s="486"/>
      <c r="CZ45" s="486"/>
      <c r="DA45" s="486"/>
      <c r="DB45" s="486"/>
      <c r="DC45" s="486"/>
      <c r="DD45" s="486"/>
      <c r="DE45" s="486"/>
      <c r="DF45" s="486"/>
      <c r="DG45" s="486"/>
      <c r="DH45" s="486"/>
      <c r="DI45" s="486"/>
      <c r="DJ45" s="486"/>
      <c r="DK45" s="486"/>
      <c r="DL45" s="486"/>
      <c r="DM45" s="486"/>
      <c r="DN45" s="486"/>
      <c r="DO45" s="486"/>
      <c r="DP45" s="486"/>
      <c r="DQ45" s="486"/>
      <c r="DR45" s="486"/>
      <c r="DS45" s="486"/>
      <c r="DT45" s="486"/>
      <c r="DU45" s="486"/>
      <c r="DV45" s="486"/>
      <c r="DW45" s="486"/>
      <c r="DX45" s="486"/>
      <c r="DY45" s="486"/>
      <c r="DZ45" s="486"/>
      <c r="EA45" s="486"/>
      <c r="EB45" s="486"/>
      <c r="EC45" s="486"/>
      <c r="ED45" s="486"/>
      <c r="EE45" s="486"/>
      <c r="EF45" s="486"/>
      <c r="EG45" s="486"/>
      <c r="EH45" s="486"/>
      <c r="EI45" s="486"/>
      <c r="EJ45" s="486"/>
      <c r="EK45" s="486"/>
      <c r="EL45" s="486"/>
      <c r="EM45" s="486"/>
      <c r="EN45" s="486"/>
      <c r="EO45" s="486"/>
      <c r="EP45" s="486"/>
      <c r="EQ45" s="486"/>
      <c r="ER45" s="486"/>
      <c r="ES45" s="486"/>
      <c r="ET45" s="486"/>
      <c r="EU45" s="486"/>
      <c r="EV45" s="486"/>
      <c r="EW45" s="486"/>
      <c r="EX45" s="486"/>
      <c r="EY45" s="486"/>
      <c r="EZ45" s="486"/>
      <c r="FA45" s="486"/>
      <c r="FB45" s="486"/>
      <c r="FC45" s="486"/>
      <c r="FD45" s="486"/>
      <c r="FE45" s="486"/>
      <c r="FF45" s="486"/>
      <c r="FG45" s="486"/>
      <c r="FH45" s="486"/>
      <c r="FI45" s="486"/>
      <c r="FJ45" s="486"/>
      <c r="FK45" s="486"/>
      <c r="FL45" s="486"/>
      <c r="FM45" s="486"/>
      <c r="FN45" s="486"/>
      <c r="FO45" s="486"/>
      <c r="FP45" s="486"/>
      <c r="FQ45" s="486"/>
      <c r="FR45" s="486"/>
      <c r="FS45" s="486"/>
      <c r="FT45" s="486"/>
      <c r="FU45" s="486"/>
      <c r="FV45" s="486"/>
      <c r="FW45" s="486"/>
      <c r="FX45" s="486"/>
      <c r="FY45" s="486"/>
      <c r="FZ45" s="486"/>
      <c r="GA45" s="486"/>
      <c r="GB45" s="486"/>
      <c r="GC45" s="486"/>
      <c r="GD45" s="486"/>
      <c r="GE45" s="486"/>
      <c r="GF45" s="486"/>
      <c r="GG45" s="486"/>
      <c r="GH45" s="486"/>
      <c r="GI45" s="486"/>
      <c r="GJ45" s="486"/>
      <c r="GK45" s="486"/>
      <c r="GL45" s="486"/>
      <c r="GM45" s="486"/>
      <c r="GN45" s="486"/>
      <c r="GO45" s="486"/>
      <c r="GP45" s="486"/>
      <c r="GQ45" s="486"/>
      <c r="GR45" s="486"/>
      <c r="GS45" s="486"/>
      <c r="GT45" s="486"/>
      <c r="GU45" s="486"/>
      <c r="GV45" s="486"/>
      <c r="GW45" s="486"/>
      <c r="GX45" s="486"/>
      <c r="GY45" s="486"/>
      <c r="GZ45" s="486"/>
      <c r="HA45" s="486"/>
      <c r="HB45" s="486"/>
      <c r="HC45" s="486"/>
      <c r="HD45" s="486"/>
      <c r="HE45" s="486"/>
      <c r="HF45" s="486"/>
      <c r="HG45" s="486"/>
      <c r="HH45" s="486"/>
      <c r="HI45" s="486"/>
      <c r="HJ45" s="486"/>
      <c r="HK45" s="486"/>
      <c r="HL45" s="486"/>
      <c r="HM45" s="486"/>
      <c r="HN45" s="486"/>
      <c r="HO45" s="486"/>
      <c r="HP45" s="486"/>
      <c r="HQ45" s="486"/>
      <c r="HR45" s="486"/>
      <c r="HS45" s="486"/>
      <c r="HT45" s="486"/>
      <c r="HU45" s="486"/>
      <c r="HV45" s="486"/>
      <c r="HW45" s="486"/>
      <c r="HX45" s="486"/>
      <c r="HY45" s="486"/>
      <c r="HZ45" s="486"/>
      <c r="IA45" s="486"/>
      <c r="IB45" s="486"/>
      <c r="IC45" s="486"/>
      <c r="ID45" s="486"/>
      <c r="IE45" s="486"/>
      <c r="IF45" s="486"/>
      <c r="IG45" s="486"/>
      <c r="IH45" s="486"/>
      <c r="II45" s="486"/>
      <c r="IJ45" s="486"/>
      <c r="IK45" s="486"/>
      <c r="IL45" s="486"/>
      <c r="IM45" s="486"/>
      <c r="IN45" s="486"/>
      <c r="IO45" s="486"/>
      <c r="IP45" s="486"/>
      <c r="IQ45" s="486"/>
      <c r="IR45" s="486"/>
      <c r="IS45" s="486"/>
      <c r="IT45" s="486"/>
      <c r="IU45" s="486"/>
    </row>
    <row r="46" spans="1:255" s="465" customFormat="1" ht="17.100000000000001" customHeight="1">
      <c r="A46" s="484"/>
      <c r="B46" s="484"/>
      <c r="C46" s="484"/>
      <c r="D46" s="484"/>
      <c r="E46" s="484"/>
      <c r="F46" s="503"/>
      <c r="G46" s="484"/>
      <c r="H46" s="484"/>
      <c r="I46" s="484"/>
      <c r="J46" s="504"/>
      <c r="K46" s="484"/>
      <c r="L46" s="502"/>
      <c r="M46" s="484"/>
      <c r="N46" s="504"/>
      <c r="O46" s="484"/>
      <c r="P46" s="484"/>
      <c r="Q46" s="484"/>
      <c r="R46" s="484"/>
      <c r="S46" s="484"/>
      <c r="T46" s="484"/>
      <c r="U46" s="484"/>
      <c r="V46" s="484"/>
      <c r="W46" s="484"/>
      <c r="X46" s="484"/>
      <c r="Y46" s="484"/>
      <c r="Z46" s="484"/>
      <c r="AA46" s="484"/>
      <c r="AB46" s="484"/>
      <c r="AC46" s="484"/>
      <c r="AD46" s="484"/>
      <c r="AE46" s="484"/>
      <c r="AF46" s="484"/>
      <c r="AG46" s="484"/>
      <c r="AH46" s="484"/>
      <c r="AI46" s="484"/>
      <c r="AJ46" s="484"/>
      <c r="AK46" s="484"/>
      <c r="AL46" s="484"/>
      <c r="AM46" s="484"/>
      <c r="AN46" s="484"/>
      <c r="AO46" s="484"/>
      <c r="AP46" s="484"/>
      <c r="AQ46" s="484"/>
      <c r="AR46" s="484"/>
      <c r="AS46" s="484"/>
      <c r="AT46" s="484"/>
      <c r="AU46" s="484"/>
      <c r="AV46" s="484"/>
      <c r="AW46" s="484"/>
      <c r="AX46" s="484"/>
      <c r="AY46" s="484"/>
      <c r="AZ46" s="484"/>
      <c r="BA46" s="484"/>
      <c r="BB46" s="484"/>
      <c r="BC46" s="484"/>
      <c r="BD46" s="484"/>
      <c r="BE46" s="484"/>
      <c r="BF46" s="484"/>
      <c r="BG46" s="484"/>
      <c r="BH46" s="484"/>
      <c r="BI46" s="484"/>
      <c r="BJ46" s="484"/>
      <c r="BK46" s="484"/>
      <c r="BL46" s="484"/>
      <c r="BM46" s="484"/>
      <c r="BN46" s="484"/>
      <c r="BO46" s="484"/>
      <c r="BP46" s="484"/>
      <c r="BQ46" s="484"/>
      <c r="BR46" s="484"/>
      <c r="BS46" s="484"/>
      <c r="BT46" s="484"/>
      <c r="BU46" s="484"/>
      <c r="BV46" s="484"/>
      <c r="BW46" s="484"/>
      <c r="BX46" s="484"/>
      <c r="BY46" s="484"/>
      <c r="BZ46" s="484"/>
      <c r="CA46" s="484"/>
      <c r="CB46" s="484"/>
      <c r="CC46" s="484"/>
      <c r="CD46" s="484"/>
      <c r="CE46" s="484"/>
      <c r="CF46" s="484"/>
      <c r="CG46" s="484"/>
      <c r="CH46" s="484"/>
      <c r="CI46" s="484"/>
      <c r="CJ46" s="484"/>
      <c r="CK46" s="484"/>
      <c r="CL46" s="484"/>
      <c r="CM46" s="484"/>
      <c r="CN46" s="484"/>
      <c r="CO46" s="484"/>
      <c r="CP46" s="484"/>
      <c r="CQ46" s="484"/>
      <c r="CR46" s="484"/>
      <c r="CS46" s="484"/>
      <c r="CT46" s="484"/>
      <c r="CU46" s="484"/>
      <c r="CV46" s="484"/>
      <c r="CW46" s="484"/>
      <c r="CX46" s="484"/>
      <c r="CY46" s="484"/>
      <c r="CZ46" s="484"/>
      <c r="DA46" s="484"/>
      <c r="DB46" s="484"/>
      <c r="DC46" s="484"/>
      <c r="DD46" s="484"/>
      <c r="DE46" s="484"/>
      <c r="DF46" s="484"/>
      <c r="DG46" s="484"/>
      <c r="DH46" s="484"/>
      <c r="DI46" s="484"/>
      <c r="DJ46" s="484"/>
      <c r="DK46" s="484"/>
      <c r="DL46" s="484"/>
      <c r="DM46" s="484"/>
      <c r="DN46" s="484"/>
      <c r="DO46" s="484"/>
      <c r="DP46" s="484"/>
      <c r="DQ46" s="484"/>
      <c r="DR46" s="484"/>
      <c r="DS46" s="484"/>
      <c r="DT46" s="484"/>
      <c r="DU46" s="484"/>
      <c r="DV46" s="484"/>
      <c r="DW46" s="484"/>
      <c r="DX46" s="484"/>
      <c r="DY46" s="484"/>
      <c r="DZ46" s="484"/>
      <c r="EA46" s="484"/>
      <c r="EB46" s="484"/>
      <c r="EC46" s="484"/>
      <c r="ED46" s="484"/>
      <c r="EE46" s="484"/>
      <c r="EF46" s="484"/>
      <c r="EG46" s="484"/>
      <c r="EH46" s="484"/>
      <c r="EI46" s="484"/>
      <c r="EJ46" s="484"/>
      <c r="EK46" s="484"/>
      <c r="EL46" s="484"/>
      <c r="EM46" s="484"/>
      <c r="EN46" s="484"/>
      <c r="EO46" s="484"/>
      <c r="EP46" s="484"/>
      <c r="EQ46" s="484"/>
      <c r="ER46" s="484"/>
      <c r="ES46" s="484"/>
      <c r="ET46" s="484"/>
      <c r="EU46" s="484"/>
      <c r="EV46" s="484"/>
      <c r="EW46" s="484"/>
      <c r="EX46" s="484"/>
      <c r="EY46" s="484"/>
      <c r="EZ46" s="484"/>
      <c r="FA46" s="484"/>
      <c r="FB46" s="484"/>
      <c r="FC46" s="484"/>
      <c r="FD46" s="484"/>
      <c r="FE46" s="484"/>
      <c r="FF46" s="484"/>
      <c r="FG46" s="484"/>
      <c r="FH46" s="484"/>
      <c r="FI46" s="484"/>
      <c r="FJ46" s="484"/>
      <c r="FK46" s="484"/>
      <c r="FL46" s="484"/>
      <c r="FM46" s="484"/>
      <c r="FN46" s="484"/>
      <c r="FO46" s="484"/>
      <c r="FP46" s="484"/>
      <c r="FQ46" s="484"/>
      <c r="FR46" s="484"/>
      <c r="FS46" s="484"/>
      <c r="FT46" s="484"/>
      <c r="FU46" s="484"/>
      <c r="FV46" s="484"/>
      <c r="FW46" s="484"/>
      <c r="FX46" s="484"/>
      <c r="FY46" s="484"/>
      <c r="FZ46" s="484"/>
      <c r="GA46" s="484"/>
      <c r="GB46" s="484"/>
      <c r="GC46" s="484"/>
      <c r="GD46" s="484"/>
      <c r="GE46" s="484"/>
      <c r="GF46" s="484"/>
      <c r="GG46" s="484"/>
      <c r="GH46" s="484"/>
      <c r="GI46" s="484"/>
      <c r="GJ46" s="484"/>
      <c r="GK46" s="484"/>
      <c r="GL46" s="484"/>
      <c r="GM46" s="484"/>
      <c r="GN46" s="484"/>
      <c r="GO46" s="484"/>
      <c r="GP46" s="484"/>
      <c r="GQ46" s="484"/>
      <c r="GR46" s="484"/>
      <c r="GS46" s="484"/>
      <c r="GT46" s="484"/>
      <c r="GU46" s="484"/>
      <c r="GV46" s="484"/>
      <c r="GW46" s="484"/>
      <c r="GX46" s="484"/>
      <c r="GY46" s="484"/>
      <c r="GZ46" s="484"/>
      <c r="HA46" s="484"/>
      <c r="HB46" s="484"/>
      <c r="HC46" s="484"/>
      <c r="HD46" s="484"/>
      <c r="HE46" s="484"/>
      <c r="HF46" s="484"/>
      <c r="HG46" s="484"/>
      <c r="HH46" s="484"/>
      <c r="HI46" s="484"/>
      <c r="HJ46" s="484"/>
      <c r="HK46" s="484"/>
      <c r="HL46" s="484"/>
      <c r="HM46" s="484"/>
      <c r="HN46" s="484"/>
      <c r="HO46" s="484"/>
      <c r="HP46" s="484"/>
      <c r="HQ46" s="484"/>
      <c r="HR46" s="484"/>
      <c r="HS46" s="484"/>
      <c r="HT46" s="484"/>
      <c r="HU46" s="484"/>
      <c r="HV46" s="484"/>
      <c r="HW46" s="484"/>
      <c r="HX46" s="484"/>
      <c r="HY46" s="484"/>
      <c r="HZ46" s="484"/>
      <c r="IA46" s="484"/>
      <c r="IB46" s="484"/>
      <c r="IC46" s="484"/>
      <c r="ID46" s="484"/>
      <c r="IE46" s="484"/>
      <c r="IF46" s="484"/>
      <c r="IG46" s="484"/>
      <c r="IH46" s="484"/>
      <c r="II46" s="484"/>
      <c r="IJ46" s="484"/>
      <c r="IK46" s="484"/>
      <c r="IL46" s="484"/>
      <c r="IM46" s="484"/>
      <c r="IN46" s="484"/>
      <c r="IO46" s="484"/>
      <c r="IP46" s="484"/>
      <c r="IQ46" s="484"/>
      <c r="IR46" s="484"/>
      <c r="IS46" s="484"/>
      <c r="IT46" s="484"/>
      <c r="IU46" s="484"/>
    </row>
    <row r="47" spans="1:255" s="465" customFormat="1" ht="13.5">
      <c r="A47" s="484"/>
      <c r="B47" s="484"/>
      <c r="C47" s="484"/>
      <c r="D47" s="484"/>
      <c r="E47" s="504"/>
      <c r="F47" s="484"/>
      <c r="G47" s="484"/>
      <c r="H47" s="484"/>
      <c r="I47" s="484"/>
      <c r="J47" s="505"/>
      <c r="K47" s="484"/>
      <c r="L47" s="502"/>
      <c r="M47" s="484"/>
      <c r="N47" s="484"/>
      <c r="O47" s="484"/>
      <c r="P47" s="484"/>
      <c r="Q47" s="484"/>
      <c r="R47" s="484"/>
      <c r="S47" s="484"/>
      <c r="T47" s="484"/>
      <c r="U47" s="484"/>
      <c r="V47" s="484"/>
      <c r="W47" s="484"/>
      <c r="X47" s="484"/>
      <c r="Y47" s="484"/>
      <c r="Z47" s="484"/>
      <c r="AA47" s="484"/>
      <c r="AB47" s="484"/>
      <c r="AC47" s="484"/>
      <c r="AD47" s="484"/>
      <c r="AE47" s="484"/>
      <c r="AF47" s="484"/>
      <c r="AG47" s="484"/>
      <c r="AH47" s="484"/>
      <c r="AI47" s="484"/>
      <c r="AJ47" s="484"/>
      <c r="AK47" s="484"/>
      <c r="AL47" s="484"/>
      <c r="AM47" s="484"/>
      <c r="AN47" s="484"/>
      <c r="AO47" s="484"/>
      <c r="AP47" s="484"/>
      <c r="AQ47" s="484"/>
      <c r="AR47" s="484"/>
      <c r="AS47" s="484"/>
      <c r="AT47" s="484"/>
      <c r="AU47" s="484"/>
      <c r="AV47" s="484"/>
      <c r="AW47" s="484"/>
      <c r="AX47" s="484"/>
      <c r="AY47" s="484"/>
      <c r="AZ47" s="484"/>
      <c r="BA47" s="484"/>
      <c r="BB47" s="484"/>
      <c r="BC47" s="484"/>
      <c r="BD47" s="484"/>
      <c r="BE47" s="484"/>
      <c r="BF47" s="484"/>
      <c r="BG47" s="484"/>
      <c r="BH47" s="484"/>
      <c r="BI47" s="484"/>
      <c r="BJ47" s="484"/>
      <c r="BK47" s="484"/>
      <c r="BL47" s="484"/>
      <c r="BM47" s="484"/>
      <c r="BN47" s="484"/>
      <c r="BO47" s="484"/>
      <c r="BP47" s="484"/>
      <c r="BQ47" s="484"/>
      <c r="BR47" s="484"/>
      <c r="BS47" s="484"/>
      <c r="BT47" s="484"/>
      <c r="BU47" s="484"/>
      <c r="BV47" s="484"/>
      <c r="BW47" s="484"/>
      <c r="BX47" s="484"/>
      <c r="BY47" s="484"/>
      <c r="BZ47" s="484"/>
      <c r="CA47" s="484"/>
      <c r="CB47" s="484"/>
      <c r="CC47" s="484"/>
      <c r="CD47" s="484"/>
      <c r="CE47" s="484"/>
      <c r="CF47" s="484"/>
      <c r="CG47" s="484"/>
      <c r="CH47" s="484"/>
      <c r="CI47" s="484"/>
      <c r="CJ47" s="484"/>
      <c r="CK47" s="484"/>
      <c r="CL47" s="484"/>
      <c r="CM47" s="484"/>
      <c r="CN47" s="484"/>
      <c r="CO47" s="484"/>
      <c r="CP47" s="484"/>
      <c r="CQ47" s="484"/>
      <c r="CR47" s="484"/>
      <c r="CS47" s="484"/>
      <c r="CT47" s="484"/>
      <c r="CU47" s="484"/>
      <c r="CV47" s="484"/>
      <c r="CW47" s="484"/>
      <c r="CX47" s="484"/>
      <c r="CY47" s="484"/>
      <c r="CZ47" s="484"/>
      <c r="DA47" s="484"/>
      <c r="DB47" s="484"/>
      <c r="DC47" s="484"/>
      <c r="DD47" s="484"/>
      <c r="DE47" s="484"/>
      <c r="DF47" s="484"/>
      <c r="DG47" s="484"/>
      <c r="DH47" s="484"/>
      <c r="DI47" s="484"/>
      <c r="DJ47" s="484"/>
      <c r="DK47" s="484"/>
      <c r="DL47" s="484"/>
      <c r="DM47" s="484"/>
      <c r="DN47" s="484"/>
      <c r="DO47" s="484"/>
      <c r="DP47" s="484"/>
      <c r="DQ47" s="484"/>
      <c r="DR47" s="484"/>
      <c r="DS47" s="484"/>
      <c r="DT47" s="484"/>
      <c r="DU47" s="484"/>
      <c r="DV47" s="484"/>
      <c r="DW47" s="484"/>
      <c r="DX47" s="484"/>
      <c r="DY47" s="484"/>
      <c r="DZ47" s="484"/>
      <c r="EA47" s="484"/>
      <c r="EB47" s="484"/>
      <c r="EC47" s="484"/>
      <c r="ED47" s="484"/>
      <c r="EE47" s="484"/>
      <c r="EF47" s="484"/>
      <c r="EG47" s="484"/>
      <c r="EH47" s="484"/>
      <c r="EI47" s="484"/>
      <c r="EJ47" s="484"/>
      <c r="EK47" s="484"/>
      <c r="EL47" s="484"/>
      <c r="EM47" s="484"/>
      <c r="EN47" s="484"/>
      <c r="EO47" s="484"/>
      <c r="EP47" s="484"/>
      <c r="EQ47" s="484"/>
      <c r="ER47" s="484"/>
      <c r="ES47" s="484"/>
      <c r="ET47" s="484"/>
      <c r="EU47" s="484"/>
      <c r="EV47" s="484"/>
      <c r="EW47" s="484"/>
      <c r="EX47" s="484"/>
      <c r="EY47" s="484"/>
      <c r="EZ47" s="484"/>
      <c r="FA47" s="484"/>
      <c r="FB47" s="484"/>
      <c r="FC47" s="484"/>
      <c r="FD47" s="484"/>
      <c r="FE47" s="484"/>
      <c r="FF47" s="484"/>
      <c r="FG47" s="484"/>
      <c r="FH47" s="484"/>
      <c r="FI47" s="484"/>
      <c r="FJ47" s="484"/>
      <c r="FK47" s="484"/>
      <c r="FL47" s="484"/>
      <c r="FM47" s="484"/>
      <c r="FN47" s="484"/>
      <c r="FO47" s="484"/>
      <c r="FP47" s="484"/>
      <c r="FQ47" s="484"/>
      <c r="FR47" s="484"/>
      <c r="FS47" s="484"/>
      <c r="FT47" s="484"/>
      <c r="FU47" s="484"/>
      <c r="FV47" s="484"/>
      <c r="FW47" s="484"/>
      <c r="FX47" s="484"/>
      <c r="FY47" s="484"/>
      <c r="FZ47" s="484"/>
      <c r="GA47" s="484"/>
      <c r="GB47" s="484"/>
      <c r="GC47" s="484"/>
      <c r="GD47" s="484"/>
      <c r="GE47" s="484"/>
      <c r="GF47" s="484"/>
      <c r="GG47" s="484"/>
      <c r="GH47" s="484"/>
      <c r="GI47" s="484"/>
      <c r="GJ47" s="484"/>
      <c r="GK47" s="484"/>
      <c r="GL47" s="484"/>
      <c r="GM47" s="484"/>
      <c r="GN47" s="484"/>
      <c r="GO47" s="484"/>
      <c r="GP47" s="484"/>
      <c r="GQ47" s="484"/>
      <c r="GR47" s="484"/>
      <c r="GS47" s="484"/>
      <c r="GT47" s="484"/>
      <c r="GU47" s="484"/>
      <c r="GV47" s="484"/>
      <c r="GW47" s="484"/>
      <c r="GX47" s="484"/>
      <c r="GY47" s="484"/>
      <c r="GZ47" s="484"/>
      <c r="HA47" s="484"/>
      <c r="HB47" s="484"/>
      <c r="HC47" s="484"/>
      <c r="HD47" s="484"/>
      <c r="HE47" s="484"/>
      <c r="HF47" s="484"/>
      <c r="HG47" s="484"/>
      <c r="HH47" s="484"/>
      <c r="HI47" s="484"/>
      <c r="HJ47" s="484"/>
      <c r="HK47" s="484"/>
      <c r="HL47" s="484"/>
      <c r="HM47" s="484"/>
      <c r="HN47" s="484"/>
      <c r="HO47" s="484"/>
      <c r="HP47" s="484"/>
      <c r="HQ47" s="484"/>
      <c r="HR47" s="484"/>
      <c r="HS47" s="484"/>
      <c r="HT47" s="484"/>
      <c r="HU47" s="484"/>
      <c r="HV47" s="484"/>
      <c r="HW47" s="484"/>
      <c r="HX47" s="484"/>
      <c r="HY47" s="484"/>
      <c r="HZ47" s="484"/>
      <c r="IA47" s="484"/>
      <c r="IB47" s="484"/>
      <c r="IC47" s="484"/>
      <c r="ID47" s="484"/>
      <c r="IE47" s="484"/>
      <c r="IF47" s="484"/>
      <c r="IG47" s="484"/>
      <c r="IH47" s="484"/>
      <c r="II47" s="484"/>
      <c r="IJ47" s="484"/>
      <c r="IK47" s="484"/>
      <c r="IL47" s="484"/>
      <c r="IM47" s="484"/>
      <c r="IN47" s="484"/>
      <c r="IO47" s="484"/>
      <c r="IP47" s="484"/>
      <c r="IQ47" s="484"/>
      <c r="IR47" s="484"/>
      <c r="IS47" s="484"/>
      <c r="IT47" s="484"/>
      <c r="IU47" s="484"/>
    </row>
    <row r="48" spans="1:255" s="465" customFormat="1" ht="13.5">
      <c r="A48" s="484"/>
      <c r="B48" s="484"/>
      <c r="C48" s="484"/>
      <c r="D48" s="484"/>
      <c r="E48" s="484"/>
      <c r="F48" s="484"/>
      <c r="G48" s="484"/>
      <c r="H48" s="484"/>
      <c r="I48" s="484"/>
      <c r="J48" s="484"/>
      <c r="K48" s="484"/>
      <c r="L48" s="502"/>
      <c r="M48" s="484"/>
      <c r="N48" s="484"/>
      <c r="O48" s="484"/>
      <c r="P48" s="484"/>
      <c r="Q48" s="484"/>
      <c r="R48" s="484"/>
      <c r="S48" s="484"/>
      <c r="T48" s="484"/>
      <c r="U48" s="484"/>
      <c r="V48" s="484"/>
      <c r="W48" s="484"/>
      <c r="X48" s="484"/>
      <c r="Y48" s="484"/>
      <c r="Z48" s="484"/>
      <c r="AA48" s="484"/>
      <c r="AB48" s="484"/>
      <c r="AC48" s="484"/>
      <c r="AD48" s="484"/>
      <c r="AE48" s="484"/>
      <c r="AF48" s="484"/>
      <c r="AG48" s="484"/>
      <c r="AH48" s="484"/>
      <c r="AI48" s="484"/>
      <c r="AJ48" s="484"/>
      <c r="AK48" s="484"/>
      <c r="AL48" s="484"/>
      <c r="AM48" s="484"/>
      <c r="AN48" s="484"/>
      <c r="AO48" s="484"/>
      <c r="AP48" s="484"/>
      <c r="AQ48" s="484"/>
      <c r="AR48" s="484"/>
      <c r="AS48" s="484"/>
      <c r="AT48" s="484"/>
      <c r="AU48" s="484"/>
      <c r="AV48" s="484"/>
      <c r="AW48" s="484"/>
      <c r="AX48" s="484"/>
      <c r="AY48" s="484"/>
      <c r="AZ48" s="484"/>
      <c r="BA48" s="484"/>
      <c r="BB48" s="484"/>
      <c r="BC48" s="484"/>
      <c r="BD48" s="484"/>
      <c r="BE48" s="484"/>
      <c r="BF48" s="484"/>
      <c r="BG48" s="484"/>
      <c r="BH48" s="484"/>
      <c r="BI48" s="484"/>
      <c r="BJ48" s="484"/>
      <c r="BK48" s="484"/>
      <c r="BL48" s="484"/>
      <c r="BM48" s="484"/>
      <c r="BN48" s="484"/>
      <c r="BO48" s="484"/>
      <c r="BP48" s="484"/>
      <c r="BQ48" s="484"/>
      <c r="BR48" s="484"/>
      <c r="BS48" s="484"/>
      <c r="BT48" s="484"/>
      <c r="BU48" s="484"/>
      <c r="BV48" s="484"/>
      <c r="BW48" s="484"/>
      <c r="BX48" s="484"/>
      <c r="BY48" s="484"/>
      <c r="BZ48" s="484"/>
      <c r="CA48" s="484"/>
      <c r="CB48" s="484"/>
      <c r="CC48" s="484"/>
      <c r="CD48" s="484"/>
      <c r="CE48" s="484"/>
      <c r="CF48" s="484"/>
      <c r="CG48" s="484"/>
      <c r="CH48" s="484"/>
      <c r="CI48" s="484"/>
      <c r="CJ48" s="484"/>
      <c r="CK48" s="484"/>
      <c r="CL48" s="484"/>
      <c r="CM48" s="484"/>
      <c r="CN48" s="484"/>
      <c r="CO48" s="484"/>
      <c r="CP48" s="484"/>
      <c r="CQ48" s="484"/>
      <c r="CR48" s="484"/>
      <c r="CS48" s="484"/>
      <c r="CT48" s="484"/>
      <c r="CU48" s="484"/>
      <c r="CV48" s="484"/>
      <c r="CW48" s="484"/>
      <c r="CX48" s="484"/>
      <c r="CY48" s="484"/>
      <c r="CZ48" s="484"/>
      <c r="DA48" s="484"/>
      <c r="DB48" s="484"/>
      <c r="DC48" s="484"/>
      <c r="DD48" s="484"/>
      <c r="DE48" s="484"/>
      <c r="DF48" s="484"/>
      <c r="DG48" s="484"/>
      <c r="DH48" s="484"/>
      <c r="DI48" s="484"/>
      <c r="DJ48" s="484"/>
      <c r="DK48" s="484"/>
      <c r="DL48" s="484"/>
      <c r="DM48" s="484"/>
      <c r="DN48" s="484"/>
      <c r="DO48" s="484"/>
      <c r="DP48" s="484"/>
      <c r="DQ48" s="484"/>
      <c r="DR48" s="484"/>
      <c r="DS48" s="484"/>
      <c r="DT48" s="484"/>
      <c r="DU48" s="484"/>
      <c r="DV48" s="484"/>
      <c r="DW48" s="484"/>
      <c r="DX48" s="484"/>
      <c r="DY48" s="484"/>
      <c r="DZ48" s="484"/>
      <c r="EA48" s="484"/>
      <c r="EB48" s="484"/>
      <c r="EC48" s="484"/>
      <c r="ED48" s="484"/>
      <c r="EE48" s="484"/>
      <c r="EF48" s="484"/>
      <c r="EG48" s="484"/>
      <c r="EH48" s="484"/>
      <c r="EI48" s="484"/>
      <c r="EJ48" s="484"/>
      <c r="EK48" s="484"/>
      <c r="EL48" s="484"/>
      <c r="EM48" s="484"/>
      <c r="EN48" s="484"/>
      <c r="EO48" s="484"/>
      <c r="EP48" s="484"/>
      <c r="EQ48" s="484"/>
      <c r="ER48" s="484"/>
      <c r="ES48" s="484"/>
      <c r="ET48" s="484"/>
      <c r="EU48" s="484"/>
      <c r="EV48" s="484"/>
      <c r="EW48" s="484"/>
      <c r="EX48" s="484"/>
      <c r="EY48" s="484"/>
      <c r="EZ48" s="484"/>
      <c r="FA48" s="484"/>
      <c r="FB48" s="484"/>
      <c r="FC48" s="484"/>
      <c r="FD48" s="484"/>
      <c r="FE48" s="484"/>
      <c r="FF48" s="484"/>
      <c r="FG48" s="484"/>
      <c r="FH48" s="484"/>
      <c r="FI48" s="484"/>
      <c r="FJ48" s="484"/>
      <c r="FK48" s="484"/>
      <c r="FL48" s="484"/>
      <c r="FM48" s="484"/>
      <c r="FN48" s="484"/>
      <c r="FO48" s="484"/>
      <c r="FP48" s="484"/>
      <c r="FQ48" s="484"/>
      <c r="FR48" s="484"/>
      <c r="FS48" s="484"/>
      <c r="FT48" s="484"/>
      <c r="FU48" s="484"/>
      <c r="FV48" s="484"/>
      <c r="FW48" s="484"/>
      <c r="FX48" s="484"/>
      <c r="FY48" s="484"/>
      <c r="FZ48" s="484"/>
      <c r="GA48" s="484"/>
      <c r="GB48" s="484"/>
      <c r="GC48" s="484"/>
      <c r="GD48" s="484"/>
      <c r="GE48" s="484"/>
      <c r="GF48" s="484"/>
      <c r="GG48" s="484"/>
      <c r="GH48" s="484"/>
      <c r="GI48" s="484"/>
      <c r="GJ48" s="484"/>
      <c r="GK48" s="484"/>
      <c r="GL48" s="484"/>
      <c r="GM48" s="484"/>
      <c r="GN48" s="484"/>
      <c r="GO48" s="484"/>
      <c r="GP48" s="484"/>
      <c r="GQ48" s="484"/>
      <c r="GR48" s="484"/>
      <c r="GS48" s="484"/>
      <c r="GT48" s="484"/>
      <c r="GU48" s="484"/>
      <c r="GV48" s="484"/>
      <c r="GW48" s="484"/>
      <c r="GX48" s="484"/>
      <c r="GY48" s="484"/>
      <c r="GZ48" s="484"/>
      <c r="HA48" s="484"/>
      <c r="HB48" s="484"/>
      <c r="HC48" s="484"/>
      <c r="HD48" s="484"/>
      <c r="HE48" s="484"/>
      <c r="HF48" s="484"/>
      <c r="HG48" s="484"/>
      <c r="HH48" s="484"/>
      <c r="HI48" s="484"/>
      <c r="HJ48" s="484"/>
      <c r="HK48" s="484"/>
      <c r="HL48" s="484"/>
      <c r="HM48" s="484"/>
      <c r="HN48" s="484"/>
      <c r="HO48" s="484"/>
      <c r="HP48" s="484"/>
      <c r="HQ48" s="484"/>
      <c r="HR48" s="484"/>
      <c r="HS48" s="484"/>
      <c r="HT48" s="484"/>
      <c r="HU48" s="484"/>
      <c r="HV48" s="484"/>
      <c r="HW48" s="484"/>
      <c r="HX48" s="484"/>
      <c r="HY48" s="484"/>
      <c r="HZ48" s="484"/>
      <c r="IA48" s="484"/>
      <c r="IB48" s="484"/>
      <c r="IC48" s="484"/>
      <c r="ID48" s="484"/>
      <c r="IE48" s="484"/>
      <c r="IF48" s="484"/>
      <c r="IG48" s="484"/>
      <c r="IH48" s="484"/>
      <c r="II48" s="484"/>
      <c r="IJ48" s="484"/>
      <c r="IK48" s="484"/>
      <c r="IL48" s="484"/>
      <c r="IM48" s="484"/>
      <c r="IN48" s="484"/>
      <c r="IO48" s="484"/>
      <c r="IP48" s="484"/>
      <c r="IQ48" s="484"/>
      <c r="IR48" s="484"/>
      <c r="IS48" s="484"/>
      <c r="IT48" s="484"/>
      <c r="IU48" s="484"/>
    </row>
    <row r="50" spans="1:255" s="465" customFormat="1">
      <c r="A50" s="484"/>
      <c r="B50" s="484"/>
      <c r="C50" s="484"/>
      <c r="D50" s="484"/>
      <c r="E50" s="504" t="s">
        <v>36</v>
      </c>
      <c r="F50" s="484"/>
      <c r="G50" s="484"/>
      <c r="H50" s="484"/>
      <c r="I50" s="484"/>
      <c r="J50" s="505"/>
      <c r="K50" s="484"/>
      <c r="L50" s="484"/>
      <c r="M50" s="484"/>
      <c r="N50" s="484"/>
      <c r="O50" s="484"/>
      <c r="P50" s="484"/>
      <c r="Q50" s="484"/>
      <c r="R50" s="484"/>
      <c r="S50" s="484"/>
      <c r="T50" s="484"/>
      <c r="U50" s="484"/>
      <c r="V50" s="484"/>
      <c r="W50" s="484"/>
      <c r="X50" s="484"/>
      <c r="Y50" s="484"/>
      <c r="Z50" s="484"/>
      <c r="AA50" s="484"/>
      <c r="AB50" s="484"/>
      <c r="AC50" s="484"/>
      <c r="AD50" s="484"/>
      <c r="AE50" s="484"/>
      <c r="AF50" s="484"/>
      <c r="AG50" s="484"/>
      <c r="AH50" s="484"/>
      <c r="AI50" s="484"/>
      <c r="AJ50" s="484"/>
      <c r="AK50" s="484"/>
      <c r="AL50" s="484"/>
      <c r="AM50" s="484"/>
      <c r="AN50" s="484"/>
      <c r="AO50" s="484"/>
      <c r="AP50" s="484"/>
      <c r="AQ50" s="484"/>
      <c r="AR50" s="484"/>
      <c r="AS50" s="484"/>
      <c r="AT50" s="484"/>
      <c r="AU50" s="484"/>
      <c r="AV50" s="484"/>
      <c r="AW50" s="484"/>
      <c r="AX50" s="484"/>
      <c r="AY50" s="484"/>
      <c r="AZ50" s="484"/>
      <c r="BA50" s="484"/>
      <c r="BB50" s="484"/>
      <c r="BC50" s="484"/>
      <c r="BD50" s="484"/>
      <c r="BE50" s="484"/>
      <c r="BF50" s="484"/>
      <c r="BG50" s="484"/>
      <c r="BH50" s="484"/>
      <c r="BI50" s="484"/>
      <c r="BJ50" s="484"/>
      <c r="BK50" s="484"/>
      <c r="BL50" s="484"/>
      <c r="BM50" s="484"/>
      <c r="BN50" s="484"/>
      <c r="BO50" s="484"/>
      <c r="BP50" s="484"/>
      <c r="BQ50" s="484"/>
      <c r="BR50" s="484"/>
      <c r="BS50" s="484"/>
      <c r="BT50" s="484"/>
      <c r="BU50" s="484"/>
      <c r="BV50" s="484"/>
      <c r="BW50" s="484"/>
      <c r="BX50" s="484"/>
      <c r="BY50" s="484"/>
      <c r="BZ50" s="484"/>
      <c r="CA50" s="484"/>
      <c r="CB50" s="484"/>
      <c r="CC50" s="484"/>
      <c r="CD50" s="484"/>
      <c r="CE50" s="484"/>
      <c r="CF50" s="484"/>
      <c r="CG50" s="484"/>
      <c r="CH50" s="484"/>
      <c r="CI50" s="484"/>
      <c r="CJ50" s="484"/>
      <c r="CK50" s="484"/>
      <c r="CL50" s="484"/>
      <c r="CM50" s="484"/>
      <c r="CN50" s="484"/>
      <c r="CO50" s="484"/>
      <c r="CP50" s="484"/>
      <c r="CQ50" s="484"/>
      <c r="CR50" s="484"/>
      <c r="CS50" s="484"/>
      <c r="CT50" s="484"/>
      <c r="CU50" s="484"/>
      <c r="CV50" s="484"/>
      <c r="CW50" s="484"/>
      <c r="CX50" s="484"/>
      <c r="CY50" s="484"/>
      <c r="CZ50" s="484"/>
      <c r="DA50" s="484"/>
      <c r="DB50" s="484"/>
      <c r="DC50" s="484"/>
      <c r="DD50" s="484"/>
      <c r="DE50" s="484"/>
      <c r="DF50" s="484"/>
      <c r="DG50" s="484"/>
      <c r="DH50" s="484"/>
      <c r="DI50" s="484"/>
      <c r="DJ50" s="484"/>
      <c r="DK50" s="484"/>
      <c r="DL50" s="484"/>
      <c r="DM50" s="484"/>
      <c r="DN50" s="484"/>
      <c r="DO50" s="484"/>
      <c r="DP50" s="484"/>
      <c r="DQ50" s="484"/>
      <c r="DR50" s="484"/>
      <c r="DS50" s="484"/>
      <c r="DT50" s="484"/>
      <c r="DU50" s="484"/>
      <c r="DV50" s="484"/>
      <c r="DW50" s="484"/>
      <c r="DX50" s="484"/>
      <c r="DY50" s="484"/>
      <c r="DZ50" s="484"/>
      <c r="EA50" s="484"/>
      <c r="EB50" s="484"/>
      <c r="EC50" s="484"/>
      <c r="ED50" s="484"/>
      <c r="EE50" s="484"/>
      <c r="EF50" s="484"/>
      <c r="EG50" s="484"/>
      <c r="EH50" s="484"/>
      <c r="EI50" s="484"/>
      <c r="EJ50" s="484"/>
      <c r="EK50" s="484"/>
      <c r="EL50" s="484"/>
      <c r="EM50" s="484"/>
      <c r="EN50" s="484"/>
      <c r="EO50" s="484"/>
      <c r="EP50" s="484"/>
      <c r="EQ50" s="484"/>
      <c r="ER50" s="484"/>
      <c r="ES50" s="484"/>
      <c r="ET50" s="484"/>
      <c r="EU50" s="484"/>
      <c r="EV50" s="484"/>
      <c r="EW50" s="484"/>
      <c r="EX50" s="484"/>
      <c r="EY50" s="484"/>
      <c r="EZ50" s="484"/>
      <c r="FA50" s="484"/>
      <c r="FB50" s="484"/>
      <c r="FC50" s="484"/>
      <c r="FD50" s="484"/>
      <c r="FE50" s="484"/>
      <c r="FF50" s="484"/>
      <c r="FG50" s="484"/>
      <c r="FH50" s="484"/>
      <c r="FI50" s="484"/>
      <c r="FJ50" s="484"/>
      <c r="FK50" s="484"/>
      <c r="FL50" s="484"/>
      <c r="FM50" s="484"/>
      <c r="FN50" s="484"/>
      <c r="FO50" s="484"/>
      <c r="FP50" s="484"/>
      <c r="FQ50" s="484"/>
      <c r="FR50" s="484"/>
      <c r="FS50" s="484"/>
      <c r="FT50" s="484"/>
      <c r="FU50" s="484"/>
      <c r="FV50" s="484"/>
      <c r="FW50" s="484"/>
      <c r="FX50" s="484"/>
      <c r="FY50" s="484"/>
      <c r="FZ50" s="484"/>
      <c r="GA50" s="484"/>
      <c r="GB50" s="484"/>
      <c r="GC50" s="484"/>
      <c r="GD50" s="484"/>
      <c r="GE50" s="484"/>
      <c r="GF50" s="484"/>
      <c r="GG50" s="484"/>
      <c r="GH50" s="484"/>
      <c r="GI50" s="484"/>
      <c r="GJ50" s="484"/>
      <c r="GK50" s="484"/>
      <c r="GL50" s="484"/>
      <c r="GM50" s="484"/>
      <c r="GN50" s="484"/>
      <c r="GO50" s="484"/>
      <c r="GP50" s="484"/>
      <c r="GQ50" s="484"/>
      <c r="GR50" s="484"/>
      <c r="GS50" s="484"/>
      <c r="GT50" s="484"/>
      <c r="GU50" s="484"/>
      <c r="GV50" s="484"/>
      <c r="GW50" s="484"/>
      <c r="GX50" s="484"/>
      <c r="GY50" s="484"/>
      <c r="GZ50" s="484"/>
      <c r="HA50" s="484"/>
      <c r="HB50" s="484"/>
      <c r="HC50" s="484"/>
      <c r="HD50" s="484"/>
      <c r="HE50" s="484"/>
      <c r="HF50" s="484"/>
      <c r="HG50" s="484"/>
      <c r="HH50" s="484"/>
      <c r="HI50" s="484"/>
      <c r="HJ50" s="484"/>
      <c r="HK50" s="484"/>
      <c r="HL50" s="484"/>
      <c r="HM50" s="484"/>
      <c r="HN50" s="484"/>
      <c r="HO50" s="484"/>
      <c r="HP50" s="484"/>
      <c r="HQ50" s="484"/>
      <c r="HR50" s="484"/>
      <c r="HS50" s="484"/>
      <c r="HT50" s="484"/>
      <c r="HU50" s="484"/>
      <c r="HV50" s="484"/>
      <c r="HW50" s="484"/>
      <c r="HX50" s="484"/>
      <c r="HY50" s="484"/>
      <c r="HZ50" s="484"/>
      <c r="IA50" s="484"/>
      <c r="IB50" s="484"/>
      <c r="IC50" s="484"/>
      <c r="ID50" s="484"/>
      <c r="IE50" s="484"/>
      <c r="IF50" s="484"/>
      <c r="IG50" s="484"/>
      <c r="IH50" s="484"/>
      <c r="II50" s="484"/>
      <c r="IJ50" s="484"/>
      <c r="IK50" s="484"/>
      <c r="IL50" s="484"/>
      <c r="IM50" s="484"/>
      <c r="IN50" s="484"/>
      <c r="IO50" s="484"/>
      <c r="IP50" s="484"/>
      <c r="IQ50" s="484"/>
      <c r="IR50" s="484"/>
      <c r="IS50" s="484"/>
      <c r="IT50" s="484"/>
      <c r="IU50" s="484"/>
    </row>
    <row r="51" spans="1:255" s="465" customFormat="1">
      <c r="A51" s="484"/>
      <c r="B51" s="484"/>
      <c r="C51" s="484"/>
      <c r="D51" s="484"/>
      <c r="E51" s="484"/>
      <c r="F51" s="484"/>
      <c r="G51" s="484"/>
      <c r="H51" s="484"/>
      <c r="I51" s="484"/>
      <c r="J51" s="484"/>
      <c r="K51" s="484"/>
      <c r="L51" s="484"/>
      <c r="M51" s="484"/>
      <c r="N51" s="484" t="s">
        <v>478</v>
      </c>
      <c r="O51" s="484"/>
      <c r="P51" s="484"/>
      <c r="Q51" s="484"/>
      <c r="R51" s="484"/>
      <c r="S51" s="484"/>
      <c r="T51" s="484"/>
      <c r="U51" s="484"/>
      <c r="V51" s="484"/>
      <c r="W51" s="484"/>
      <c r="X51" s="484"/>
      <c r="Y51" s="484"/>
      <c r="Z51" s="484"/>
      <c r="AA51" s="484"/>
      <c r="AB51" s="484"/>
      <c r="AC51" s="484"/>
      <c r="AD51" s="484"/>
      <c r="AE51" s="484"/>
      <c r="AF51" s="484"/>
      <c r="AG51" s="484"/>
      <c r="AH51" s="484"/>
      <c r="AI51" s="484"/>
      <c r="AJ51" s="484"/>
      <c r="AK51" s="484"/>
      <c r="AL51" s="484"/>
      <c r="AM51" s="484"/>
      <c r="AN51" s="484"/>
      <c r="AO51" s="484"/>
      <c r="AP51" s="484"/>
      <c r="AQ51" s="484"/>
      <c r="AR51" s="484"/>
      <c r="AS51" s="484"/>
      <c r="AT51" s="484"/>
      <c r="AU51" s="484"/>
      <c r="AV51" s="484"/>
      <c r="AW51" s="484"/>
      <c r="AX51" s="484"/>
      <c r="AY51" s="484"/>
      <c r="AZ51" s="484"/>
      <c r="BA51" s="484"/>
      <c r="BB51" s="484"/>
      <c r="BC51" s="484"/>
      <c r="BD51" s="484"/>
      <c r="BE51" s="484"/>
      <c r="BF51" s="484"/>
      <c r="BG51" s="484"/>
      <c r="BH51" s="484"/>
      <c r="BI51" s="484"/>
      <c r="BJ51" s="484"/>
      <c r="BK51" s="484"/>
      <c r="BL51" s="484"/>
      <c r="BM51" s="484"/>
      <c r="BN51" s="484"/>
      <c r="BO51" s="484"/>
      <c r="BP51" s="484"/>
      <c r="BQ51" s="484"/>
      <c r="BR51" s="484"/>
      <c r="BS51" s="484"/>
      <c r="BT51" s="484"/>
      <c r="BU51" s="484"/>
      <c r="BV51" s="484"/>
      <c r="BW51" s="484"/>
      <c r="BX51" s="484"/>
      <c r="BY51" s="484"/>
      <c r="BZ51" s="484"/>
      <c r="CA51" s="484"/>
      <c r="CB51" s="484"/>
      <c r="CC51" s="484"/>
      <c r="CD51" s="484"/>
      <c r="CE51" s="484"/>
      <c r="CF51" s="484"/>
      <c r="CG51" s="484"/>
      <c r="CH51" s="484"/>
      <c r="CI51" s="484"/>
      <c r="CJ51" s="484"/>
      <c r="CK51" s="484"/>
      <c r="CL51" s="484"/>
      <c r="CM51" s="484"/>
      <c r="CN51" s="484"/>
      <c r="CO51" s="484"/>
      <c r="CP51" s="484"/>
      <c r="CQ51" s="484"/>
      <c r="CR51" s="484"/>
      <c r="CS51" s="484"/>
      <c r="CT51" s="484"/>
      <c r="CU51" s="484"/>
      <c r="CV51" s="484"/>
      <c r="CW51" s="484"/>
      <c r="CX51" s="484"/>
      <c r="CY51" s="484"/>
      <c r="CZ51" s="484"/>
      <c r="DA51" s="484"/>
      <c r="DB51" s="484"/>
      <c r="DC51" s="484"/>
      <c r="DD51" s="484"/>
      <c r="DE51" s="484"/>
      <c r="DF51" s="484"/>
      <c r="DG51" s="484"/>
      <c r="DH51" s="484"/>
      <c r="DI51" s="484"/>
      <c r="DJ51" s="484"/>
      <c r="DK51" s="484"/>
      <c r="DL51" s="484"/>
      <c r="DM51" s="484"/>
      <c r="DN51" s="484"/>
      <c r="DO51" s="484"/>
      <c r="DP51" s="484"/>
      <c r="DQ51" s="484"/>
      <c r="DR51" s="484"/>
      <c r="DS51" s="484"/>
      <c r="DT51" s="484"/>
      <c r="DU51" s="484"/>
      <c r="DV51" s="484"/>
      <c r="DW51" s="484"/>
      <c r="DX51" s="484"/>
      <c r="DY51" s="484"/>
      <c r="DZ51" s="484"/>
      <c r="EA51" s="484"/>
      <c r="EB51" s="484"/>
      <c r="EC51" s="484"/>
      <c r="ED51" s="484"/>
      <c r="EE51" s="484"/>
      <c r="EF51" s="484"/>
      <c r="EG51" s="484"/>
      <c r="EH51" s="484"/>
      <c r="EI51" s="484"/>
      <c r="EJ51" s="484"/>
      <c r="EK51" s="484"/>
      <c r="EL51" s="484"/>
      <c r="EM51" s="484"/>
      <c r="EN51" s="484"/>
      <c r="EO51" s="484"/>
      <c r="EP51" s="484"/>
      <c r="EQ51" s="484"/>
      <c r="ER51" s="484"/>
      <c r="ES51" s="484"/>
      <c r="ET51" s="484"/>
      <c r="EU51" s="484"/>
      <c r="EV51" s="484"/>
      <c r="EW51" s="484"/>
      <c r="EX51" s="484"/>
      <c r="EY51" s="484"/>
      <c r="EZ51" s="484"/>
      <c r="FA51" s="484"/>
      <c r="FB51" s="484"/>
      <c r="FC51" s="484"/>
      <c r="FD51" s="484"/>
      <c r="FE51" s="484"/>
      <c r="FF51" s="484"/>
      <c r="FG51" s="484"/>
      <c r="FH51" s="484"/>
      <c r="FI51" s="484"/>
      <c r="FJ51" s="484"/>
      <c r="FK51" s="484"/>
      <c r="FL51" s="484"/>
      <c r="FM51" s="484"/>
      <c r="FN51" s="484"/>
      <c r="FO51" s="484"/>
      <c r="FP51" s="484"/>
      <c r="FQ51" s="484"/>
      <c r="FR51" s="484"/>
      <c r="FS51" s="484"/>
      <c r="FT51" s="484"/>
      <c r="FU51" s="484"/>
      <c r="FV51" s="484"/>
      <c r="FW51" s="484"/>
      <c r="FX51" s="484"/>
      <c r="FY51" s="484"/>
      <c r="FZ51" s="484"/>
      <c r="GA51" s="484"/>
      <c r="GB51" s="484"/>
      <c r="GC51" s="484"/>
      <c r="GD51" s="484"/>
      <c r="GE51" s="484"/>
      <c r="GF51" s="484"/>
      <c r="GG51" s="484"/>
      <c r="GH51" s="484"/>
      <c r="GI51" s="484"/>
      <c r="GJ51" s="484"/>
      <c r="GK51" s="484"/>
      <c r="GL51" s="484"/>
      <c r="GM51" s="484"/>
      <c r="GN51" s="484"/>
      <c r="GO51" s="484"/>
      <c r="GP51" s="484"/>
      <c r="GQ51" s="484"/>
      <c r="GR51" s="484"/>
      <c r="GS51" s="484"/>
      <c r="GT51" s="484"/>
      <c r="GU51" s="484"/>
      <c r="GV51" s="484"/>
      <c r="GW51" s="484"/>
      <c r="GX51" s="484"/>
      <c r="GY51" s="484"/>
      <c r="GZ51" s="484"/>
      <c r="HA51" s="484"/>
      <c r="HB51" s="484"/>
      <c r="HC51" s="484"/>
      <c r="HD51" s="484"/>
      <c r="HE51" s="484"/>
      <c r="HF51" s="484"/>
      <c r="HG51" s="484"/>
      <c r="HH51" s="484"/>
      <c r="HI51" s="484"/>
      <c r="HJ51" s="484"/>
      <c r="HK51" s="484"/>
      <c r="HL51" s="484"/>
      <c r="HM51" s="484"/>
      <c r="HN51" s="484"/>
      <c r="HO51" s="484"/>
      <c r="HP51" s="484"/>
      <c r="HQ51" s="484"/>
      <c r="HR51" s="484"/>
      <c r="HS51" s="484"/>
      <c r="HT51" s="484"/>
      <c r="HU51" s="484"/>
      <c r="HV51" s="484"/>
      <c r="HW51" s="484"/>
      <c r="HX51" s="484"/>
      <c r="HY51" s="484"/>
      <c r="HZ51" s="484"/>
      <c r="IA51" s="484"/>
      <c r="IB51" s="484"/>
      <c r="IC51" s="484"/>
      <c r="ID51" s="484"/>
      <c r="IE51" s="484"/>
      <c r="IF51" s="484"/>
      <c r="IG51" s="484"/>
      <c r="IH51" s="484"/>
      <c r="II51" s="484"/>
      <c r="IJ51" s="484"/>
      <c r="IK51" s="484"/>
      <c r="IL51" s="484"/>
      <c r="IM51" s="484"/>
      <c r="IN51" s="484"/>
      <c r="IO51" s="484"/>
      <c r="IP51" s="484"/>
      <c r="IQ51" s="484"/>
      <c r="IR51" s="484"/>
      <c r="IS51" s="484"/>
      <c r="IT51" s="484"/>
      <c r="IU51" s="484"/>
    </row>
  </sheetData>
  <mergeCells count="2">
    <mergeCell ref="B42:C42"/>
    <mergeCell ref="D2:F2"/>
  </mergeCells>
  <printOptions verticalCentered="1"/>
  <pageMargins left="0.31496062992125984" right="0.11811023622047245" top="0.47244094488188981" bottom="0.35433070866141736" header="0.27559055118110237" footer="0.11811023622047245"/>
  <pageSetup scale="73" orientation="landscape" r:id="rId1"/>
  <headerFooter alignWithMargins="0">
    <oddHeader>&amp;CMAS METER RESULTS</oddHeader>
  </headerFooter>
  <rowBreaks count="1" manualBreakCount="1">
    <brk id="45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indexed="53"/>
  </sheetPr>
  <dimension ref="A1:BJ79"/>
  <sheetViews>
    <sheetView workbookViewId="0">
      <pane xSplit="3" ySplit="7" topLeftCell="D20" activePane="bottomRight" state="frozen"/>
      <selection pane="topRight" activeCell="D1" sqref="D1"/>
      <selection pane="bottomLeft" activeCell="A22" sqref="A22"/>
      <selection pane="bottomRight" activeCell="B26" sqref="B26"/>
    </sheetView>
  </sheetViews>
  <sheetFormatPr defaultColWidth="11" defaultRowHeight="14.25"/>
  <cols>
    <col min="1" max="1" width="41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1</v>
      </c>
      <c r="C2" s="8" t="s">
        <v>2</v>
      </c>
    </row>
    <row r="3" spans="1:7" ht="15">
      <c r="A3" s="6"/>
      <c r="B3" s="7" t="s">
        <v>3</v>
      </c>
      <c r="C3" s="9"/>
    </row>
    <row r="4" spans="1:7" ht="24" customHeight="1">
      <c r="A4" s="6" t="s">
        <v>4</v>
      </c>
      <c r="B4" s="10">
        <v>1</v>
      </c>
      <c r="C4" s="9"/>
    </row>
    <row r="5" spans="1:7" ht="24" customHeight="1">
      <c r="C5" s="9"/>
    </row>
    <row r="6" spans="1:7" ht="24" customHeight="1">
      <c r="A6" s="11" t="s">
        <v>5</v>
      </c>
      <c r="B6" s="38">
        <v>46</v>
      </c>
      <c r="C6" s="9"/>
    </row>
    <row r="7" spans="1:7" ht="24" customHeight="1">
      <c r="A7" s="12" t="s">
        <v>6</v>
      </c>
      <c r="B7" s="13" t="s">
        <v>7</v>
      </c>
      <c r="C7" s="9"/>
    </row>
    <row r="8" spans="1:7" ht="24" customHeight="1">
      <c r="A8" s="14" t="s">
        <v>323</v>
      </c>
      <c r="B8" s="513">
        <v>2372219.52</v>
      </c>
      <c r="C8" s="14"/>
    </row>
    <row r="9" spans="1:7" ht="24" customHeight="1">
      <c r="A9" s="14" t="s">
        <v>325</v>
      </c>
      <c r="B9" s="513">
        <v>2190281.92</v>
      </c>
      <c r="C9" s="14"/>
    </row>
    <row r="10" spans="1:7" ht="24" customHeight="1">
      <c r="A10" s="14" t="s">
        <v>125</v>
      </c>
      <c r="B10" s="524">
        <v>4122117</v>
      </c>
      <c r="C10" s="14"/>
    </row>
    <row r="11" spans="1:7" ht="24" customHeight="1">
      <c r="A11" s="14" t="s">
        <v>392</v>
      </c>
      <c r="B11" s="513">
        <v>0.57999999999999996</v>
      </c>
      <c r="C11" s="14"/>
    </row>
    <row r="12" spans="1:7" ht="24" customHeight="1">
      <c r="A12" s="14" t="s">
        <v>393</v>
      </c>
      <c r="B12" s="524">
        <v>574737</v>
      </c>
      <c r="C12" s="14"/>
    </row>
    <row r="13" spans="1:7" ht="24" customHeight="1">
      <c r="A13" s="14" t="s">
        <v>394</v>
      </c>
      <c r="B13" s="524">
        <v>3547375</v>
      </c>
      <c r="C13" s="9"/>
      <c r="D13" s="16"/>
      <c r="E13" s="16"/>
      <c r="F13" s="16"/>
      <c r="G13" s="16"/>
    </row>
    <row r="14" spans="1:7" ht="24" customHeight="1">
      <c r="A14" s="14" t="s">
        <v>395</v>
      </c>
      <c r="B14" s="524">
        <v>56133</v>
      </c>
      <c r="C14" s="9"/>
      <c r="D14" s="16"/>
      <c r="E14" s="16"/>
      <c r="F14" s="16"/>
      <c r="G14" s="16"/>
    </row>
    <row r="15" spans="1:7" ht="24" customHeight="1">
      <c r="A15" s="14" t="s">
        <v>396</v>
      </c>
      <c r="B15" s="524">
        <v>893</v>
      </c>
      <c r="C15" s="9"/>
      <c r="D15" s="16"/>
      <c r="E15" s="16"/>
      <c r="F15" s="16"/>
      <c r="G15" s="16"/>
    </row>
    <row r="16" spans="1:7" ht="24" customHeight="1">
      <c r="A16" s="14" t="s">
        <v>397</v>
      </c>
      <c r="B16" s="21">
        <v>0.92330000000000001</v>
      </c>
      <c r="C16" s="9"/>
      <c r="D16" s="16"/>
      <c r="E16" s="16"/>
      <c r="F16" s="16"/>
      <c r="G16" s="16"/>
    </row>
    <row r="17" spans="1:7" ht="24" customHeight="1">
      <c r="A17" s="14" t="s">
        <v>398</v>
      </c>
      <c r="B17" s="21">
        <v>7.6700000000000004E-2</v>
      </c>
      <c r="C17" s="9"/>
      <c r="D17" s="16"/>
      <c r="E17" s="16"/>
      <c r="F17" s="16"/>
      <c r="G17" s="16"/>
    </row>
    <row r="18" spans="1:7" ht="24" customHeight="1">
      <c r="A18" s="14" t="s">
        <v>399</v>
      </c>
      <c r="B18" s="524">
        <v>5824</v>
      </c>
      <c r="C18" s="9"/>
    </row>
    <row r="19" spans="1:7" ht="24" customHeight="1">
      <c r="A19" s="14" t="s">
        <v>400</v>
      </c>
      <c r="B19" s="524">
        <v>3021</v>
      </c>
      <c r="C19" s="64"/>
    </row>
    <row r="20" spans="1:7" ht="24" customHeight="1">
      <c r="A20" s="14" t="s">
        <v>401</v>
      </c>
      <c r="B20" s="513">
        <v>597623.4</v>
      </c>
      <c r="C20" s="9"/>
    </row>
    <row r="21" spans="1:7" ht="24" customHeight="1">
      <c r="A21" s="14" t="s">
        <v>402</v>
      </c>
      <c r="B21" s="513">
        <v>779561</v>
      </c>
      <c r="C21" s="9"/>
    </row>
    <row r="22" spans="1:7" ht="24" customHeight="1">
      <c r="A22" s="14" t="s">
        <v>403</v>
      </c>
      <c r="B22" s="21">
        <v>0.76659999999999995</v>
      </c>
      <c r="C22" s="9"/>
    </row>
    <row r="23" spans="1:7" ht="24" customHeight="1">
      <c r="A23" s="14" t="s">
        <v>404</v>
      </c>
      <c r="B23" s="513">
        <v>181937.6</v>
      </c>
      <c r="C23" s="9"/>
    </row>
    <row r="24" spans="1:7" ht="24" customHeight="1">
      <c r="A24" s="14" t="s">
        <v>405</v>
      </c>
      <c r="B24" s="524">
        <v>18796</v>
      </c>
      <c r="C24" s="9"/>
      <c r="D24" s="16"/>
      <c r="E24" s="16"/>
      <c r="F24" s="16"/>
      <c r="G24" s="16"/>
    </row>
    <row r="25" spans="1:7" ht="24" customHeight="1">
      <c r="A25" s="14" t="s">
        <v>406</v>
      </c>
      <c r="B25" s="525">
        <v>597623.4</v>
      </c>
      <c r="C25" s="9"/>
      <c r="D25" t="b">
        <f>B25=B20</f>
        <v>1</v>
      </c>
    </row>
    <row r="26" spans="1:7" ht="24" customHeight="1">
      <c r="A26" s="14" t="s">
        <v>231</v>
      </c>
      <c r="B26" s="528">
        <v>760735</v>
      </c>
      <c r="C26" s="9"/>
    </row>
    <row r="27" spans="1:7" ht="24" customHeight="1">
      <c r="A27" s="14" t="s">
        <v>407</v>
      </c>
      <c r="B27" s="528">
        <f>+B26</f>
        <v>760735</v>
      </c>
      <c r="C27" s="9"/>
    </row>
    <row r="30" spans="1:7" ht="24" customHeight="1">
      <c r="A30" s="14"/>
      <c r="B30" s="17"/>
      <c r="C30" s="9"/>
    </row>
    <row r="31" spans="1:7" ht="24" customHeight="1">
      <c r="A31" s="14"/>
      <c r="B31" s="17"/>
      <c r="C31" s="9"/>
    </row>
    <row r="32" spans="1:7" ht="24" customHeight="1">
      <c r="A32" s="22"/>
      <c r="B32" s="177"/>
      <c r="C32" s="24"/>
    </row>
    <row r="33" spans="1:62" ht="24" customHeight="1">
      <c r="A33" s="14"/>
      <c r="B33" s="29"/>
      <c r="C33" s="9"/>
    </row>
    <row r="34" spans="1:62" ht="24" customHeight="1">
      <c r="B34" s="29"/>
      <c r="C34" s="9"/>
      <c r="BB34" s="28"/>
      <c r="BC34" s="16"/>
      <c r="BD34" s="16"/>
      <c r="BE34" s="16"/>
      <c r="BF34" s="16"/>
      <c r="BG34" s="16"/>
      <c r="BH34" s="16"/>
      <c r="BI34" s="16"/>
      <c r="BJ34" s="16"/>
    </row>
    <row r="35" spans="1:62" ht="24" customHeight="1">
      <c r="A35" s="14"/>
      <c r="B35" s="29"/>
      <c r="C35" s="27"/>
    </row>
    <row r="36" spans="1:62" ht="24" customHeight="1">
      <c r="A36" s="14"/>
      <c r="B36" s="17"/>
      <c r="C36" s="9"/>
    </row>
    <row r="37" spans="1:62" ht="24" customHeight="1">
      <c r="A37" s="14"/>
      <c r="B37" s="17"/>
      <c r="C37" s="9"/>
    </row>
    <row r="38" spans="1:62" ht="24" customHeight="1">
      <c r="A38" s="14"/>
      <c r="B38" s="17"/>
      <c r="C38" s="9"/>
    </row>
    <row r="39" spans="1:62" ht="24" customHeight="1">
      <c r="A39" s="14"/>
      <c r="B39" s="17"/>
      <c r="C39" s="9"/>
    </row>
    <row r="40" spans="1:62" ht="24" customHeight="1">
      <c r="A40" s="14"/>
      <c r="B40" s="17"/>
      <c r="C40" s="9"/>
    </row>
    <row r="41" spans="1:62" ht="24" customHeight="1">
      <c r="A41" s="14"/>
      <c r="B41" s="17"/>
      <c r="C41" s="9"/>
    </row>
    <row r="42" spans="1:62" ht="24" customHeight="1">
      <c r="C42" s="9"/>
    </row>
    <row r="43" spans="1:62" ht="24" customHeight="1">
      <c r="A43" s="14"/>
      <c r="B43" s="17"/>
      <c r="C43" s="9"/>
    </row>
    <row r="44" spans="1:62" ht="24" customHeight="1">
      <c r="A44" s="14"/>
      <c r="B44" s="177"/>
      <c r="C44" s="24"/>
    </row>
    <row r="45" spans="1:62" ht="24" customHeight="1">
      <c r="B45" s="29"/>
      <c r="C45" s="9"/>
      <c r="BB45" s="28"/>
      <c r="BC45" s="16"/>
      <c r="BD45" s="16"/>
      <c r="BE45" s="16"/>
      <c r="BF45" s="16"/>
      <c r="BG45" s="16"/>
      <c r="BH45" s="16"/>
      <c r="BI45" s="16"/>
      <c r="BJ45" s="16"/>
    </row>
    <row r="46" spans="1:62" ht="24" customHeight="1">
      <c r="A46" s="14"/>
      <c r="B46" s="29"/>
      <c r="C46" s="9"/>
      <c r="BB46" s="16"/>
      <c r="BC46" s="16"/>
      <c r="BD46" s="16"/>
      <c r="BE46" s="16"/>
      <c r="BF46" s="16"/>
      <c r="BG46" s="16"/>
      <c r="BH46" s="16"/>
      <c r="BI46" s="16"/>
      <c r="BJ46" s="16"/>
    </row>
    <row r="47" spans="1:62" ht="24" customHeight="1">
      <c r="A47" s="31"/>
      <c r="B47" s="178"/>
      <c r="C47" s="33"/>
    </row>
    <row r="48" spans="1:62" ht="24" customHeight="1">
      <c r="A48" s="14"/>
      <c r="B48" s="17"/>
      <c r="C48" s="9"/>
    </row>
    <row r="49" spans="1:3" ht="24" customHeight="1">
      <c r="A49" s="14"/>
      <c r="B49" s="17"/>
      <c r="C49" s="9"/>
    </row>
    <row r="50" spans="1:3" ht="24" customHeight="1">
      <c r="A50" s="14"/>
      <c r="B50" s="17"/>
      <c r="C50" s="9"/>
    </row>
    <row r="51" spans="1:3" ht="24" customHeight="1">
      <c r="A51" s="14"/>
      <c r="B51" s="17"/>
      <c r="C51" s="9"/>
    </row>
    <row r="52" spans="1:3" ht="24" customHeight="1">
      <c r="A52" s="14"/>
      <c r="B52" s="17"/>
      <c r="C52" s="9"/>
    </row>
    <row r="53" spans="1:3" ht="24" customHeight="1">
      <c r="A53" s="14"/>
      <c r="B53" s="17"/>
      <c r="C53" s="9"/>
    </row>
    <row r="54" spans="1:3" ht="24" customHeight="1">
      <c r="A54" s="18"/>
      <c r="B54" s="19"/>
      <c r="C54" s="20"/>
    </row>
    <row r="55" spans="1:3" ht="24" customHeight="1">
      <c r="A55" s="14"/>
      <c r="B55" s="17"/>
      <c r="C55" s="9"/>
    </row>
    <row r="56" spans="1:3" ht="24" customHeight="1">
      <c r="A56" s="14"/>
      <c r="B56" s="17"/>
      <c r="C56" s="9"/>
    </row>
    <row r="57" spans="1:3" ht="24" customHeight="1">
      <c r="A57" s="14"/>
      <c r="B57" s="17"/>
      <c r="C57" s="9"/>
    </row>
    <row r="58" spans="1:3" ht="24" customHeight="1">
      <c r="A58" s="14"/>
      <c r="B58" s="17"/>
      <c r="C58" s="9"/>
    </row>
    <row r="59" spans="1:3" ht="24" customHeight="1">
      <c r="A59" s="14"/>
      <c r="B59" s="17"/>
      <c r="C59" s="9"/>
    </row>
    <row r="60" spans="1:3" ht="24" customHeight="1">
      <c r="A60" s="14"/>
      <c r="B60" s="17"/>
      <c r="C60" s="9"/>
    </row>
    <row r="61" spans="1:3" ht="24" customHeight="1">
      <c r="A61" s="14"/>
      <c r="B61" s="17"/>
      <c r="C61" s="9"/>
    </row>
    <row r="62" spans="1:3" ht="24" customHeight="1">
      <c r="A62" s="14"/>
      <c r="B62" s="17"/>
      <c r="C62" s="9"/>
    </row>
    <row r="63" spans="1:3" ht="24" customHeight="1">
      <c r="A63" s="14"/>
      <c r="B63" s="17"/>
      <c r="C63" s="9"/>
    </row>
    <row r="64" spans="1:3" ht="24" customHeight="1">
      <c r="A64" s="14"/>
      <c r="B64" s="17"/>
      <c r="C64" s="9"/>
    </row>
    <row r="65" spans="1:3" ht="24" customHeight="1">
      <c r="A65" s="14"/>
      <c r="B65" s="17"/>
      <c r="C65" s="9"/>
    </row>
    <row r="66" spans="1:3" ht="24" customHeight="1">
      <c r="A66" s="14"/>
      <c r="B66" s="17"/>
      <c r="C66" s="9"/>
    </row>
    <row r="67" spans="1:3" ht="24" customHeight="1">
      <c r="A67" s="14"/>
      <c r="B67" s="17"/>
      <c r="C67" s="9"/>
    </row>
    <row r="68" spans="1:3" ht="24" customHeight="1">
      <c r="A68" s="14"/>
      <c r="B68" s="35"/>
      <c r="C68" s="9"/>
    </row>
    <row r="69" spans="1:3" ht="24" customHeight="1">
      <c r="A69" s="14"/>
      <c r="B69" s="35"/>
      <c r="C69" s="9"/>
    </row>
    <row r="70" spans="1:3" ht="24" customHeight="1">
      <c r="A70" s="14"/>
      <c r="B70" s="35"/>
      <c r="C70" s="9"/>
    </row>
    <row r="71" spans="1:3" ht="24" customHeight="1">
      <c r="A71" s="14"/>
      <c r="B71" s="35"/>
      <c r="C71" s="9"/>
    </row>
    <row r="72" spans="1:3" ht="24" customHeight="1">
      <c r="A72" s="14"/>
      <c r="B72" s="35"/>
      <c r="C72" s="9"/>
    </row>
    <row r="73" spans="1:3" ht="24" customHeight="1">
      <c r="A73" s="14"/>
      <c r="B73" s="17"/>
      <c r="C73" s="9"/>
    </row>
    <row r="74" spans="1:3" ht="24" customHeight="1">
      <c r="A74" s="14"/>
      <c r="B74" s="17"/>
      <c r="C74" s="9"/>
    </row>
    <row r="75" spans="1:3" ht="24" customHeight="1">
      <c r="A75" s="14"/>
      <c r="B75" s="17"/>
      <c r="C75" s="9"/>
    </row>
    <row r="76" spans="1:3" ht="24" customHeight="1">
      <c r="A76" s="14"/>
      <c r="B76" s="17"/>
      <c r="C76" s="9"/>
    </row>
    <row r="77" spans="1:3" ht="24" customHeight="1">
      <c r="A77" s="14"/>
      <c r="B77" s="17"/>
      <c r="C77" s="9"/>
    </row>
    <row r="78" spans="1:3" ht="24" customHeight="1">
      <c r="A78" s="14"/>
      <c r="B78" s="17"/>
      <c r="C78" s="9"/>
    </row>
    <row r="79" spans="1:3" ht="24" customHeight="1">
      <c r="A79" s="14"/>
      <c r="B79" s="17"/>
      <c r="C79" s="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IP40"/>
  <sheetViews>
    <sheetView workbookViewId="0">
      <selection activeCell="C3" sqref="C3:C30"/>
    </sheetView>
  </sheetViews>
  <sheetFormatPr defaultColWidth="12.140625" defaultRowHeight="15"/>
  <cols>
    <col min="1" max="1" width="10.5703125" style="530" customWidth="1"/>
    <col min="2" max="4" width="12.85546875" style="530" customWidth="1"/>
    <col min="5" max="5" width="11.85546875" style="530" customWidth="1"/>
    <col min="6" max="6" width="12.42578125" style="530" bestFit="1" customWidth="1"/>
    <col min="7" max="7" width="1.5703125" style="530" customWidth="1"/>
    <col min="8" max="8" width="12.42578125" style="530" bestFit="1" customWidth="1"/>
    <col min="9" max="9" width="2.85546875" style="530" customWidth="1"/>
    <col min="10" max="10" width="1.140625" style="530" customWidth="1"/>
    <col min="11" max="11" width="6.28515625" style="530" customWidth="1"/>
    <col min="12" max="16384" width="12.140625" style="530"/>
  </cols>
  <sheetData>
    <row r="1" spans="1:250" ht="32.25" customHeight="1" thickBot="1">
      <c r="A1" s="529" t="s">
        <v>546</v>
      </c>
      <c r="B1" s="1074">
        <f>'CHECK '!D2</f>
        <v>44680</v>
      </c>
      <c r="C1" s="1075"/>
      <c r="D1" s="596"/>
      <c r="E1" s="596"/>
      <c r="F1" s="596"/>
      <c r="G1" s="596"/>
      <c r="H1" s="596"/>
      <c r="I1" s="596"/>
      <c r="J1" s="596"/>
      <c r="K1" s="597"/>
    </row>
    <row r="2" spans="1:250" s="531" customFormat="1" ht="30" thickBot="1">
      <c r="A2" s="964" t="s">
        <v>547</v>
      </c>
      <c r="B2" s="965" t="s">
        <v>548</v>
      </c>
      <c r="C2" s="965" t="s">
        <v>549</v>
      </c>
      <c r="D2" s="966" t="s">
        <v>550</v>
      </c>
      <c r="E2" s="967" t="s">
        <v>823</v>
      </c>
      <c r="F2" s="968" t="s">
        <v>121</v>
      </c>
      <c r="G2" s="969"/>
      <c r="H2" s="970" t="s">
        <v>824</v>
      </c>
      <c r="I2" s="971"/>
      <c r="J2" s="972"/>
      <c r="K2" s="973" t="s">
        <v>547</v>
      </c>
    </row>
    <row r="3" spans="1:250" s="539" customFormat="1" ht="19.5" customHeight="1">
      <c r="A3" s="959">
        <v>101</v>
      </c>
      <c r="B3" s="960">
        <f>'101 (R)'!$F$43</f>
        <v>29577</v>
      </c>
      <c r="C3" s="960">
        <v>3056</v>
      </c>
      <c r="D3" s="591">
        <f t="shared" ref="D3:D34" si="0">+B3-C3</f>
        <v>26521</v>
      </c>
      <c r="E3" s="592">
        <v>1</v>
      </c>
      <c r="F3" s="961">
        <f t="shared" ref="F3:F34" si="1">+D3*E3</f>
        <v>26521</v>
      </c>
      <c r="G3" s="594"/>
      <c r="H3" s="962">
        <f t="shared" ref="H3:H34" si="2">F3</f>
        <v>26521</v>
      </c>
      <c r="I3" s="595"/>
      <c r="J3" s="538"/>
      <c r="K3" s="963">
        <f>A3</f>
        <v>101</v>
      </c>
      <c r="L3" s="538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30"/>
      <c r="Z3" s="530"/>
      <c r="AA3" s="530"/>
      <c r="AB3" s="530"/>
      <c r="AC3" s="530"/>
      <c r="AD3" s="530"/>
      <c r="AE3" s="530"/>
      <c r="AF3" s="530"/>
      <c r="AG3" s="530"/>
      <c r="AH3" s="530"/>
      <c r="AI3" s="530"/>
      <c r="AJ3" s="530"/>
      <c r="AK3" s="530"/>
      <c r="AL3" s="530"/>
      <c r="AM3" s="530"/>
      <c r="AN3" s="530"/>
      <c r="AO3" s="530"/>
      <c r="AP3" s="530"/>
      <c r="AQ3" s="530"/>
      <c r="AR3" s="530"/>
      <c r="AS3" s="530"/>
      <c r="AT3" s="530"/>
      <c r="AU3" s="530"/>
      <c r="AV3" s="530"/>
      <c r="AW3" s="530"/>
      <c r="AX3" s="530"/>
      <c r="AY3" s="530"/>
      <c r="AZ3" s="530"/>
      <c r="BA3" s="530"/>
      <c r="BB3" s="530"/>
      <c r="BC3" s="530"/>
      <c r="BD3" s="530"/>
      <c r="BE3" s="530"/>
      <c r="BF3" s="530"/>
      <c r="BG3" s="530"/>
      <c r="BH3" s="530"/>
      <c r="BI3" s="530"/>
      <c r="BJ3" s="530"/>
      <c r="BK3" s="530"/>
      <c r="BL3" s="530"/>
      <c r="BM3" s="530"/>
      <c r="BN3" s="530"/>
      <c r="BO3" s="530"/>
      <c r="BP3" s="530"/>
      <c r="BQ3" s="530"/>
      <c r="BR3" s="530"/>
      <c r="BS3" s="530"/>
      <c r="BT3" s="530"/>
      <c r="BU3" s="530"/>
      <c r="BV3" s="530"/>
      <c r="BW3" s="530"/>
      <c r="BX3" s="530"/>
      <c r="BY3" s="530"/>
      <c r="BZ3" s="530"/>
      <c r="CA3" s="530"/>
      <c r="CB3" s="530"/>
      <c r="CC3" s="530"/>
      <c r="CD3" s="530"/>
      <c r="CE3" s="530"/>
      <c r="CF3" s="530"/>
      <c r="CG3" s="530"/>
      <c r="CH3" s="530"/>
      <c r="CI3" s="530"/>
      <c r="CJ3" s="530"/>
      <c r="CK3" s="530"/>
      <c r="CL3" s="530"/>
      <c r="CM3" s="530"/>
      <c r="CN3" s="530"/>
      <c r="CO3" s="530"/>
      <c r="CP3" s="530"/>
      <c r="CQ3" s="530"/>
      <c r="CR3" s="530"/>
      <c r="CS3" s="530"/>
      <c r="CT3" s="530"/>
      <c r="CU3" s="530"/>
      <c r="CV3" s="530"/>
      <c r="CW3" s="530"/>
      <c r="CX3" s="530"/>
      <c r="CY3" s="530"/>
      <c r="CZ3" s="530"/>
      <c r="DA3" s="530"/>
      <c r="DB3" s="530"/>
      <c r="DC3" s="530"/>
      <c r="DD3" s="530"/>
      <c r="DE3" s="530"/>
      <c r="DF3" s="530"/>
      <c r="DG3" s="530"/>
      <c r="DH3" s="530"/>
      <c r="DI3" s="530"/>
      <c r="DJ3" s="530"/>
      <c r="DK3" s="530"/>
      <c r="DL3" s="530"/>
      <c r="DM3" s="530"/>
      <c r="DN3" s="530"/>
      <c r="DO3" s="530"/>
      <c r="DP3" s="530"/>
      <c r="DQ3" s="530"/>
      <c r="DR3" s="530"/>
      <c r="DS3" s="530"/>
      <c r="DT3" s="530"/>
      <c r="DU3" s="530"/>
      <c r="DV3" s="530"/>
      <c r="DW3" s="530"/>
      <c r="DX3" s="530"/>
      <c r="DY3" s="530"/>
      <c r="DZ3" s="530"/>
      <c r="EA3" s="530"/>
      <c r="EB3" s="530"/>
      <c r="EC3" s="530"/>
      <c r="ED3" s="530"/>
      <c r="EE3" s="530"/>
      <c r="EF3" s="530"/>
      <c r="EG3" s="530"/>
      <c r="EH3" s="530"/>
      <c r="EI3" s="530"/>
      <c r="EJ3" s="530"/>
      <c r="EK3" s="530"/>
      <c r="EL3" s="530"/>
      <c r="EM3" s="530"/>
      <c r="EN3" s="530"/>
      <c r="EO3" s="530"/>
      <c r="EP3" s="530"/>
      <c r="EQ3" s="530"/>
      <c r="ER3" s="530"/>
      <c r="ES3" s="530"/>
      <c r="ET3" s="530"/>
      <c r="EU3" s="530"/>
      <c r="EV3" s="530"/>
      <c r="EW3" s="530"/>
      <c r="EX3" s="530"/>
      <c r="EY3" s="530"/>
      <c r="EZ3" s="530"/>
      <c r="FA3" s="530"/>
      <c r="FB3" s="530"/>
      <c r="FC3" s="530"/>
      <c r="FD3" s="530"/>
      <c r="FE3" s="530"/>
      <c r="FF3" s="530"/>
      <c r="FG3" s="530"/>
      <c r="FH3" s="530"/>
      <c r="FI3" s="530"/>
      <c r="FJ3" s="530"/>
      <c r="FK3" s="530"/>
      <c r="FL3" s="530"/>
      <c r="FM3" s="530"/>
      <c r="FN3" s="530"/>
      <c r="FO3" s="530"/>
      <c r="FP3" s="530"/>
      <c r="FQ3" s="530"/>
      <c r="FR3" s="530"/>
      <c r="FS3" s="530"/>
      <c r="FT3" s="530"/>
      <c r="FU3" s="530"/>
      <c r="FV3" s="530"/>
      <c r="FW3" s="530"/>
      <c r="FX3" s="530"/>
      <c r="FY3" s="530"/>
      <c r="FZ3" s="530"/>
      <c r="GA3" s="530"/>
      <c r="GB3" s="530"/>
      <c r="GC3" s="530"/>
      <c r="GD3" s="530"/>
      <c r="GE3" s="530"/>
      <c r="GF3" s="530"/>
      <c r="GG3" s="530"/>
      <c r="GH3" s="530"/>
      <c r="GI3" s="530"/>
      <c r="GJ3" s="530"/>
      <c r="GK3" s="530"/>
      <c r="GL3" s="530"/>
      <c r="GM3" s="530"/>
      <c r="GN3" s="530"/>
      <c r="GO3" s="530"/>
      <c r="GP3" s="530"/>
      <c r="GQ3" s="530"/>
      <c r="GR3" s="530"/>
      <c r="GS3" s="530"/>
      <c r="GT3" s="530"/>
      <c r="GU3" s="530"/>
      <c r="GV3" s="530"/>
      <c r="GW3" s="530"/>
      <c r="GX3" s="530"/>
      <c r="GY3" s="530"/>
      <c r="GZ3" s="530"/>
      <c r="HA3" s="530"/>
      <c r="HB3" s="530"/>
      <c r="HC3" s="530"/>
      <c r="HD3" s="530"/>
      <c r="HE3" s="530"/>
      <c r="HF3" s="530"/>
      <c r="HG3" s="530"/>
      <c r="HH3" s="530"/>
      <c r="HI3" s="530"/>
      <c r="HJ3" s="530"/>
      <c r="HK3" s="530"/>
      <c r="HL3" s="530"/>
      <c r="HM3" s="530"/>
      <c r="HN3" s="530"/>
      <c r="HO3" s="530"/>
      <c r="HP3" s="530"/>
      <c r="HQ3" s="530"/>
      <c r="HR3" s="530"/>
      <c r="HS3" s="530"/>
      <c r="HT3" s="530"/>
      <c r="HU3" s="530"/>
      <c r="HV3" s="530"/>
      <c r="HW3" s="530"/>
      <c r="HX3" s="530"/>
      <c r="HY3" s="530"/>
      <c r="HZ3" s="530"/>
      <c r="IA3" s="530"/>
      <c r="IB3" s="530"/>
      <c r="IC3" s="530"/>
      <c r="ID3" s="530"/>
      <c r="IE3" s="530"/>
      <c r="IF3" s="530"/>
      <c r="IG3" s="530"/>
      <c r="IH3" s="530"/>
      <c r="II3" s="530"/>
      <c r="IJ3" s="530"/>
      <c r="IK3" s="530"/>
      <c r="IL3" s="530"/>
      <c r="IM3" s="530"/>
      <c r="IN3" s="530"/>
      <c r="IO3" s="530"/>
      <c r="IP3" s="530"/>
    </row>
    <row r="4" spans="1:250" s="539" customFormat="1" ht="19.5" customHeight="1">
      <c r="A4" s="598">
        <v>102</v>
      </c>
      <c r="B4" s="533">
        <f>'102 (R)'!$F$43</f>
        <v>51660</v>
      </c>
      <c r="C4" s="533">
        <v>6976</v>
      </c>
      <c r="D4" s="534">
        <f t="shared" si="0"/>
        <v>44684</v>
      </c>
      <c r="E4" s="535">
        <v>1</v>
      </c>
      <c r="F4" s="536">
        <f t="shared" si="1"/>
        <v>44684</v>
      </c>
      <c r="G4" s="537"/>
      <c r="H4" s="547">
        <f t="shared" si="2"/>
        <v>44684</v>
      </c>
      <c r="I4" s="551"/>
      <c r="J4" s="538"/>
      <c r="K4" s="599">
        <f t="shared" ref="K4:K30" si="3">A4</f>
        <v>102</v>
      </c>
      <c r="L4" s="538"/>
      <c r="M4" s="530"/>
      <c r="N4" s="530"/>
      <c r="O4" s="530"/>
      <c r="P4" s="530"/>
      <c r="Q4" s="530"/>
      <c r="R4" s="530"/>
      <c r="S4" s="530"/>
      <c r="T4" s="530"/>
      <c r="U4" s="530"/>
      <c r="V4" s="530"/>
      <c r="W4" s="530"/>
      <c r="X4" s="530"/>
      <c r="Y4" s="530"/>
      <c r="Z4" s="530"/>
      <c r="AA4" s="530"/>
      <c r="AB4" s="530"/>
      <c r="AC4" s="530"/>
      <c r="AD4" s="530"/>
      <c r="AE4" s="530"/>
      <c r="AF4" s="530"/>
      <c r="AG4" s="530"/>
      <c r="AH4" s="530"/>
      <c r="AI4" s="530"/>
      <c r="AJ4" s="530"/>
      <c r="AK4" s="530"/>
      <c r="AL4" s="530"/>
      <c r="AM4" s="530"/>
      <c r="AN4" s="530"/>
      <c r="AO4" s="530"/>
      <c r="AP4" s="530"/>
      <c r="AQ4" s="530"/>
      <c r="AR4" s="530"/>
      <c r="AS4" s="530"/>
      <c r="AT4" s="530"/>
      <c r="AU4" s="530"/>
      <c r="AV4" s="530"/>
      <c r="AW4" s="530"/>
      <c r="AX4" s="530"/>
      <c r="AY4" s="530"/>
      <c r="AZ4" s="530"/>
      <c r="BA4" s="530"/>
      <c r="BB4" s="530"/>
      <c r="BC4" s="530"/>
      <c r="BD4" s="530"/>
      <c r="BE4" s="530"/>
      <c r="BF4" s="530"/>
      <c r="BG4" s="530"/>
      <c r="BH4" s="530"/>
      <c r="BI4" s="530"/>
      <c r="BJ4" s="530"/>
      <c r="BK4" s="530"/>
      <c r="BL4" s="530"/>
      <c r="BM4" s="530"/>
      <c r="BN4" s="530"/>
      <c r="BO4" s="530"/>
      <c r="BP4" s="530"/>
      <c r="BQ4" s="530"/>
      <c r="BR4" s="530"/>
      <c r="BS4" s="530"/>
      <c r="BT4" s="530"/>
      <c r="BU4" s="530"/>
      <c r="BV4" s="530"/>
      <c r="BW4" s="530"/>
      <c r="BX4" s="530"/>
      <c r="BY4" s="530"/>
      <c r="BZ4" s="530"/>
      <c r="CA4" s="530"/>
      <c r="CB4" s="530"/>
      <c r="CC4" s="530"/>
      <c r="CD4" s="530"/>
      <c r="CE4" s="530"/>
      <c r="CF4" s="530"/>
      <c r="CG4" s="530"/>
      <c r="CH4" s="530"/>
      <c r="CI4" s="530"/>
      <c r="CJ4" s="530"/>
      <c r="CK4" s="530"/>
      <c r="CL4" s="530"/>
      <c r="CM4" s="530"/>
      <c r="CN4" s="530"/>
      <c r="CO4" s="530"/>
      <c r="CP4" s="530"/>
      <c r="CQ4" s="530"/>
      <c r="CR4" s="530"/>
      <c r="CS4" s="530"/>
      <c r="CT4" s="530"/>
      <c r="CU4" s="530"/>
      <c r="CV4" s="530"/>
      <c r="CW4" s="530"/>
      <c r="CX4" s="530"/>
      <c r="CY4" s="530"/>
      <c r="CZ4" s="530"/>
      <c r="DA4" s="530"/>
      <c r="DB4" s="530"/>
      <c r="DC4" s="530"/>
      <c r="DD4" s="530"/>
      <c r="DE4" s="530"/>
      <c r="DF4" s="530"/>
      <c r="DG4" s="530"/>
      <c r="DH4" s="530"/>
      <c r="DI4" s="530"/>
      <c r="DJ4" s="530"/>
      <c r="DK4" s="530"/>
      <c r="DL4" s="530"/>
      <c r="DM4" s="530"/>
      <c r="DN4" s="530"/>
      <c r="DO4" s="530"/>
      <c r="DP4" s="530"/>
      <c r="DQ4" s="530"/>
      <c r="DR4" s="530"/>
      <c r="DS4" s="530"/>
      <c r="DT4" s="530"/>
      <c r="DU4" s="530"/>
      <c r="DV4" s="530"/>
      <c r="DW4" s="530"/>
      <c r="DX4" s="530"/>
      <c r="DY4" s="530"/>
      <c r="DZ4" s="530"/>
      <c r="EA4" s="530"/>
      <c r="EB4" s="530"/>
      <c r="EC4" s="530"/>
      <c r="ED4" s="530"/>
      <c r="EE4" s="530"/>
      <c r="EF4" s="530"/>
      <c r="EG4" s="530"/>
      <c r="EH4" s="530"/>
      <c r="EI4" s="530"/>
      <c r="EJ4" s="530"/>
      <c r="EK4" s="530"/>
      <c r="EL4" s="530"/>
      <c r="EM4" s="530"/>
      <c r="EN4" s="530"/>
      <c r="EO4" s="530"/>
      <c r="EP4" s="530"/>
      <c r="EQ4" s="530"/>
      <c r="ER4" s="530"/>
      <c r="ES4" s="530"/>
      <c r="ET4" s="530"/>
      <c r="EU4" s="530"/>
      <c r="EV4" s="530"/>
      <c r="EW4" s="530"/>
      <c r="EX4" s="530"/>
      <c r="EY4" s="530"/>
      <c r="EZ4" s="530"/>
      <c r="FA4" s="530"/>
      <c r="FB4" s="530"/>
      <c r="FC4" s="530"/>
      <c r="FD4" s="530"/>
      <c r="FE4" s="530"/>
      <c r="FF4" s="530"/>
      <c r="FG4" s="530"/>
      <c r="FH4" s="530"/>
      <c r="FI4" s="530"/>
      <c r="FJ4" s="530"/>
      <c r="FK4" s="530"/>
      <c r="FL4" s="530"/>
      <c r="FM4" s="530"/>
      <c r="FN4" s="530"/>
      <c r="FO4" s="530"/>
      <c r="FP4" s="530"/>
      <c r="FQ4" s="530"/>
      <c r="FR4" s="530"/>
      <c r="FS4" s="530"/>
      <c r="FT4" s="530"/>
      <c r="FU4" s="530"/>
      <c r="FV4" s="530"/>
      <c r="FW4" s="530"/>
      <c r="FX4" s="530"/>
      <c r="FY4" s="530"/>
      <c r="FZ4" s="530"/>
      <c r="GA4" s="530"/>
      <c r="GB4" s="530"/>
      <c r="GC4" s="530"/>
      <c r="GD4" s="530"/>
      <c r="GE4" s="530"/>
      <c r="GF4" s="530"/>
      <c r="GG4" s="530"/>
      <c r="GH4" s="530"/>
      <c r="GI4" s="530"/>
      <c r="GJ4" s="530"/>
      <c r="GK4" s="530"/>
      <c r="GL4" s="530"/>
      <c r="GM4" s="530"/>
      <c r="GN4" s="530"/>
      <c r="GO4" s="530"/>
      <c r="GP4" s="530"/>
      <c r="GQ4" s="530"/>
      <c r="GR4" s="530"/>
      <c r="GS4" s="530"/>
      <c r="GT4" s="530"/>
      <c r="GU4" s="530"/>
      <c r="GV4" s="530"/>
      <c r="GW4" s="530"/>
      <c r="GX4" s="530"/>
      <c r="GY4" s="530"/>
      <c r="GZ4" s="530"/>
      <c r="HA4" s="530"/>
      <c r="HB4" s="530"/>
      <c r="HC4" s="530"/>
      <c r="HD4" s="530"/>
      <c r="HE4" s="530"/>
      <c r="HF4" s="530"/>
      <c r="HG4" s="530"/>
      <c r="HH4" s="530"/>
      <c r="HI4" s="530"/>
      <c r="HJ4" s="530"/>
      <c r="HK4" s="530"/>
      <c r="HL4" s="530"/>
      <c r="HM4" s="530"/>
      <c r="HN4" s="530"/>
      <c r="HO4" s="530"/>
      <c r="HP4" s="530"/>
      <c r="HQ4" s="530"/>
      <c r="HR4" s="530"/>
      <c r="HS4" s="530"/>
      <c r="HT4" s="530"/>
      <c r="HU4" s="530"/>
      <c r="HV4" s="530"/>
      <c r="HW4" s="530"/>
      <c r="HX4" s="530"/>
      <c r="HY4" s="530"/>
      <c r="HZ4" s="530"/>
      <c r="IA4" s="530"/>
      <c r="IB4" s="530"/>
      <c r="IC4" s="530"/>
      <c r="ID4" s="530"/>
      <c r="IE4" s="530"/>
      <c r="IF4" s="530"/>
      <c r="IG4" s="530"/>
      <c r="IH4" s="530"/>
      <c r="II4" s="530"/>
      <c r="IJ4" s="530"/>
      <c r="IK4" s="530"/>
      <c r="IL4" s="530"/>
      <c r="IM4" s="530"/>
      <c r="IN4" s="530"/>
      <c r="IO4" s="530"/>
      <c r="IP4" s="530"/>
    </row>
    <row r="5" spans="1:250" s="539" customFormat="1" ht="19.5" customHeight="1">
      <c r="A5" s="598">
        <v>103</v>
      </c>
      <c r="B5" s="533">
        <f>+'103 (R)'!$F$43</f>
        <v>5111</v>
      </c>
      <c r="C5" s="533">
        <v>5317</v>
      </c>
      <c r="D5" s="534">
        <f t="shared" si="0"/>
        <v>-206</v>
      </c>
      <c r="E5" s="535">
        <v>1</v>
      </c>
      <c r="F5" s="536">
        <f t="shared" si="1"/>
        <v>-206</v>
      </c>
      <c r="G5" s="537"/>
      <c r="H5" s="547">
        <f t="shared" si="2"/>
        <v>-206</v>
      </c>
      <c r="I5" s="551"/>
      <c r="J5" s="538"/>
      <c r="K5" s="599">
        <f t="shared" si="3"/>
        <v>103</v>
      </c>
      <c r="L5" s="538"/>
      <c r="M5" s="530"/>
      <c r="N5" s="530"/>
      <c r="O5" s="530"/>
      <c r="P5" s="530"/>
      <c r="Q5" s="530"/>
      <c r="R5" s="530"/>
      <c r="S5" s="530"/>
      <c r="T5" s="530"/>
      <c r="U5" s="530"/>
      <c r="V5" s="530"/>
      <c r="W5" s="530"/>
      <c r="X5" s="530"/>
      <c r="Y5" s="530"/>
      <c r="Z5" s="530"/>
      <c r="AA5" s="530"/>
      <c r="AB5" s="530"/>
      <c r="AC5" s="530"/>
      <c r="AD5" s="530"/>
      <c r="AE5" s="530"/>
      <c r="AF5" s="530"/>
      <c r="AG5" s="530"/>
      <c r="AH5" s="530"/>
      <c r="AI5" s="530"/>
      <c r="AJ5" s="530"/>
      <c r="AK5" s="530"/>
      <c r="AL5" s="530"/>
      <c r="AM5" s="530"/>
      <c r="AN5" s="530"/>
      <c r="AO5" s="530"/>
      <c r="AP5" s="530"/>
      <c r="AQ5" s="530"/>
      <c r="AR5" s="530"/>
      <c r="AS5" s="530"/>
      <c r="AT5" s="530"/>
      <c r="AU5" s="530"/>
      <c r="AV5" s="530"/>
      <c r="AW5" s="530"/>
      <c r="AX5" s="530"/>
      <c r="AY5" s="530"/>
      <c r="AZ5" s="530"/>
      <c r="BA5" s="530"/>
      <c r="BB5" s="530"/>
      <c r="BC5" s="530"/>
      <c r="BD5" s="530"/>
      <c r="BE5" s="530"/>
      <c r="BF5" s="530"/>
      <c r="BG5" s="530"/>
      <c r="BH5" s="530"/>
      <c r="BI5" s="530"/>
      <c r="BJ5" s="530"/>
      <c r="BK5" s="530"/>
      <c r="BL5" s="530"/>
      <c r="BM5" s="530"/>
      <c r="BN5" s="530"/>
      <c r="BO5" s="530"/>
      <c r="BP5" s="530"/>
      <c r="BQ5" s="530"/>
      <c r="BR5" s="530"/>
      <c r="BS5" s="530"/>
      <c r="BT5" s="530"/>
      <c r="BU5" s="530"/>
      <c r="BV5" s="530"/>
      <c r="BW5" s="530"/>
      <c r="BX5" s="530"/>
      <c r="BY5" s="530"/>
      <c r="BZ5" s="530"/>
      <c r="CA5" s="530"/>
      <c r="CB5" s="530"/>
      <c r="CC5" s="530"/>
      <c r="CD5" s="530"/>
      <c r="CE5" s="530"/>
      <c r="CF5" s="530"/>
      <c r="CG5" s="530"/>
      <c r="CH5" s="530"/>
      <c r="CI5" s="530"/>
      <c r="CJ5" s="530"/>
      <c r="CK5" s="530"/>
      <c r="CL5" s="530"/>
      <c r="CM5" s="530"/>
      <c r="CN5" s="530"/>
      <c r="CO5" s="530"/>
      <c r="CP5" s="530"/>
      <c r="CQ5" s="530"/>
      <c r="CR5" s="530"/>
      <c r="CS5" s="530"/>
      <c r="CT5" s="530"/>
      <c r="CU5" s="530"/>
      <c r="CV5" s="530"/>
      <c r="CW5" s="530"/>
      <c r="CX5" s="530"/>
      <c r="CY5" s="530"/>
      <c r="CZ5" s="530"/>
      <c r="DA5" s="530"/>
      <c r="DB5" s="530"/>
      <c r="DC5" s="530"/>
      <c r="DD5" s="530"/>
      <c r="DE5" s="530"/>
      <c r="DF5" s="530"/>
      <c r="DG5" s="530"/>
      <c r="DH5" s="530"/>
      <c r="DI5" s="530"/>
      <c r="DJ5" s="530"/>
      <c r="DK5" s="530"/>
      <c r="DL5" s="530"/>
      <c r="DM5" s="530"/>
      <c r="DN5" s="530"/>
      <c r="DO5" s="530"/>
      <c r="DP5" s="530"/>
      <c r="DQ5" s="530"/>
      <c r="DR5" s="530"/>
      <c r="DS5" s="530"/>
      <c r="DT5" s="530"/>
      <c r="DU5" s="530"/>
      <c r="DV5" s="530"/>
      <c r="DW5" s="530"/>
      <c r="DX5" s="530"/>
      <c r="DY5" s="530"/>
      <c r="DZ5" s="530"/>
      <c r="EA5" s="530"/>
      <c r="EB5" s="530"/>
      <c r="EC5" s="530"/>
      <c r="ED5" s="530"/>
      <c r="EE5" s="530"/>
      <c r="EF5" s="530"/>
      <c r="EG5" s="530"/>
      <c r="EH5" s="530"/>
      <c r="EI5" s="530"/>
      <c r="EJ5" s="530"/>
      <c r="EK5" s="530"/>
      <c r="EL5" s="530"/>
      <c r="EM5" s="530"/>
      <c r="EN5" s="530"/>
      <c r="EO5" s="530"/>
      <c r="EP5" s="530"/>
      <c r="EQ5" s="530"/>
      <c r="ER5" s="530"/>
      <c r="ES5" s="530"/>
      <c r="ET5" s="530"/>
      <c r="EU5" s="530"/>
      <c r="EV5" s="530"/>
      <c r="EW5" s="530"/>
      <c r="EX5" s="530"/>
      <c r="EY5" s="530"/>
      <c r="EZ5" s="530"/>
      <c r="FA5" s="530"/>
      <c r="FB5" s="530"/>
      <c r="FC5" s="530"/>
      <c r="FD5" s="530"/>
      <c r="FE5" s="530"/>
      <c r="FF5" s="530"/>
      <c r="FG5" s="530"/>
      <c r="FH5" s="530"/>
      <c r="FI5" s="530"/>
      <c r="FJ5" s="530"/>
      <c r="FK5" s="530"/>
      <c r="FL5" s="530"/>
      <c r="FM5" s="530"/>
      <c r="FN5" s="530"/>
      <c r="FO5" s="530"/>
      <c r="FP5" s="530"/>
      <c r="FQ5" s="530"/>
      <c r="FR5" s="530"/>
      <c r="FS5" s="530"/>
      <c r="FT5" s="530"/>
      <c r="FU5" s="530"/>
      <c r="FV5" s="530"/>
      <c r="FW5" s="530"/>
      <c r="FX5" s="530"/>
      <c r="FY5" s="530"/>
      <c r="FZ5" s="530"/>
      <c r="GA5" s="530"/>
      <c r="GB5" s="530"/>
      <c r="GC5" s="530"/>
      <c r="GD5" s="530"/>
      <c r="GE5" s="530"/>
      <c r="GF5" s="530"/>
      <c r="GG5" s="530"/>
      <c r="GH5" s="530"/>
      <c r="GI5" s="530"/>
      <c r="GJ5" s="530"/>
      <c r="GK5" s="530"/>
      <c r="GL5" s="530"/>
      <c r="GM5" s="530"/>
      <c r="GN5" s="530"/>
      <c r="GO5" s="530"/>
      <c r="GP5" s="530"/>
      <c r="GQ5" s="530"/>
      <c r="GR5" s="530"/>
      <c r="GS5" s="530"/>
      <c r="GT5" s="530"/>
      <c r="GU5" s="530"/>
      <c r="GV5" s="530"/>
      <c r="GW5" s="530"/>
      <c r="GX5" s="530"/>
      <c r="GY5" s="530"/>
      <c r="GZ5" s="530"/>
      <c r="HA5" s="530"/>
      <c r="HB5" s="530"/>
      <c r="HC5" s="530"/>
      <c r="HD5" s="530"/>
      <c r="HE5" s="530"/>
      <c r="HF5" s="530"/>
      <c r="HG5" s="530"/>
      <c r="HH5" s="530"/>
      <c r="HI5" s="530"/>
      <c r="HJ5" s="530"/>
      <c r="HK5" s="530"/>
      <c r="HL5" s="530"/>
      <c r="HM5" s="530"/>
      <c r="HN5" s="530"/>
      <c r="HO5" s="530"/>
      <c r="HP5" s="530"/>
      <c r="HQ5" s="530"/>
      <c r="HR5" s="530"/>
      <c r="HS5" s="530"/>
      <c r="HT5" s="530"/>
      <c r="HU5" s="530"/>
      <c r="HV5" s="530"/>
      <c r="HW5" s="530"/>
      <c r="HX5" s="530"/>
      <c r="HY5" s="530"/>
      <c r="HZ5" s="530"/>
      <c r="IA5" s="530"/>
      <c r="IB5" s="530"/>
      <c r="IC5" s="530"/>
      <c r="ID5" s="530"/>
      <c r="IE5" s="530"/>
      <c r="IF5" s="530"/>
      <c r="IG5" s="530"/>
      <c r="IH5" s="530"/>
      <c r="II5" s="530"/>
      <c r="IJ5" s="530"/>
      <c r="IK5" s="530"/>
      <c r="IL5" s="530"/>
      <c r="IM5" s="530"/>
      <c r="IN5" s="530"/>
      <c r="IO5" s="530"/>
      <c r="IP5" s="530"/>
    </row>
    <row r="6" spans="1:250" s="539" customFormat="1" ht="19.5" customHeight="1">
      <c r="A6" s="598">
        <v>114</v>
      </c>
      <c r="B6" s="533">
        <f>+'114 (R)'!$F$26</f>
        <v>761401</v>
      </c>
      <c r="C6" s="533">
        <v>81934</v>
      </c>
      <c r="D6" s="534">
        <f t="shared" si="0"/>
        <v>679467</v>
      </c>
      <c r="E6" s="535">
        <v>1</v>
      </c>
      <c r="F6" s="536">
        <f t="shared" si="1"/>
        <v>679467</v>
      </c>
      <c r="G6" s="537"/>
      <c r="H6" s="547">
        <f t="shared" si="2"/>
        <v>679467</v>
      </c>
      <c r="I6" s="551"/>
      <c r="J6" s="538"/>
      <c r="K6" s="599">
        <f t="shared" si="3"/>
        <v>114</v>
      </c>
      <c r="L6" s="538"/>
      <c r="M6" s="530"/>
      <c r="N6" s="530"/>
      <c r="O6" s="530"/>
      <c r="P6" s="530"/>
      <c r="Q6" s="530"/>
      <c r="R6" s="530"/>
      <c r="S6" s="530"/>
      <c r="T6" s="530"/>
      <c r="U6" s="530"/>
      <c r="V6" s="530"/>
      <c r="W6" s="530"/>
      <c r="X6" s="530"/>
      <c r="Y6" s="530"/>
      <c r="Z6" s="530"/>
      <c r="AA6" s="530"/>
      <c r="AB6" s="530"/>
      <c r="AC6" s="530"/>
      <c r="AD6" s="530"/>
      <c r="AE6" s="530"/>
      <c r="AF6" s="530"/>
      <c r="AG6" s="530"/>
      <c r="AH6" s="530"/>
      <c r="AI6" s="530"/>
      <c r="AJ6" s="530"/>
      <c r="AK6" s="530"/>
      <c r="AL6" s="530"/>
      <c r="AM6" s="530"/>
      <c r="AN6" s="530"/>
      <c r="AO6" s="530"/>
      <c r="AP6" s="530"/>
      <c r="AQ6" s="530"/>
      <c r="AR6" s="530"/>
      <c r="AS6" s="530"/>
      <c r="AT6" s="530"/>
      <c r="AU6" s="530"/>
      <c r="AV6" s="530"/>
      <c r="AW6" s="530"/>
      <c r="AX6" s="530"/>
      <c r="AY6" s="530"/>
      <c r="AZ6" s="530"/>
      <c r="BA6" s="530"/>
      <c r="BB6" s="530"/>
      <c r="BC6" s="530"/>
      <c r="BD6" s="530"/>
      <c r="BE6" s="530"/>
      <c r="BF6" s="530"/>
      <c r="BG6" s="530"/>
      <c r="BH6" s="530"/>
      <c r="BI6" s="530"/>
      <c r="BJ6" s="530"/>
      <c r="BK6" s="530"/>
      <c r="BL6" s="530"/>
      <c r="BM6" s="530"/>
      <c r="BN6" s="530"/>
      <c r="BO6" s="530"/>
      <c r="BP6" s="530"/>
      <c r="BQ6" s="530"/>
      <c r="BR6" s="530"/>
      <c r="BS6" s="530"/>
      <c r="BT6" s="530"/>
      <c r="BU6" s="530"/>
      <c r="BV6" s="530"/>
      <c r="BW6" s="530"/>
      <c r="BX6" s="530"/>
      <c r="BY6" s="530"/>
      <c r="BZ6" s="530"/>
      <c r="CA6" s="530"/>
      <c r="CB6" s="530"/>
      <c r="CC6" s="530"/>
      <c r="CD6" s="530"/>
      <c r="CE6" s="530"/>
      <c r="CF6" s="530"/>
      <c r="CG6" s="530"/>
      <c r="CH6" s="530"/>
      <c r="CI6" s="530"/>
      <c r="CJ6" s="530"/>
      <c r="CK6" s="530"/>
      <c r="CL6" s="530"/>
      <c r="CM6" s="530"/>
      <c r="CN6" s="530"/>
      <c r="CO6" s="530"/>
      <c r="CP6" s="530"/>
      <c r="CQ6" s="530"/>
      <c r="CR6" s="530"/>
      <c r="CS6" s="530"/>
      <c r="CT6" s="530"/>
      <c r="CU6" s="530"/>
      <c r="CV6" s="530"/>
      <c r="CW6" s="530"/>
      <c r="CX6" s="530"/>
      <c r="CY6" s="530"/>
      <c r="CZ6" s="530"/>
      <c r="DA6" s="530"/>
      <c r="DB6" s="530"/>
      <c r="DC6" s="530"/>
      <c r="DD6" s="530"/>
      <c r="DE6" s="530"/>
      <c r="DF6" s="530"/>
      <c r="DG6" s="530"/>
      <c r="DH6" s="530"/>
      <c r="DI6" s="530"/>
      <c r="DJ6" s="530"/>
      <c r="DK6" s="530"/>
      <c r="DL6" s="530"/>
      <c r="DM6" s="530"/>
      <c r="DN6" s="530"/>
      <c r="DO6" s="530"/>
      <c r="DP6" s="530"/>
      <c r="DQ6" s="530"/>
      <c r="DR6" s="530"/>
      <c r="DS6" s="530"/>
      <c r="DT6" s="530"/>
      <c r="DU6" s="530"/>
      <c r="DV6" s="530"/>
      <c r="DW6" s="530"/>
      <c r="DX6" s="530"/>
      <c r="DY6" s="530"/>
      <c r="DZ6" s="530"/>
      <c r="EA6" s="530"/>
      <c r="EB6" s="530"/>
      <c r="EC6" s="530"/>
      <c r="ED6" s="530"/>
      <c r="EE6" s="530"/>
      <c r="EF6" s="530"/>
      <c r="EG6" s="530"/>
      <c r="EH6" s="530"/>
      <c r="EI6" s="530"/>
      <c r="EJ6" s="530"/>
      <c r="EK6" s="530"/>
      <c r="EL6" s="530"/>
      <c r="EM6" s="530"/>
      <c r="EN6" s="530"/>
      <c r="EO6" s="530"/>
      <c r="EP6" s="530"/>
      <c r="EQ6" s="530"/>
      <c r="ER6" s="530"/>
      <c r="ES6" s="530"/>
      <c r="ET6" s="530"/>
      <c r="EU6" s="530"/>
      <c r="EV6" s="530"/>
      <c r="EW6" s="530"/>
      <c r="EX6" s="530"/>
      <c r="EY6" s="530"/>
      <c r="EZ6" s="530"/>
      <c r="FA6" s="530"/>
      <c r="FB6" s="530"/>
      <c r="FC6" s="530"/>
      <c r="FD6" s="530"/>
      <c r="FE6" s="530"/>
      <c r="FF6" s="530"/>
      <c r="FG6" s="530"/>
      <c r="FH6" s="530"/>
      <c r="FI6" s="530"/>
      <c r="FJ6" s="530"/>
      <c r="FK6" s="530"/>
      <c r="FL6" s="530"/>
      <c r="FM6" s="530"/>
      <c r="FN6" s="530"/>
      <c r="FO6" s="530"/>
      <c r="FP6" s="530"/>
      <c r="FQ6" s="530"/>
      <c r="FR6" s="530"/>
      <c r="FS6" s="530"/>
      <c r="FT6" s="530"/>
      <c r="FU6" s="530"/>
      <c r="FV6" s="530"/>
      <c r="FW6" s="530"/>
      <c r="FX6" s="530"/>
      <c r="FY6" s="530"/>
      <c r="FZ6" s="530"/>
      <c r="GA6" s="530"/>
      <c r="GB6" s="530"/>
      <c r="GC6" s="530"/>
      <c r="GD6" s="530"/>
      <c r="GE6" s="530"/>
      <c r="GF6" s="530"/>
      <c r="GG6" s="530"/>
      <c r="GH6" s="530"/>
      <c r="GI6" s="530"/>
      <c r="GJ6" s="530"/>
      <c r="GK6" s="530"/>
      <c r="GL6" s="530"/>
      <c r="GM6" s="530"/>
      <c r="GN6" s="530"/>
      <c r="GO6" s="530"/>
      <c r="GP6" s="530"/>
      <c r="GQ6" s="530"/>
      <c r="GR6" s="530"/>
      <c r="GS6" s="530"/>
      <c r="GT6" s="530"/>
      <c r="GU6" s="530"/>
      <c r="GV6" s="530"/>
      <c r="GW6" s="530"/>
      <c r="GX6" s="530"/>
      <c r="GY6" s="530"/>
      <c r="GZ6" s="530"/>
      <c r="HA6" s="530"/>
      <c r="HB6" s="530"/>
      <c r="HC6" s="530"/>
      <c r="HD6" s="530"/>
      <c r="HE6" s="530"/>
      <c r="HF6" s="530"/>
      <c r="HG6" s="530"/>
      <c r="HH6" s="530"/>
      <c r="HI6" s="530"/>
      <c r="HJ6" s="530"/>
      <c r="HK6" s="530"/>
      <c r="HL6" s="530"/>
      <c r="HM6" s="530"/>
      <c r="HN6" s="530"/>
      <c r="HO6" s="530"/>
      <c r="HP6" s="530"/>
      <c r="HQ6" s="530"/>
      <c r="HR6" s="530"/>
      <c r="HS6" s="530"/>
      <c r="HT6" s="530"/>
      <c r="HU6" s="530"/>
      <c r="HV6" s="530"/>
      <c r="HW6" s="530"/>
      <c r="HX6" s="530"/>
      <c r="HY6" s="530"/>
      <c r="HZ6" s="530"/>
      <c r="IA6" s="530"/>
      <c r="IB6" s="530"/>
      <c r="IC6" s="530"/>
      <c r="ID6" s="530"/>
      <c r="IE6" s="530"/>
      <c r="IF6" s="530"/>
      <c r="IG6" s="530"/>
      <c r="IH6" s="530"/>
      <c r="II6" s="530"/>
      <c r="IJ6" s="530"/>
      <c r="IK6" s="530"/>
      <c r="IL6" s="530"/>
      <c r="IM6" s="530"/>
      <c r="IN6" s="530"/>
      <c r="IO6" s="530"/>
      <c r="IP6" s="530"/>
    </row>
    <row r="7" spans="1:250" s="539" customFormat="1" ht="19.5" customHeight="1">
      <c r="A7" s="598">
        <v>119</v>
      </c>
      <c r="B7" s="533">
        <f>+'119 (R)'!$F$25</f>
        <v>583315</v>
      </c>
      <c r="C7" s="533">
        <v>61513</v>
      </c>
      <c r="D7" s="534">
        <f t="shared" si="0"/>
        <v>521802</v>
      </c>
      <c r="E7" s="535">
        <v>1</v>
      </c>
      <c r="F7" s="536">
        <f t="shared" si="1"/>
        <v>521802</v>
      </c>
      <c r="G7" s="537"/>
      <c r="H7" s="547">
        <f t="shared" si="2"/>
        <v>521802</v>
      </c>
      <c r="I7" s="551"/>
      <c r="J7" s="538"/>
      <c r="K7" s="599">
        <f t="shared" si="3"/>
        <v>119</v>
      </c>
      <c r="L7" s="538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0"/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30"/>
      <c r="AS7" s="530"/>
      <c r="AT7" s="530"/>
      <c r="AU7" s="530"/>
      <c r="AV7" s="530"/>
      <c r="AW7" s="530"/>
      <c r="AX7" s="530"/>
      <c r="AY7" s="530"/>
      <c r="AZ7" s="530"/>
      <c r="BA7" s="530"/>
      <c r="BB7" s="530"/>
      <c r="BC7" s="530"/>
      <c r="BD7" s="530"/>
      <c r="BE7" s="530"/>
      <c r="BF7" s="530"/>
      <c r="BG7" s="530"/>
      <c r="BH7" s="530"/>
      <c r="BI7" s="530"/>
      <c r="BJ7" s="530"/>
      <c r="BK7" s="530"/>
      <c r="BL7" s="530"/>
      <c r="BM7" s="530"/>
      <c r="BN7" s="530"/>
      <c r="BO7" s="530"/>
      <c r="BP7" s="530"/>
      <c r="BQ7" s="530"/>
      <c r="BR7" s="530"/>
      <c r="BS7" s="530"/>
      <c r="BT7" s="530"/>
      <c r="BU7" s="530"/>
      <c r="BV7" s="530"/>
      <c r="BW7" s="530"/>
      <c r="BX7" s="530"/>
      <c r="BY7" s="530"/>
      <c r="BZ7" s="530"/>
      <c r="CA7" s="530"/>
      <c r="CB7" s="530"/>
      <c r="CC7" s="530"/>
      <c r="CD7" s="530"/>
      <c r="CE7" s="530"/>
      <c r="CF7" s="530"/>
      <c r="CG7" s="530"/>
      <c r="CH7" s="530"/>
      <c r="CI7" s="530"/>
      <c r="CJ7" s="530"/>
      <c r="CK7" s="530"/>
      <c r="CL7" s="530"/>
      <c r="CM7" s="530"/>
      <c r="CN7" s="530"/>
      <c r="CO7" s="530"/>
      <c r="CP7" s="530"/>
      <c r="CQ7" s="530"/>
      <c r="CR7" s="530"/>
      <c r="CS7" s="530"/>
      <c r="CT7" s="530"/>
      <c r="CU7" s="530"/>
      <c r="CV7" s="530"/>
      <c r="CW7" s="530"/>
      <c r="CX7" s="530"/>
      <c r="CY7" s="530"/>
      <c r="CZ7" s="530"/>
      <c r="DA7" s="530"/>
      <c r="DB7" s="530"/>
      <c r="DC7" s="530"/>
      <c r="DD7" s="530"/>
      <c r="DE7" s="530"/>
      <c r="DF7" s="530"/>
      <c r="DG7" s="530"/>
      <c r="DH7" s="530"/>
      <c r="DI7" s="530"/>
      <c r="DJ7" s="530"/>
      <c r="DK7" s="530"/>
      <c r="DL7" s="530"/>
      <c r="DM7" s="530"/>
      <c r="DN7" s="530"/>
      <c r="DO7" s="530"/>
      <c r="DP7" s="530"/>
      <c r="DQ7" s="530"/>
      <c r="DR7" s="530"/>
      <c r="DS7" s="530"/>
      <c r="DT7" s="530"/>
      <c r="DU7" s="530"/>
      <c r="DV7" s="530"/>
      <c r="DW7" s="530"/>
      <c r="DX7" s="530"/>
      <c r="DY7" s="530"/>
      <c r="DZ7" s="530"/>
      <c r="EA7" s="530"/>
      <c r="EB7" s="530"/>
      <c r="EC7" s="530"/>
      <c r="ED7" s="530"/>
      <c r="EE7" s="530"/>
      <c r="EF7" s="530"/>
      <c r="EG7" s="530"/>
      <c r="EH7" s="530"/>
      <c r="EI7" s="530"/>
      <c r="EJ7" s="530"/>
      <c r="EK7" s="530"/>
      <c r="EL7" s="530"/>
      <c r="EM7" s="530"/>
      <c r="EN7" s="530"/>
      <c r="EO7" s="530"/>
      <c r="EP7" s="530"/>
      <c r="EQ7" s="530"/>
      <c r="ER7" s="530"/>
      <c r="ES7" s="530"/>
      <c r="ET7" s="530"/>
      <c r="EU7" s="530"/>
      <c r="EV7" s="530"/>
      <c r="EW7" s="530"/>
      <c r="EX7" s="530"/>
      <c r="EY7" s="530"/>
      <c r="EZ7" s="530"/>
      <c r="FA7" s="530"/>
      <c r="FB7" s="530"/>
      <c r="FC7" s="530"/>
      <c r="FD7" s="530"/>
      <c r="FE7" s="530"/>
      <c r="FF7" s="530"/>
      <c r="FG7" s="530"/>
      <c r="FH7" s="530"/>
      <c r="FI7" s="530"/>
      <c r="FJ7" s="530"/>
      <c r="FK7" s="530"/>
      <c r="FL7" s="530"/>
      <c r="FM7" s="530"/>
      <c r="FN7" s="530"/>
      <c r="FO7" s="530"/>
      <c r="FP7" s="530"/>
      <c r="FQ7" s="530"/>
      <c r="FR7" s="530"/>
      <c r="FS7" s="530"/>
      <c r="FT7" s="530"/>
      <c r="FU7" s="530"/>
      <c r="FV7" s="530"/>
      <c r="FW7" s="530"/>
      <c r="FX7" s="530"/>
      <c r="FY7" s="530"/>
      <c r="FZ7" s="530"/>
      <c r="GA7" s="530"/>
      <c r="GB7" s="530"/>
      <c r="GC7" s="530"/>
      <c r="GD7" s="530"/>
      <c r="GE7" s="530"/>
      <c r="GF7" s="530"/>
      <c r="GG7" s="530"/>
      <c r="GH7" s="530"/>
      <c r="GI7" s="530"/>
      <c r="GJ7" s="530"/>
      <c r="GK7" s="530"/>
      <c r="GL7" s="530"/>
      <c r="GM7" s="530"/>
      <c r="GN7" s="530"/>
      <c r="GO7" s="530"/>
      <c r="GP7" s="530"/>
      <c r="GQ7" s="530"/>
      <c r="GR7" s="530"/>
      <c r="GS7" s="530"/>
      <c r="GT7" s="530"/>
      <c r="GU7" s="530"/>
      <c r="GV7" s="530"/>
      <c r="GW7" s="530"/>
      <c r="GX7" s="530"/>
      <c r="GY7" s="530"/>
      <c r="GZ7" s="530"/>
      <c r="HA7" s="530"/>
      <c r="HB7" s="530"/>
      <c r="HC7" s="530"/>
      <c r="HD7" s="530"/>
      <c r="HE7" s="530"/>
      <c r="HF7" s="530"/>
      <c r="HG7" s="530"/>
      <c r="HH7" s="530"/>
      <c r="HI7" s="530"/>
      <c r="HJ7" s="530"/>
      <c r="HK7" s="530"/>
      <c r="HL7" s="530"/>
      <c r="HM7" s="530"/>
      <c r="HN7" s="530"/>
      <c r="HO7" s="530"/>
      <c r="HP7" s="530"/>
      <c r="HQ7" s="530"/>
      <c r="HR7" s="530"/>
      <c r="HS7" s="530"/>
      <c r="HT7" s="530"/>
      <c r="HU7" s="530"/>
      <c r="HV7" s="530"/>
      <c r="HW7" s="530"/>
      <c r="HX7" s="530"/>
      <c r="HY7" s="530"/>
      <c r="HZ7" s="530"/>
      <c r="IA7" s="530"/>
      <c r="IB7" s="530"/>
      <c r="IC7" s="530"/>
      <c r="ID7" s="530"/>
      <c r="IE7" s="530"/>
      <c r="IF7" s="530"/>
      <c r="IG7" s="530"/>
      <c r="IH7" s="530"/>
      <c r="II7" s="530"/>
      <c r="IJ7" s="530"/>
      <c r="IK7" s="530"/>
      <c r="IL7" s="530"/>
      <c r="IM7" s="530"/>
      <c r="IN7" s="530"/>
      <c r="IO7" s="530"/>
      <c r="IP7" s="530"/>
    </row>
    <row r="8" spans="1:250" s="539" customFormat="1" ht="19.5" customHeight="1">
      <c r="A8" s="598">
        <v>115</v>
      </c>
      <c r="B8" s="533">
        <f>+'115 (R)'!$F$26</f>
        <v>577867</v>
      </c>
      <c r="C8" s="533">
        <v>17560</v>
      </c>
      <c r="D8" s="534">
        <f t="shared" si="0"/>
        <v>560307</v>
      </c>
      <c r="E8" s="535">
        <v>1</v>
      </c>
      <c r="F8" s="536">
        <f t="shared" si="1"/>
        <v>560307</v>
      </c>
      <c r="G8" s="537"/>
      <c r="H8" s="547">
        <f t="shared" si="2"/>
        <v>560307</v>
      </c>
      <c r="I8" s="551"/>
      <c r="J8" s="538"/>
      <c r="K8" s="599">
        <f t="shared" si="3"/>
        <v>115</v>
      </c>
      <c r="L8" s="538"/>
      <c r="M8" s="530"/>
      <c r="N8" s="530"/>
      <c r="O8" s="530"/>
      <c r="P8" s="530"/>
      <c r="Q8" s="530"/>
      <c r="R8" s="530"/>
      <c r="S8" s="530"/>
      <c r="T8" s="530"/>
      <c r="U8" s="530"/>
      <c r="V8" s="530"/>
      <c r="W8" s="530"/>
      <c r="X8" s="530"/>
      <c r="Y8" s="530"/>
      <c r="Z8" s="530"/>
      <c r="AA8" s="530"/>
      <c r="AB8" s="530"/>
      <c r="AC8" s="530"/>
      <c r="AD8" s="530"/>
      <c r="AE8" s="530"/>
      <c r="AF8" s="530"/>
      <c r="AG8" s="530"/>
      <c r="AH8" s="530"/>
      <c r="AI8" s="530"/>
      <c r="AJ8" s="530"/>
      <c r="AK8" s="530"/>
      <c r="AL8" s="530"/>
      <c r="AM8" s="530"/>
      <c r="AN8" s="530"/>
      <c r="AO8" s="530"/>
      <c r="AP8" s="530"/>
      <c r="AQ8" s="530"/>
      <c r="AR8" s="530"/>
      <c r="AS8" s="530"/>
      <c r="AT8" s="530"/>
      <c r="AU8" s="530"/>
      <c r="AV8" s="530"/>
      <c r="AW8" s="530"/>
      <c r="AX8" s="530"/>
      <c r="AY8" s="530"/>
      <c r="AZ8" s="530"/>
      <c r="BA8" s="530"/>
      <c r="BB8" s="530"/>
      <c r="BC8" s="530"/>
      <c r="BD8" s="530"/>
      <c r="BE8" s="530"/>
      <c r="BF8" s="530"/>
      <c r="BG8" s="530"/>
      <c r="BH8" s="530"/>
      <c r="BI8" s="530"/>
      <c r="BJ8" s="530"/>
      <c r="BK8" s="530"/>
      <c r="BL8" s="530"/>
      <c r="BM8" s="530"/>
      <c r="BN8" s="530"/>
      <c r="BO8" s="530"/>
      <c r="BP8" s="530"/>
      <c r="BQ8" s="530"/>
      <c r="BR8" s="530"/>
      <c r="BS8" s="530"/>
      <c r="BT8" s="530"/>
      <c r="BU8" s="530"/>
      <c r="BV8" s="530"/>
      <c r="BW8" s="530"/>
      <c r="BX8" s="530"/>
      <c r="BY8" s="530"/>
      <c r="BZ8" s="530"/>
      <c r="CA8" s="530"/>
      <c r="CB8" s="530"/>
      <c r="CC8" s="530"/>
      <c r="CD8" s="530"/>
      <c r="CE8" s="530"/>
      <c r="CF8" s="530"/>
      <c r="CG8" s="530"/>
      <c r="CH8" s="530"/>
      <c r="CI8" s="530"/>
      <c r="CJ8" s="530"/>
      <c r="CK8" s="530"/>
      <c r="CL8" s="530"/>
      <c r="CM8" s="530"/>
      <c r="CN8" s="530"/>
      <c r="CO8" s="530"/>
      <c r="CP8" s="530"/>
      <c r="CQ8" s="530"/>
      <c r="CR8" s="530"/>
      <c r="CS8" s="530"/>
      <c r="CT8" s="530"/>
      <c r="CU8" s="530"/>
      <c r="CV8" s="530"/>
      <c r="CW8" s="530"/>
      <c r="CX8" s="530"/>
      <c r="CY8" s="530"/>
      <c r="CZ8" s="530"/>
      <c r="DA8" s="530"/>
      <c r="DB8" s="530"/>
      <c r="DC8" s="530"/>
      <c r="DD8" s="530"/>
      <c r="DE8" s="530"/>
      <c r="DF8" s="530"/>
      <c r="DG8" s="530"/>
      <c r="DH8" s="530"/>
      <c r="DI8" s="530"/>
      <c r="DJ8" s="530"/>
      <c r="DK8" s="530"/>
      <c r="DL8" s="530"/>
      <c r="DM8" s="530"/>
      <c r="DN8" s="530"/>
      <c r="DO8" s="530"/>
      <c r="DP8" s="530"/>
      <c r="DQ8" s="530"/>
      <c r="DR8" s="530"/>
      <c r="DS8" s="530"/>
      <c r="DT8" s="530"/>
      <c r="DU8" s="530"/>
      <c r="DV8" s="530"/>
      <c r="DW8" s="530"/>
      <c r="DX8" s="530"/>
      <c r="DY8" s="530"/>
      <c r="DZ8" s="530"/>
      <c r="EA8" s="530"/>
      <c r="EB8" s="530"/>
      <c r="EC8" s="530"/>
      <c r="ED8" s="530"/>
      <c r="EE8" s="530"/>
      <c r="EF8" s="530"/>
      <c r="EG8" s="530"/>
      <c r="EH8" s="530"/>
      <c r="EI8" s="530"/>
      <c r="EJ8" s="530"/>
      <c r="EK8" s="530"/>
      <c r="EL8" s="530"/>
      <c r="EM8" s="530"/>
      <c r="EN8" s="530"/>
      <c r="EO8" s="530"/>
      <c r="EP8" s="530"/>
      <c r="EQ8" s="530"/>
      <c r="ER8" s="530"/>
      <c r="ES8" s="530"/>
      <c r="ET8" s="530"/>
      <c r="EU8" s="530"/>
      <c r="EV8" s="530"/>
      <c r="EW8" s="530"/>
      <c r="EX8" s="530"/>
      <c r="EY8" s="530"/>
      <c r="EZ8" s="530"/>
      <c r="FA8" s="530"/>
      <c r="FB8" s="530"/>
      <c r="FC8" s="530"/>
      <c r="FD8" s="530"/>
      <c r="FE8" s="530"/>
      <c r="FF8" s="530"/>
      <c r="FG8" s="530"/>
      <c r="FH8" s="530"/>
      <c r="FI8" s="530"/>
      <c r="FJ8" s="530"/>
      <c r="FK8" s="530"/>
      <c r="FL8" s="530"/>
      <c r="FM8" s="530"/>
      <c r="FN8" s="530"/>
      <c r="FO8" s="530"/>
      <c r="FP8" s="530"/>
      <c r="FQ8" s="530"/>
      <c r="FR8" s="530"/>
      <c r="FS8" s="530"/>
      <c r="FT8" s="530"/>
      <c r="FU8" s="530"/>
      <c r="FV8" s="530"/>
      <c r="FW8" s="530"/>
      <c r="FX8" s="530"/>
      <c r="FY8" s="530"/>
      <c r="FZ8" s="530"/>
      <c r="GA8" s="530"/>
      <c r="GB8" s="530"/>
      <c r="GC8" s="530"/>
      <c r="GD8" s="530"/>
      <c r="GE8" s="530"/>
      <c r="GF8" s="530"/>
      <c r="GG8" s="530"/>
      <c r="GH8" s="530"/>
      <c r="GI8" s="530"/>
      <c r="GJ8" s="530"/>
      <c r="GK8" s="530"/>
      <c r="GL8" s="530"/>
      <c r="GM8" s="530"/>
      <c r="GN8" s="530"/>
      <c r="GO8" s="530"/>
      <c r="GP8" s="530"/>
      <c r="GQ8" s="530"/>
      <c r="GR8" s="530"/>
      <c r="GS8" s="530"/>
      <c r="GT8" s="530"/>
      <c r="GU8" s="530"/>
      <c r="GV8" s="530"/>
      <c r="GW8" s="530"/>
      <c r="GX8" s="530"/>
      <c r="GY8" s="530"/>
      <c r="GZ8" s="530"/>
      <c r="HA8" s="530"/>
      <c r="HB8" s="530"/>
      <c r="HC8" s="530"/>
      <c r="HD8" s="530"/>
      <c r="HE8" s="530"/>
      <c r="HF8" s="530"/>
      <c r="HG8" s="530"/>
      <c r="HH8" s="530"/>
      <c r="HI8" s="530"/>
      <c r="HJ8" s="530"/>
      <c r="HK8" s="530"/>
      <c r="HL8" s="530"/>
      <c r="HM8" s="530"/>
      <c r="HN8" s="530"/>
      <c r="HO8" s="530"/>
      <c r="HP8" s="530"/>
      <c r="HQ8" s="530"/>
      <c r="HR8" s="530"/>
      <c r="HS8" s="530"/>
      <c r="HT8" s="530"/>
      <c r="HU8" s="530"/>
      <c r="HV8" s="530"/>
      <c r="HW8" s="530"/>
      <c r="HX8" s="530"/>
      <c r="HY8" s="530"/>
      <c r="HZ8" s="530"/>
      <c r="IA8" s="530"/>
      <c r="IB8" s="530"/>
      <c r="IC8" s="530"/>
      <c r="ID8" s="530"/>
      <c r="IE8" s="530"/>
      <c r="IF8" s="530"/>
      <c r="IG8" s="530"/>
      <c r="IH8" s="530"/>
      <c r="II8" s="530"/>
      <c r="IJ8" s="530"/>
      <c r="IK8" s="530"/>
      <c r="IL8" s="530"/>
      <c r="IM8" s="530"/>
      <c r="IN8" s="530"/>
      <c r="IO8" s="530"/>
      <c r="IP8" s="530"/>
    </row>
    <row r="9" spans="1:250" s="539" customFormat="1" ht="19.5" customHeight="1">
      <c r="A9" s="598">
        <v>120</v>
      </c>
      <c r="B9" s="533">
        <f>+'120 (R)'!$F$26</f>
        <v>687432</v>
      </c>
      <c r="C9" s="533">
        <v>21737</v>
      </c>
      <c r="D9" s="534">
        <f t="shared" si="0"/>
        <v>665695</v>
      </c>
      <c r="E9" s="535">
        <v>1</v>
      </c>
      <c r="F9" s="536">
        <f t="shared" si="1"/>
        <v>665695</v>
      </c>
      <c r="G9" s="537"/>
      <c r="H9" s="547">
        <f t="shared" si="2"/>
        <v>665695</v>
      </c>
      <c r="I9" s="551"/>
      <c r="J9" s="538"/>
      <c r="K9" s="599">
        <f t="shared" si="3"/>
        <v>120</v>
      </c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30"/>
      <c r="AE9" s="530"/>
      <c r="AF9" s="530"/>
      <c r="AG9" s="530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30"/>
      <c r="AS9" s="530"/>
      <c r="AT9" s="530"/>
      <c r="AU9" s="530"/>
      <c r="AV9" s="530"/>
      <c r="AW9" s="530"/>
      <c r="AX9" s="530"/>
      <c r="AY9" s="530"/>
      <c r="AZ9" s="530"/>
      <c r="BA9" s="530"/>
      <c r="BB9" s="530"/>
      <c r="BC9" s="530"/>
      <c r="BD9" s="530"/>
      <c r="BE9" s="530"/>
      <c r="BF9" s="530"/>
      <c r="BG9" s="530"/>
      <c r="BH9" s="530"/>
      <c r="BI9" s="530"/>
      <c r="BJ9" s="530"/>
      <c r="BK9" s="530"/>
      <c r="BL9" s="530"/>
      <c r="BM9" s="530"/>
      <c r="BN9" s="530"/>
      <c r="BO9" s="530"/>
      <c r="BP9" s="530"/>
      <c r="BQ9" s="530"/>
      <c r="BR9" s="530"/>
      <c r="BS9" s="530"/>
      <c r="BT9" s="530"/>
      <c r="BU9" s="530"/>
      <c r="BV9" s="530"/>
      <c r="BW9" s="530"/>
      <c r="BX9" s="530"/>
      <c r="BY9" s="530"/>
      <c r="BZ9" s="530"/>
      <c r="CA9" s="530"/>
      <c r="CB9" s="530"/>
      <c r="CC9" s="530"/>
      <c r="CD9" s="530"/>
      <c r="CE9" s="530"/>
      <c r="CF9" s="530"/>
      <c r="CG9" s="530"/>
      <c r="CH9" s="530"/>
      <c r="CI9" s="530"/>
      <c r="CJ9" s="530"/>
      <c r="CK9" s="530"/>
      <c r="CL9" s="530"/>
      <c r="CM9" s="530"/>
      <c r="CN9" s="530"/>
      <c r="CO9" s="530"/>
      <c r="CP9" s="530"/>
      <c r="CQ9" s="530"/>
      <c r="CR9" s="530"/>
      <c r="CS9" s="530"/>
      <c r="CT9" s="530"/>
      <c r="CU9" s="530"/>
      <c r="CV9" s="530"/>
      <c r="CW9" s="530"/>
      <c r="CX9" s="530"/>
      <c r="CY9" s="530"/>
      <c r="CZ9" s="530"/>
      <c r="DA9" s="530"/>
      <c r="DB9" s="530"/>
      <c r="DC9" s="530"/>
      <c r="DD9" s="530"/>
      <c r="DE9" s="530"/>
      <c r="DF9" s="530"/>
      <c r="DG9" s="530"/>
      <c r="DH9" s="530"/>
      <c r="DI9" s="530"/>
      <c r="DJ9" s="530"/>
      <c r="DK9" s="530"/>
      <c r="DL9" s="530"/>
      <c r="DM9" s="530"/>
      <c r="DN9" s="530"/>
      <c r="DO9" s="530"/>
      <c r="DP9" s="530"/>
      <c r="DQ9" s="530"/>
      <c r="DR9" s="530"/>
      <c r="DS9" s="530"/>
      <c r="DT9" s="530"/>
      <c r="DU9" s="530"/>
      <c r="DV9" s="530"/>
      <c r="DW9" s="530"/>
      <c r="DX9" s="530"/>
      <c r="DY9" s="530"/>
      <c r="DZ9" s="530"/>
      <c r="EA9" s="530"/>
      <c r="EB9" s="530"/>
      <c r="EC9" s="530"/>
      <c r="ED9" s="530"/>
      <c r="EE9" s="530"/>
      <c r="EF9" s="530"/>
      <c r="EG9" s="530"/>
      <c r="EH9" s="530"/>
      <c r="EI9" s="530"/>
      <c r="EJ9" s="530"/>
      <c r="EK9" s="530"/>
      <c r="EL9" s="530"/>
      <c r="EM9" s="530"/>
      <c r="EN9" s="530"/>
      <c r="EO9" s="530"/>
      <c r="EP9" s="530"/>
      <c r="EQ9" s="530"/>
      <c r="ER9" s="530"/>
      <c r="ES9" s="530"/>
      <c r="ET9" s="530"/>
      <c r="EU9" s="530"/>
      <c r="EV9" s="530"/>
      <c r="EW9" s="530"/>
      <c r="EX9" s="530"/>
      <c r="EY9" s="530"/>
      <c r="EZ9" s="530"/>
      <c r="FA9" s="530"/>
      <c r="FB9" s="530"/>
      <c r="FC9" s="530"/>
      <c r="FD9" s="530"/>
      <c r="FE9" s="530"/>
      <c r="FF9" s="530"/>
      <c r="FG9" s="530"/>
      <c r="FH9" s="530"/>
      <c r="FI9" s="530"/>
      <c r="FJ9" s="530"/>
      <c r="FK9" s="530"/>
      <c r="FL9" s="530"/>
      <c r="FM9" s="530"/>
      <c r="FN9" s="530"/>
      <c r="FO9" s="530"/>
      <c r="FP9" s="530"/>
      <c r="FQ9" s="530"/>
      <c r="FR9" s="530"/>
      <c r="FS9" s="530"/>
      <c r="FT9" s="530"/>
      <c r="FU9" s="530"/>
      <c r="FV9" s="530"/>
      <c r="FW9" s="530"/>
      <c r="FX9" s="530"/>
      <c r="FY9" s="530"/>
      <c r="FZ9" s="530"/>
      <c r="GA9" s="530"/>
      <c r="GB9" s="530"/>
      <c r="GC9" s="530"/>
      <c r="GD9" s="530"/>
      <c r="GE9" s="530"/>
      <c r="GF9" s="530"/>
      <c r="GG9" s="530"/>
      <c r="GH9" s="530"/>
      <c r="GI9" s="530"/>
      <c r="GJ9" s="530"/>
      <c r="GK9" s="530"/>
      <c r="GL9" s="530"/>
      <c r="GM9" s="530"/>
      <c r="GN9" s="530"/>
      <c r="GO9" s="530"/>
      <c r="GP9" s="530"/>
      <c r="GQ9" s="530"/>
      <c r="GR9" s="530"/>
      <c r="GS9" s="530"/>
      <c r="GT9" s="530"/>
      <c r="GU9" s="530"/>
      <c r="GV9" s="530"/>
      <c r="GW9" s="530"/>
      <c r="GX9" s="530"/>
      <c r="GY9" s="530"/>
      <c r="GZ9" s="530"/>
      <c r="HA9" s="530"/>
      <c r="HB9" s="530"/>
      <c r="HC9" s="530"/>
      <c r="HD9" s="530"/>
      <c r="HE9" s="530"/>
      <c r="HF9" s="530"/>
      <c r="HG9" s="530"/>
      <c r="HH9" s="530"/>
      <c r="HI9" s="530"/>
      <c r="HJ9" s="530"/>
      <c r="HK9" s="530"/>
      <c r="HL9" s="530"/>
      <c r="HM9" s="530"/>
      <c r="HN9" s="530"/>
      <c r="HO9" s="530"/>
      <c r="HP9" s="530"/>
      <c r="HQ9" s="530"/>
      <c r="HR9" s="530"/>
      <c r="HS9" s="530"/>
      <c r="HT9" s="530"/>
      <c r="HU9" s="530"/>
      <c r="HV9" s="530"/>
      <c r="HW9" s="530"/>
      <c r="HX9" s="530"/>
      <c r="HY9" s="530"/>
      <c r="HZ9" s="530"/>
      <c r="IA9" s="530"/>
      <c r="IB9" s="530"/>
      <c r="IC9" s="530"/>
      <c r="ID9" s="530"/>
      <c r="IE9" s="530"/>
      <c r="IF9" s="530"/>
      <c r="IG9" s="530"/>
      <c r="IH9" s="530"/>
      <c r="II9" s="530"/>
      <c r="IJ9" s="530"/>
      <c r="IK9" s="530"/>
      <c r="IL9" s="530"/>
      <c r="IM9" s="530"/>
      <c r="IN9" s="530"/>
      <c r="IO9" s="530"/>
      <c r="IP9" s="530"/>
    </row>
    <row r="10" spans="1:250" s="539" customFormat="1" ht="19.5" customHeight="1">
      <c r="A10" s="598">
        <v>28</v>
      </c>
      <c r="B10" s="533">
        <f>'28 (R)'!$F$19</f>
        <v>3958300</v>
      </c>
      <c r="C10" s="533">
        <v>3734800</v>
      </c>
      <c r="D10" s="534">
        <f t="shared" si="0"/>
        <v>223500</v>
      </c>
      <c r="E10" s="535">
        <v>0.02</v>
      </c>
      <c r="F10" s="536">
        <f t="shared" si="1"/>
        <v>4470</v>
      </c>
      <c r="G10" s="537"/>
      <c r="H10" s="547">
        <f t="shared" si="2"/>
        <v>4470</v>
      </c>
      <c r="I10" s="551"/>
      <c r="J10" s="538"/>
      <c r="K10" s="599">
        <f t="shared" si="3"/>
        <v>28</v>
      </c>
      <c r="L10" s="530"/>
      <c r="M10" s="530"/>
      <c r="N10" s="530"/>
      <c r="O10" s="530"/>
      <c r="P10" s="530"/>
      <c r="Q10" s="530"/>
      <c r="R10" s="530"/>
      <c r="S10" s="530"/>
      <c r="T10" s="530"/>
      <c r="U10" s="530"/>
      <c r="V10" s="530"/>
      <c r="W10" s="530"/>
      <c r="X10" s="530"/>
      <c r="Y10" s="530"/>
      <c r="Z10" s="530"/>
      <c r="AA10" s="530"/>
      <c r="AB10" s="530"/>
      <c r="AC10" s="530"/>
      <c r="AD10" s="530"/>
      <c r="AE10" s="530"/>
      <c r="AF10" s="530"/>
      <c r="AG10" s="530"/>
      <c r="AH10" s="530"/>
      <c r="AI10" s="530"/>
      <c r="AJ10" s="530"/>
      <c r="AK10" s="530"/>
      <c r="AL10" s="530"/>
      <c r="AM10" s="530"/>
      <c r="AN10" s="530"/>
      <c r="AO10" s="530"/>
      <c r="AP10" s="530"/>
      <c r="AQ10" s="530"/>
      <c r="AR10" s="530"/>
      <c r="AS10" s="530"/>
      <c r="AT10" s="530"/>
      <c r="AU10" s="530"/>
      <c r="AV10" s="530"/>
      <c r="AW10" s="530"/>
      <c r="AX10" s="530"/>
      <c r="AY10" s="530"/>
      <c r="AZ10" s="530"/>
      <c r="BA10" s="530"/>
      <c r="BB10" s="530"/>
      <c r="BC10" s="530"/>
      <c r="BD10" s="530"/>
      <c r="BE10" s="530"/>
      <c r="BF10" s="530"/>
      <c r="BG10" s="530"/>
      <c r="BH10" s="530"/>
      <c r="BI10" s="530"/>
      <c r="BJ10" s="530"/>
      <c r="BK10" s="530"/>
      <c r="BL10" s="530"/>
      <c r="BM10" s="530"/>
      <c r="BN10" s="530"/>
      <c r="BO10" s="530"/>
      <c r="BP10" s="530"/>
      <c r="BQ10" s="530"/>
      <c r="BR10" s="530"/>
      <c r="BS10" s="530"/>
      <c r="BT10" s="530"/>
      <c r="BU10" s="530"/>
      <c r="BV10" s="530"/>
      <c r="BW10" s="530"/>
      <c r="BX10" s="530"/>
      <c r="BY10" s="530"/>
      <c r="BZ10" s="530"/>
      <c r="CA10" s="530"/>
      <c r="CB10" s="530"/>
      <c r="CC10" s="530"/>
      <c r="CD10" s="530"/>
      <c r="CE10" s="530"/>
      <c r="CF10" s="530"/>
      <c r="CG10" s="530"/>
      <c r="CH10" s="530"/>
      <c r="CI10" s="530"/>
      <c r="CJ10" s="530"/>
      <c r="CK10" s="530"/>
      <c r="CL10" s="530"/>
      <c r="CM10" s="530"/>
      <c r="CN10" s="530"/>
      <c r="CO10" s="530"/>
      <c r="CP10" s="530"/>
      <c r="CQ10" s="530"/>
      <c r="CR10" s="530"/>
      <c r="CS10" s="530"/>
      <c r="CT10" s="530"/>
      <c r="CU10" s="530"/>
      <c r="CV10" s="530"/>
      <c r="CW10" s="530"/>
      <c r="CX10" s="530"/>
      <c r="CY10" s="530"/>
      <c r="CZ10" s="530"/>
      <c r="DA10" s="530"/>
      <c r="DB10" s="530"/>
      <c r="DC10" s="530"/>
      <c r="DD10" s="530"/>
      <c r="DE10" s="530"/>
      <c r="DF10" s="530"/>
      <c r="DG10" s="530"/>
      <c r="DH10" s="530"/>
      <c r="DI10" s="530"/>
      <c r="DJ10" s="530"/>
      <c r="DK10" s="530"/>
      <c r="DL10" s="530"/>
      <c r="DM10" s="530"/>
      <c r="DN10" s="530"/>
      <c r="DO10" s="530"/>
      <c r="DP10" s="530"/>
      <c r="DQ10" s="530"/>
      <c r="DR10" s="530"/>
      <c r="DS10" s="530"/>
      <c r="DT10" s="530"/>
      <c r="DU10" s="530"/>
      <c r="DV10" s="530"/>
      <c r="DW10" s="530"/>
      <c r="DX10" s="530"/>
      <c r="DY10" s="530"/>
      <c r="DZ10" s="530"/>
      <c r="EA10" s="530"/>
      <c r="EB10" s="530"/>
      <c r="EC10" s="530"/>
      <c r="ED10" s="530"/>
      <c r="EE10" s="530"/>
      <c r="EF10" s="530"/>
      <c r="EG10" s="530"/>
      <c r="EH10" s="530"/>
      <c r="EI10" s="530"/>
      <c r="EJ10" s="530"/>
      <c r="EK10" s="530"/>
      <c r="EL10" s="530"/>
      <c r="EM10" s="530"/>
      <c r="EN10" s="530"/>
      <c r="EO10" s="530"/>
      <c r="EP10" s="530"/>
      <c r="EQ10" s="530"/>
      <c r="ER10" s="530"/>
      <c r="ES10" s="530"/>
      <c r="ET10" s="530"/>
      <c r="EU10" s="530"/>
      <c r="EV10" s="530"/>
      <c r="EW10" s="530"/>
      <c r="EX10" s="530"/>
      <c r="EY10" s="530"/>
      <c r="EZ10" s="530"/>
      <c r="FA10" s="530"/>
      <c r="FB10" s="530"/>
      <c r="FC10" s="530"/>
      <c r="FD10" s="530"/>
      <c r="FE10" s="530"/>
      <c r="FF10" s="530"/>
      <c r="FG10" s="530"/>
      <c r="FH10" s="530"/>
      <c r="FI10" s="530"/>
      <c r="FJ10" s="530"/>
      <c r="FK10" s="530"/>
      <c r="FL10" s="530"/>
      <c r="FM10" s="530"/>
      <c r="FN10" s="530"/>
      <c r="FO10" s="530"/>
      <c r="FP10" s="530"/>
      <c r="FQ10" s="530"/>
      <c r="FR10" s="530"/>
      <c r="FS10" s="530"/>
      <c r="FT10" s="530"/>
      <c r="FU10" s="530"/>
      <c r="FV10" s="530"/>
      <c r="FW10" s="530"/>
      <c r="FX10" s="530"/>
      <c r="FY10" s="530"/>
      <c r="FZ10" s="530"/>
      <c r="GA10" s="530"/>
      <c r="GB10" s="530"/>
      <c r="GC10" s="530"/>
      <c r="GD10" s="530"/>
      <c r="GE10" s="530"/>
      <c r="GF10" s="530"/>
      <c r="GG10" s="530"/>
      <c r="GH10" s="530"/>
      <c r="GI10" s="530"/>
      <c r="GJ10" s="530"/>
      <c r="GK10" s="530"/>
      <c r="GL10" s="530"/>
      <c r="GM10" s="530"/>
      <c r="GN10" s="530"/>
      <c r="GO10" s="530"/>
      <c r="GP10" s="530"/>
      <c r="GQ10" s="530"/>
      <c r="GR10" s="530"/>
      <c r="GS10" s="530"/>
      <c r="GT10" s="530"/>
      <c r="GU10" s="530"/>
      <c r="GV10" s="530"/>
      <c r="GW10" s="530"/>
      <c r="GX10" s="530"/>
      <c r="GY10" s="530"/>
      <c r="GZ10" s="530"/>
      <c r="HA10" s="530"/>
      <c r="HB10" s="530"/>
      <c r="HC10" s="530"/>
      <c r="HD10" s="530"/>
      <c r="HE10" s="530"/>
      <c r="HF10" s="530"/>
      <c r="HG10" s="530"/>
      <c r="HH10" s="530"/>
      <c r="HI10" s="530"/>
      <c r="HJ10" s="530"/>
      <c r="HK10" s="530"/>
      <c r="HL10" s="530"/>
      <c r="HM10" s="530"/>
      <c r="HN10" s="530"/>
      <c r="HO10" s="530"/>
      <c r="HP10" s="530"/>
      <c r="HQ10" s="530"/>
      <c r="HR10" s="530"/>
      <c r="HS10" s="530"/>
      <c r="HT10" s="530"/>
      <c r="HU10" s="530"/>
      <c r="HV10" s="530"/>
      <c r="HW10" s="530"/>
      <c r="HX10" s="530"/>
      <c r="HY10" s="530"/>
      <c r="HZ10" s="530"/>
      <c r="IA10" s="530"/>
      <c r="IB10" s="530"/>
      <c r="IC10" s="530"/>
      <c r="ID10" s="530"/>
      <c r="IE10" s="530"/>
      <c r="IF10" s="530"/>
      <c r="IG10" s="530"/>
      <c r="IH10" s="530"/>
      <c r="II10" s="530"/>
      <c r="IJ10" s="530"/>
      <c r="IK10" s="530"/>
      <c r="IL10" s="530"/>
      <c r="IM10" s="530"/>
      <c r="IN10" s="530"/>
      <c r="IO10" s="530"/>
      <c r="IP10" s="530"/>
    </row>
    <row r="11" spans="1:250" s="539" customFormat="1" ht="19.5" customHeight="1">
      <c r="A11" s="598">
        <v>116</v>
      </c>
      <c r="B11" s="533">
        <f>+'116 (R)'!$F$26</f>
        <v>1482958</v>
      </c>
      <c r="C11" s="533">
        <v>88889</v>
      </c>
      <c r="D11" s="534">
        <f t="shared" si="0"/>
        <v>1394069</v>
      </c>
      <c r="E11" s="535">
        <v>1</v>
      </c>
      <c r="F11" s="536">
        <f t="shared" si="1"/>
        <v>1394069</v>
      </c>
      <c r="G11" s="537"/>
      <c r="H11" s="547">
        <f t="shared" si="2"/>
        <v>1394069</v>
      </c>
      <c r="I11" s="551"/>
      <c r="J11" s="538"/>
      <c r="K11" s="599">
        <f t="shared" si="3"/>
        <v>116</v>
      </c>
      <c r="L11" s="530"/>
      <c r="M11" s="530"/>
      <c r="N11" s="530"/>
      <c r="O11" s="530"/>
      <c r="P11" s="530"/>
      <c r="Q11" s="530"/>
      <c r="R11" s="530"/>
      <c r="S11" s="530"/>
      <c r="T11" s="530"/>
      <c r="U11" s="530"/>
      <c r="V11" s="530"/>
      <c r="W11" s="530"/>
      <c r="X11" s="530"/>
      <c r="Y11" s="530"/>
      <c r="Z11" s="530"/>
      <c r="AA11" s="530"/>
      <c r="AB11" s="530"/>
      <c r="AC11" s="530"/>
      <c r="AD11" s="530"/>
      <c r="AE11" s="530"/>
      <c r="AF11" s="530"/>
      <c r="AG11" s="530"/>
      <c r="AH11" s="530"/>
      <c r="AI11" s="530"/>
      <c r="AJ11" s="530"/>
      <c r="AK11" s="530"/>
      <c r="AL11" s="530"/>
      <c r="AM11" s="530"/>
      <c r="AN11" s="530"/>
      <c r="AO11" s="530"/>
      <c r="AP11" s="530"/>
      <c r="AQ11" s="530"/>
      <c r="AR11" s="530"/>
      <c r="AS11" s="530"/>
      <c r="AT11" s="530"/>
      <c r="AU11" s="530"/>
      <c r="AV11" s="530"/>
      <c r="AW11" s="530"/>
      <c r="AX11" s="530"/>
      <c r="AY11" s="530"/>
      <c r="AZ11" s="530"/>
      <c r="BA11" s="530"/>
      <c r="BB11" s="530"/>
      <c r="BC11" s="530"/>
      <c r="BD11" s="530"/>
      <c r="BE11" s="530"/>
      <c r="BF11" s="530"/>
      <c r="BG11" s="530"/>
      <c r="BH11" s="530"/>
      <c r="BI11" s="530"/>
      <c r="BJ11" s="530"/>
      <c r="BK11" s="530"/>
      <c r="BL11" s="530"/>
      <c r="BM11" s="530"/>
      <c r="BN11" s="530"/>
      <c r="BO11" s="530"/>
      <c r="BP11" s="530"/>
      <c r="BQ11" s="530"/>
      <c r="BR11" s="530"/>
      <c r="BS11" s="530"/>
      <c r="BT11" s="530"/>
      <c r="BU11" s="530"/>
      <c r="BV11" s="530"/>
      <c r="BW11" s="530"/>
      <c r="BX11" s="530"/>
      <c r="BY11" s="530"/>
      <c r="BZ11" s="530"/>
      <c r="CA11" s="530"/>
      <c r="CB11" s="530"/>
      <c r="CC11" s="530"/>
      <c r="CD11" s="530"/>
      <c r="CE11" s="530"/>
      <c r="CF11" s="530"/>
      <c r="CG11" s="530"/>
      <c r="CH11" s="530"/>
      <c r="CI11" s="530"/>
      <c r="CJ11" s="530"/>
      <c r="CK11" s="530"/>
      <c r="CL11" s="530"/>
      <c r="CM11" s="530"/>
      <c r="CN11" s="530"/>
      <c r="CO11" s="530"/>
      <c r="CP11" s="530"/>
      <c r="CQ11" s="530"/>
      <c r="CR11" s="530"/>
      <c r="CS11" s="530"/>
      <c r="CT11" s="530"/>
      <c r="CU11" s="530"/>
      <c r="CV11" s="530"/>
      <c r="CW11" s="530"/>
      <c r="CX11" s="530"/>
      <c r="CY11" s="530"/>
      <c r="CZ11" s="530"/>
      <c r="DA11" s="530"/>
      <c r="DB11" s="530"/>
      <c r="DC11" s="530"/>
      <c r="DD11" s="530"/>
      <c r="DE11" s="530"/>
      <c r="DF11" s="530"/>
      <c r="DG11" s="530"/>
      <c r="DH11" s="530"/>
      <c r="DI11" s="530"/>
      <c r="DJ11" s="530"/>
      <c r="DK11" s="530"/>
      <c r="DL11" s="530"/>
      <c r="DM11" s="530"/>
      <c r="DN11" s="530"/>
      <c r="DO11" s="530"/>
      <c r="DP11" s="530"/>
      <c r="DQ11" s="530"/>
      <c r="DR11" s="530"/>
      <c r="DS11" s="530"/>
      <c r="DT11" s="530"/>
      <c r="DU11" s="530"/>
      <c r="DV11" s="530"/>
      <c r="DW11" s="530"/>
      <c r="DX11" s="530"/>
      <c r="DY11" s="530"/>
      <c r="DZ11" s="530"/>
      <c r="EA11" s="530"/>
      <c r="EB11" s="530"/>
      <c r="EC11" s="530"/>
      <c r="ED11" s="530"/>
      <c r="EE11" s="530"/>
      <c r="EF11" s="530"/>
      <c r="EG11" s="530"/>
      <c r="EH11" s="530"/>
      <c r="EI11" s="530"/>
      <c r="EJ11" s="530"/>
      <c r="EK11" s="530"/>
      <c r="EL11" s="530"/>
      <c r="EM11" s="530"/>
      <c r="EN11" s="530"/>
      <c r="EO11" s="530"/>
      <c r="EP11" s="530"/>
      <c r="EQ11" s="530"/>
      <c r="ER11" s="530"/>
      <c r="ES11" s="530"/>
      <c r="ET11" s="530"/>
      <c r="EU11" s="530"/>
      <c r="EV11" s="530"/>
      <c r="EW11" s="530"/>
      <c r="EX11" s="530"/>
      <c r="EY11" s="530"/>
      <c r="EZ11" s="530"/>
      <c r="FA11" s="530"/>
      <c r="FB11" s="530"/>
      <c r="FC11" s="530"/>
      <c r="FD11" s="530"/>
      <c r="FE11" s="530"/>
      <c r="FF11" s="530"/>
      <c r="FG11" s="530"/>
      <c r="FH11" s="530"/>
      <c r="FI11" s="530"/>
      <c r="FJ11" s="530"/>
      <c r="FK11" s="530"/>
      <c r="FL11" s="530"/>
      <c r="FM11" s="530"/>
      <c r="FN11" s="530"/>
      <c r="FO11" s="530"/>
      <c r="FP11" s="530"/>
      <c r="FQ11" s="530"/>
      <c r="FR11" s="530"/>
      <c r="FS11" s="530"/>
      <c r="FT11" s="530"/>
      <c r="FU11" s="530"/>
      <c r="FV11" s="530"/>
      <c r="FW11" s="530"/>
      <c r="FX11" s="530"/>
      <c r="FY11" s="530"/>
      <c r="FZ11" s="530"/>
      <c r="GA11" s="530"/>
      <c r="GB11" s="530"/>
      <c r="GC11" s="530"/>
      <c r="GD11" s="530"/>
      <c r="GE11" s="530"/>
      <c r="GF11" s="530"/>
      <c r="GG11" s="530"/>
      <c r="GH11" s="530"/>
      <c r="GI11" s="530"/>
      <c r="GJ11" s="530"/>
      <c r="GK11" s="530"/>
      <c r="GL11" s="530"/>
      <c r="GM11" s="530"/>
      <c r="GN11" s="530"/>
      <c r="GO11" s="530"/>
      <c r="GP11" s="530"/>
      <c r="GQ11" s="530"/>
      <c r="GR11" s="530"/>
      <c r="GS11" s="530"/>
      <c r="GT11" s="530"/>
      <c r="GU11" s="530"/>
      <c r="GV11" s="530"/>
      <c r="GW11" s="530"/>
      <c r="GX11" s="530"/>
      <c r="GY11" s="530"/>
      <c r="GZ11" s="530"/>
      <c r="HA11" s="530"/>
      <c r="HB11" s="530"/>
      <c r="HC11" s="530"/>
      <c r="HD11" s="530"/>
      <c r="HE11" s="530"/>
      <c r="HF11" s="530"/>
      <c r="HG11" s="530"/>
      <c r="HH11" s="530"/>
      <c r="HI11" s="530"/>
      <c r="HJ11" s="530"/>
      <c r="HK11" s="530"/>
      <c r="HL11" s="530"/>
      <c r="HM11" s="530"/>
      <c r="HN11" s="530"/>
      <c r="HO11" s="530"/>
      <c r="HP11" s="530"/>
      <c r="HQ11" s="530"/>
      <c r="HR11" s="530"/>
      <c r="HS11" s="530"/>
      <c r="HT11" s="530"/>
      <c r="HU11" s="530"/>
      <c r="HV11" s="530"/>
      <c r="HW11" s="530"/>
      <c r="HX11" s="530"/>
      <c r="HY11" s="530"/>
      <c r="HZ11" s="530"/>
      <c r="IA11" s="530"/>
      <c r="IB11" s="530"/>
      <c r="IC11" s="530"/>
      <c r="ID11" s="530"/>
      <c r="IE11" s="530"/>
      <c r="IF11" s="530"/>
      <c r="IG11" s="530"/>
      <c r="IH11" s="530"/>
      <c r="II11" s="530"/>
      <c r="IJ11" s="530"/>
      <c r="IK11" s="530"/>
      <c r="IL11" s="530"/>
      <c r="IM11" s="530"/>
      <c r="IN11" s="530"/>
      <c r="IO11" s="530"/>
      <c r="IP11" s="530"/>
    </row>
    <row r="12" spans="1:250" s="539" customFormat="1" ht="19.5" customHeight="1">
      <c r="A12" s="598">
        <v>96</v>
      </c>
      <c r="B12" s="533">
        <f>'96 (R)'!$E$22</f>
        <v>87795</v>
      </c>
      <c r="C12" s="533">
        <v>33649</v>
      </c>
      <c r="D12" s="534">
        <f t="shared" si="0"/>
        <v>54146</v>
      </c>
      <c r="E12" s="535">
        <v>1</v>
      </c>
      <c r="F12" s="536">
        <f t="shared" si="1"/>
        <v>54146</v>
      </c>
      <c r="G12" s="537"/>
      <c r="H12" s="547">
        <f t="shared" si="2"/>
        <v>54146</v>
      </c>
      <c r="I12" s="551"/>
      <c r="J12" s="538"/>
      <c r="K12" s="599">
        <f t="shared" si="3"/>
        <v>96</v>
      </c>
      <c r="L12" s="530"/>
      <c r="M12" s="530"/>
      <c r="N12" s="530"/>
      <c r="O12" s="530"/>
      <c r="P12" s="530"/>
      <c r="Q12" s="530"/>
      <c r="R12" s="530"/>
      <c r="S12" s="530"/>
      <c r="T12" s="530"/>
      <c r="U12" s="530"/>
      <c r="V12" s="530"/>
      <c r="W12" s="530"/>
      <c r="X12" s="530"/>
      <c r="Y12" s="530"/>
      <c r="Z12" s="530"/>
      <c r="AA12" s="530"/>
      <c r="AB12" s="530"/>
      <c r="AC12" s="530"/>
      <c r="AD12" s="530"/>
      <c r="AE12" s="530"/>
      <c r="AF12" s="530"/>
      <c r="AG12" s="530"/>
      <c r="AH12" s="530"/>
      <c r="AI12" s="530"/>
      <c r="AJ12" s="530"/>
      <c r="AK12" s="530"/>
      <c r="AL12" s="530"/>
      <c r="AM12" s="530"/>
      <c r="AN12" s="530"/>
      <c r="AO12" s="530"/>
      <c r="AP12" s="530"/>
      <c r="AQ12" s="530"/>
      <c r="AR12" s="530"/>
      <c r="AS12" s="530"/>
      <c r="AT12" s="530"/>
      <c r="AU12" s="530"/>
      <c r="AV12" s="530"/>
      <c r="AW12" s="530"/>
      <c r="AX12" s="530"/>
      <c r="AY12" s="530"/>
      <c r="AZ12" s="530"/>
      <c r="BA12" s="530"/>
      <c r="BB12" s="530"/>
      <c r="BC12" s="530"/>
      <c r="BD12" s="530"/>
      <c r="BE12" s="530"/>
      <c r="BF12" s="530"/>
      <c r="BG12" s="530"/>
      <c r="BH12" s="530"/>
      <c r="BI12" s="530"/>
      <c r="BJ12" s="530"/>
      <c r="BK12" s="530"/>
      <c r="BL12" s="530"/>
      <c r="BM12" s="530"/>
      <c r="BN12" s="530"/>
      <c r="BO12" s="530"/>
      <c r="BP12" s="530"/>
      <c r="BQ12" s="530"/>
      <c r="BR12" s="530"/>
      <c r="BS12" s="530"/>
      <c r="BT12" s="530"/>
      <c r="BU12" s="530"/>
      <c r="BV12" s="530"/>
      <c r="BW12" s="530"/>
      <c r="BX12" s="530"/>
      <c r="BY12" s="530"/>
      <c r="BZ12" s="530"/>
      <c r="CA12" s="530"/>
      <c r="CB12" s="530"/>
      <c r="CC12" s="530"/>
      <c r="CD12" s="530"/>
      <c r="CE12" s="530"/>
      <c r="CF12" s="530"/>
      <c r="CG12" s="530"/>
      <c r="CH12" s="530"/>
      <c r="CI12" s="530"/>
      <c r="CJ12" s="530"/>
      <c r="CK12" s="530"/>
      <c r="CL12" s="530"/>
      <c r="CM12" s="530"/>
      <c r="CN12" s="530"/>
      <c r="CO12" s="530"/>
      <c r="CP12" s="530"/>
      <c r="CQ12" s="530"/>
      <c r="CR12" s="530"/>
      <c r="CS12" s="530"/>
      <c r="CT12" s="530"/>
      <c r="CU12" s="530"/>
      <c r="CV12" s="530"/>
      <c r="CW12" s="530"/>
      <c r="CX12" s="530"/>
      <c r="CY12" s="530"/>
      <c r="CZ12" s="530"/>
      <c r="DA12" s="530"/>
      <c r="DB12" s="530"/>
      <c r="DC12" s="530"/>
      <c r="DD12" s="530"/>
      <c r="DE12" s="530"/>
      <c r="DF12" s="530"/>
      <c r="DG12" s="530"/>
      <c r="DH12" s="530"/>
      <c r="DI12" s="530"/>
      <c r="DJ12" s="530"/>
      <c r="DK12" s="530"/>
      <c r="DL12" s="530"/>
      <c r="DM12" s="530"/>
      <c r="DN12" s="530"/>
      <c r="DO12" s="530"/>
      <c r="DP12" s="530"/>
      <c r="DQ12" s="530"/>
      <c r="DR12" s="530"/>
      <c r="DS12" s="530"/>
      <c r="DT12" s="530"/>
      <c r="DU12" s="530"/>
      <c r="DV12" s="530"/>
      <c r="DW12" s="530"/>
      <c r="DX12" s="530"/>
      <c r="DY12" s="530"/>
      <c r="DZ12" s="530"/>
      <c r="EA12" s="530"/>
      <c r="EB12" s="530"/>
      <c r="EC12" s="530"/>
      <c r="ED12" s="530"/>
      <c r="EE12" s="530"/>
      <c r="EF12" s="530"/>
      <c r="EG12" s="530"/>
      <c r="EH12" s="530"/>
      <c r="EI12" s="530"/>
      <c r="EJ12" s="530"/>
      <c r="EK12" s="530"/>
      <c r="EL12" s="530"/>
      <c r="EM12" s="530"/>
      <c r="EN12" s="530"/>
      <c r="EO12" s="530"/>
      <c r="EP12" s="530"/>
      <c r="EQ12" s="530"/>
      <c r="ER12" s="530"/>
      <c r="ES12" s="530"/>
      <c r="ET12" s="530"/>
      <c r="EU12" s="530"/>
      <c r="EV12" s="530"/>
      <c r="EW12" s="530"/>
      <c r="EX12" s="530"/>
      <c r="EY12" s="530"/>
      <c r="EZ12" s="530"/>
      <c r="FA12" s="530"/>
      <c r="FB12" s="530"/>
      <c r="FC12" s="530"/>
      <c r="FD12" s="530"/>
      <c r="FE12" s="530"/>
      <c r="FF12" s="530"/>
      <c r="FG12" s="530"/>
      <c r="FH12" s="530"/>
      <c r="FI12" s="530"/>
      <c r="FJ12" s="530"/>
      <c r="FK12" s="530"/>
      <c r="FL12" s="530"/>
      <c r="FM12" s="530"/>
      <c r="FN12" s="530"/>
      <c r="FO12" s="530"/>
      <c r="FP12" s="530"/>
      <c r="FQ12" s="530"/>
      <c r="FR12" s="530"/>
      <c r="FS12" s="530"/>
      <c r="FT12" s="530"/>
      <c r="FU12" s="530"/>
      <c r="FV12" s="530"/>
      <c r="FW12" s="530"/>
      <c r="FX12" s="530"/>
      <c r="FY12" s="530"/>
      <c r="FZ12" s="530"/>
      <c r="GA12" s="530"/>
      <c r="GB12" s="530"/>
      <c r="GC12" s="530"/>
      <c r="GD12" s="530"/>
      <c r="GE12" s="530"/>
      <c r="GF12" s="530"/>
      <c r="GG12" s="530"/>
      <c r="GH12" s="530"/>
      <c r="GI12" s="530"/>
      <c r="GJ12" s="530"/>
      <c r="GK12" s="530"/>
      <c r="GL12" s="530"/>
      <c r="GM12" s="530"/>
      <c r="GN12" s="530"/>
      <c r="GO12" s="530"/>
      <c r="GP12" s="530"/>
      <c r="GQ12" s="530"/>
      <c r="GR12" s="530"/>
      <c r="GS12" s="530"/>
      <c r="GT12" s="530"/>
      <c r="GU12" s="530"/>
      <c r="GV12" s="530"/>
      <c r="GW12" s="530"/>
      <c r="GX12" s="530"/>
      <c r="GY12" s="530"/>
      <c r="GZ12" s="530"/>
      <c r="HA12" s="530"/>
      <c r="HB12" s="530"/>
      <c r="HC12" s="530"/>
      <c r="HD12" s="530"/>
      <c r="HE12" s="530"/>
      <c r="HF12" s="530"/>
      <c r="HG12" s="530"/>
      <c r="HH12" s="530"/>
      <c r="HI12" s="530"/>
      <c r="HJ12" s="530"/>
      <c r="HK12" s="530"/>
      <c r="HL12" s="530"/>
      <c r="HM12" s="530"/>
      <c r="HN12" s="530"/>
      <c r="HO12" s="530"/>
      <c r="HP12" s="530"/>
      <c r="HQ12" s="530"/>
      <c r="HR12" s="530"/>
      <c r="HS12" s="530"/>
      <c r="HT12" s="530"/>
      <c r="HU12" s="530"/>
      <c r="HV12" s="530"/>
      <c r="HW12" s="530"/>
      <c r="HX12" s="530"/>
      <c r="HY12" s="530"/>
      <c r="HZ12" s="530"/>
      <c r="IA12" s="530"/>
      <c r="IB12" s="530"/>
      <c r="IC12" s="530"/>
      <c r="ID12" s="530"/>
      <c r="IE12" s="530"/>
      <c r="IF12" s="530"/>
      <c r="IG12" s="530"/>
      <c r="IH12" s="530"/>
      <c r="II12" s="530"/>
      <c r="IJ12" s="530"/>
      <c r="IK12" s="530"/>
      <c r="IL12" s="530"/>
      <c r="IM12" s="530"/>
      <c r="IN12" s="530"/>
      <c r="IO12" s="530"/>
      <c r="IP12" s="530"/>
    </row>
    <row r="13" spans="1:250" s="539" customFormat="1" ht="19.5" customHeight="1">
      <c r="A13" s="598">
        <v>43</v>
      </c>
      <c r="B13" s="533">
        <f>'43 (R)'!$F$26</f>
        <v>3055780</v>
      </c>
      <c r="C13" s="533">
        <v>2754360</v>
      </c>
      <c r="D13" s="534">
        <f t="shared" si="0"/>
        <v>301420</v>
      </c>
      <c r="E13" s="535">
        <v>1</v>
      </c>
      <c r="F13" s="536">
        <f t="shared" si="1"/>
        <v>301420</v>
      </c>
      <c r="G13" s="537"/>
      <c r="H13" s="547">
        <f t="shared" si="2"/>
        <v>301420</v>
      </c>
      <c r="I13" s="551"/>
      <c r="J13" s="538" t="s">
        <v>558</v>
      </c>
      <c r="K13" s="599">
        <f t="shared" si="3"/>
        <v>43</v>
      </c>
      <c r="L13" s="530"/>
      <c r="M13" s="530"/>
      <c r="N13" s="530"/>
      <c r="O13" s="530"/>
      <c r="P13" s="530"/>
      <c r="Q13" s="530"/>
      <c r="R13" s="530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30"/>
      <c r="AE13" s="530"/>
      <c r="AF13" s="530"/>
      <c r="AG13" s="530"/>
      <c r="AH13" s="530"/>
      <c r="AI13" s="530"/>
      <c r="AJ13" s="530"/>
      <c r="AK13" s="530"/>
      <c r="AL13" s="530"/>
      <c r="AM13" s="530"/>
      <c r="AN13" s="530"/>
      <c r="AO13" s="530"/>
      <c r="AP13" s="530"/>
      <c r="AQ13" s="530"/>
      <c r="AR13" s="530"/>
      <c r="AS13" s="530"/>
      <c r="AT13" s="530"/>
      <c r="AU13" s="530"/>
      <c r="AV13" s="530"/>
      <c r="AW13" s="530"/>
      <c r="AX13" s="530"/>
      <c r="AY13" s="530"/>
      <c r="AZ13" s="530"/>
      <c r="BA13" s="530"/>
      <c r="BB13" s="530"/>
      <c r="BC13" s="530"/>
      <c r="BD13" s="530"/>
      <c r="BE13" s="530"/>
      <c r="BF13" s="530"/>
      <c r="BG13" s="530"/>
      <c r="BH13" s="530"/>
      <c r="BI13" s="530"/>
      <c r="BJ13" s="530"/>
      <c r="BK13" s="530"/>
      <c r="BL13" s="530"/>
      <c r="BM13" s="530"/>
      <c r="BN13" s="530"/>
      <c r="BO13" s="530"/>
      <c r="BP13" s="530"/>
      <c r="BQ13" s="530"/>
      <c r="BR13" s="530"/>
      <c r="BS13" s="530"/>
      <c r="BT13" s="530"/>
      <c r="BU13" s="530"/>
      <c r="BV13" s="530"/>
      <c r="BW13" s="530"/>
      <c r="BX13" s="530"/>
      <c r="BY13" s="530"/>
      <c r="BZ13" s="530"/>
      <c r="CA13" s="530"/>
      <c r="CB13" s="530"/>
      <c r="CC13" s="530"/>
      <c r="CD13" s="530"/>
      <c r="CE13" s="530"/>
      <c r="CF13" s="530"/>
      <c r="CG13" s="530"/>
      <c r="CH13" s="530"/>
      <c r="CI13" s="530"/>
      <c r="CJ13" s="530"/>
      <c r="CK13" s="530"/>
      <c r="CL13" s="530"/>
      <c r="CM13" s="530"/>
      <c r="CN13" s="530"/>
      <c r="CO13" s="530"/>
      <c r="CP13" s="530"/>
      <c r="CQ13" s="530"/>
      <c r="CR13" s="530"/>
      <c r="CS13" s="530"/>
      <c r="CT13" s="530"/>
      <c r="CU13" s="530"/>
      <c r="CV13" s="530"/>
      <c r="CW13" s="530"/>
      <c r="CX13" s="530"/>
      <c r="CY13" s="530"/>
      <c r="CZ13" s="530"/>
      <c r="DA13" s="530"/>
      <c r="DB13" s="530"/>
      <c r="DC13" s="530"/>
      <c r="DD13" s="530"/>
      <c r="DE13" s="530"/>
      <c r="DF13" s="530"/>
      <c r="DG13" s="530"/>
      <c r="DH13" s="530"/>
      <c r="DI13" s="530"/>
      <c r="DJ13" s="530"/>
      <c r="DK13" s="530"/>
      <c r="DL13" s="530"/>
      <c r="DM13" s="530"/>
      <c r="DN13" s="530"/>
      <c r="DO13" s="530"/>
      <c r="DP13" s="530"/>
      <c r="DQ13" s="530"/>
      <c r="DR13" s="530"/>
      <c r="DS13" s="530"/>
      <c r="DT13" s="530"/>
      <c r="DU13" s="530"/>
      <c r="DV13" s="530"/>
      <c r="DW13" s="530"/>
      <c r="DX13" s="530"/>
      <c r="DY13" s="530"/>
      <c r="DZ13" s="530"/>
      <c r="EA13" s="530"/>
      <c r="EB13" s="530"/>
      <c r="EC13" s="530"/>
      <c r="ED13" s="530"/>
      <c r="EE13" s="530"/>
      <c r="EF13" s="530"/>
      <c r="EG13" s="530"/>
      <c r="EH13" s="530"/>
      <c r="EI13" s="530"/>
      <c r="EJ13" s="530"/>
      <c r="EK13" s="530"/>
      <c r="EL13" s="530"/>
      <c r="EM13" s="530"/>
      <c r="EN13" s="530"/>
      <c r="EO13" s="530"/>
      <c r="EP13" s="530"/>
      <c r="EQ13" s="530"/>
      <c r="ER13" s="530"/>
      <c r="ES13" s="530"/>
      <c r="ET13" s="530"/>
      <c r="EU13" s="530"/>
      <c r="EV13" s="530"/>
      <c r="EW13" s="530"/>
      <c r="EX13" s="530"/>
      <c r="EY13" s="530"/>
      <c r="EZ13" s="530"/>
      <c r="FA13" s="530"/>
      <c r="FB13" s="530"/>
      <c r="FC13" s="530"/>
      <c r="FD13" s="530"/>
      <c r="FE13" s="530"/>
      <c r="FF13" s="530"/>
      <c r="FG13" s="530"/>
      <c r="FH13" s="530"/>
      <c r="FI13" s="530"/>
      <c r="FJ13" s="530"/>
      <c r="FK13" s="530"/>
      <c r="FL13" s="530"/>
      <c r="FM13" s="530"/>
      <c r="FN13" s="530"/>
      <c r="FO13" s="530"/>
      <c r="FP13" s="530"/>
      <c r="FQ13" s="530"/>
      <c r="FR13" s="530"/>
      <c r="FS13" s="530"/>
      <c r="FT13" s="530"/>
      <c r="FU13" s="530"/>
      <c r="FV13" s="530"/>
      <c r="FW13" s="530"/>
      <c r="FX13" s="530"/>
      <c r="FY13" s="530"/>
      <c r="FZ13" s="530"/>
      <c r="GA13" s="530"/>
      <c r="GB13" s="530"/>
      <c r="GC13" s="530"/>
      <c r="GD13" s="530"/>
      <c r="GE13" s="530"/>
      <c r="GF13" s="530"/>
      <c r="GG13" s="530"/>
      <c r="GH13" s="530"/>
      <c r="GI13" s="530"/>
      <c r="GJ13" s="530"/>
      <c r="GK13" s="530"/>
      <c r="GL13" s="530"/>
      <c r="GM13" s="530"/>
      <c r="GN13" s="530"/>
      <c r="GO13" s="530"/>
      <c r="GP13" s="530"/>
      <c r="GQ13" s="530"/>
      <c r="GR13" s="530"/>
      <c r="GS13" s="530"/>
      <c r="GT13" s="530"/>
      <c r="GU13" s="530"/>
      <c r="GV13" s="530"/>
      <c r="GW13" s="530"/>
      <c r="GX13" s="530"/>
      <c r="GY13" s="530"/>
      <c r="GZ13" s="530"/>
      <c r="HA13" s="530"/>
      <c r="HB13" s="530"/>
      <c r="HC13" s="530"/>
      <c r="HD13" s="530"/>
      <c r="HE13" s="530"/>
      <c r="HF13" s="530"/>
      <c r="HG13" s="530"/>
      <c r="HH13" s="530"/>
      <c r="HI13" s="530"/>
      <c r="HJ13" s="530"/>
      <c r="HK13" s="530"/>
      <c r="HL13" s="530"/>
      <c r="HM13" s="530"/>
      <c r="HN13" s="530"/>
      <c r="HO13" s="530"/>
      <c r="HP13" s="530"/>
      <c r="HQ13" s="530"/>
      <c r="HR13" s="530"/>
      <c r="HS13" s="530"/>
      <c r="HT13" s="530"/>
      <c r="HU13" s="530"/>
      <c r="HV13" s="530"/>
      <c r="HW13" s="530"/>
      <c r="HX13" s="530"/>
      <c r="HY13" s="530"/>
      <c r="HZ13" s="530"/>
      <c r="IA13" s="530"/>
      <c r="IB13" s="530"/>
      <c r="IC13" s="530"/>
      <c r="ID13" s="530"/>
      <c r="IE13" s="530"/>
      <c r="IF13" s="530"/>
      <c r="IG13" s="530"/>
      <c r="IH13" s="530"/>
      <c r="II13" s="530"/>
      <c r="IJ13" s="530"/>
      <c r="IK13" s="530"/>
      <c r="IL13" s="530"/>
      <c r="IM13" s="530"/>
      <c r="IN13" s="530"/>
      <c r="IO13" s="530"/>
      <c r="IP13" s="530"/>
    </row>
    <row r="14" spans="1:250" s="539" customFormat="1" ht="19.5" customHeight="1">
      <c r="A14" s="598">
        <v>111</v>
      </c>
      <c r="B14" s="533">
        <f>+'111 (R)'!$F$26</f>
        <v>1095813</v>
      </c>
      <c r="C14" s="533">
        <v>37439</v>
      </c>
      <c r="D14" s="534">
        <f t="shared" si="0"/>
        <v>1058374</v>
      </c>
      <c r="E14" s="535">
        <v>1</v>
      </c>
      <c r="F14" s="536">
        <f t="shared" si="1"/>
        <v>1058374</v>
      </c>
      <c r="G14" s="537"/>
      <c r="H14" s="547">
        <f t="shared" si="2"/>
        <v>1058374</v>
      </c>
      <c r="I14" s="551"/>
      <c r="J14" s="538"/>
      <c r="K14" s="599">
        <f t="shared" si="3"/>
        <v>111</v>
      </c>
      <c r="L14" s="530"/>
      <c r="M14" s="530"/>
      <c r="N14" s="530"/>
      <c r="O14" s="530"/>
      <c r="P14" s="530"/>
      <c r="Q14" s="530"/>
      <c r="R14" s="530"/>
      <c r="S14" s="530"/>
      <c r="T14" s="530"/>
      <c r="U14" s="530"/>
      <c r="V14" s="530"/>
      <c r="W14" s="530"/>
      <c r="X14" s="530"/>
      <c r="Y14" s="530"/>
      <c r="Z14" s="530"/>
      <c r="AA14" s="530"/>
      <c r="AB14" s="530"/>
      <c r="AC14" s="530"/>
      <c r="AD14" s="530"/>
      <c r="AE14" s="530"/>
      <c r="AF14" s="530"/>
      <c r="AG14" s="530"/>
      <c r="AH14" s="530"/>
      <c r="AI14" s="530"/>
      <c r="AJ14" s="530"/>
      <c r="AK14" s="530"/>
      <c r="AL14" s="530"/>
      <c r="AM14" s="530"/>
      <c r="AN14" s="530"/>
      <c r="AO14" s="530"/>
      <c r="AP14" s="530"/>
      <c r="AQ14" s="530"/>
      <c r="AR14" s="530"/>
      <c r="AS14" s="530"/>
      <c r="AT14" s="530"/>
      <c r="AU14" s="530"/>
      <c r="AV14" s="530"/>
      <c r="AW14" s="530"/>
      <c r="AX14" s="530"/>
      <c r="AY14" s="530"/>
      <c r="AZ14" s="530"/>
      <c r="BA14" s="530"/>
      <c r="BB14" s="530"/>
      <c r="BC14" s="530"/>
      <c r="BD14" s="530"/>
      <c r="BE14" s="530"/>
      <c r="BF14" s="530"/>
      <c r="BG14" s="530"/>
      <c r="BH14" s="530"/>
      <c r="BI14" s="530"/>
      <c r="BJ14" s="530"/>
      <c r="BK14" s="530"/>
      <c r="BL14" s="530"/>
      <c r="BM14" s="530"/>
      <c r="BN14" s="530"/>
      <c r="BO14" s="530"/>
      <c r="BP14" s="530"/>
      <c r="BQ14" s="530"/>
      <c r="BR14" s="530"/>
      <c r="BS14" s="530"/>
      <c r="BT14" s="530"/>
      <c r="BU14" s="530"/>
      <c r="BV14" s="530"/>
      <c r="BW14" s="530"/>
      <c r="BX14" s="530"/>
      <c r="BY14" s="530"/>
      <c r="BZ14" s="530"/>
      <c r="CA14" s="530"/>
      <c r="CB14" s="530"/>
      <c r="CC14" s="530"/>
      <c r="CD14" s="530"/>
      <c r="CE14" s="530"/>
      <c r="CF14" s="530"/>
      <c r="CG14" s="530"/>
      <c r="CH14" s="530"/>
      <c r="CI14" s="530"/>
      <c r="CJ14" s="530"/>
      <c r="CK14" s="530"/>
      <c r="CL14" s="530"/>
      <c r="CM14" s="530"/>
      <c r="CN14" s="530"/>
      <c r="CO14" s="530"/>
      <c r="CP14" s="530"/>
      <c r="CQ14" s="530"/>
      <c r="CR14" s="530"/>
      <c r="CS14" s="530"/>
      <c r="CT14" s="530"/>
      <c r="CU14" s="530"/>
      <c r="CV14" s="530"/>
      <c r="CW14" s="530"/>
      <c r="CX14" s="530"/>
      <c r="CY14" s="530"/>
      <c r="CZ14" s="530"/>
      <c r="DA14" s="530"/>
      <c r="DB14" s="530"/>
      <c r="DC14" s="530"/>
      <c r="DD14" s="530"/>
      <c r="DE14" s="530"/>
      <c r="DF14" s="530"/>
      <c r="DG14" s="530"/>
      <c r="DH14" s="530"/>
      <c r="DI14" s="530"/>
      <c r="DJ14" s="530"/>
      <c r="DK14" s="530"/>
      <c r="DL14" s="530"/>
      <c r="DM14" s="530"/>
      <c r="DN14" s="530"/>
      <c r="DO14" s="530"/>
      <c r="DP14" s="530"/>
      <c r="DQ14" s="530"/>
      <c r="DR14" s="530"/>
      <c r="DS14" s="530"/>
      <c r="DT14" s="530"/>
      <c r="DU14" s="530"/>
      <c r="DV14" s="530"/>
      <c r="DW14" s="530"/>
      <c r="DX14" s="530"/>
      <c r="DY14" s="530"/>
      <c r="DZ14" s="530"/>
      <c r="EA14" s="530"/>
      <c r="EB14" s="530"/>
      <c r="EC14" s="530"/>
      <c r="ED14" s="530"/>
      <c r="EE14" s="530"/>
      <c r="EF14" s="530"/>
      <c r="EG14" s="530"/>
      <c r="EH14" s="530"/>
      <c r="EI14" s="530"/>
      <c r="EJ14" s="530"/>
      <c r="EK14" s="530"/>
      <c r="EL14" s="530"/>
      <c r="EM14" s="530"/>
      <c r="EN14" s="530"/>
      <c r="EO14" s="530"/>
      <c r="EP14" s="530"/>
      <c r="EQ14" s="530"/>
      <c r="ER14" s="530"/>
      <c r="ES14" s="530"/>
      <c r="ET14" s="530"/>
      <c r="EU14" s="530"/>
      <c r="EV14" s="530"/>
      <c r="EW14" s="530"/>
      <c r="EX14" s="530"/>
      <c r="EY14" s="530"/>
      <c r="EZ14" s="530"/>
      <c r="FA14" s="530"/>
      <c r="FB14" s="530"/>
      <c r="FC14" s="530"/>
      <c r="FD14" s="530"/>
      <c r="FE14" s="530"/>
      <c r="FF14" s="530"/>
      <c r="FG14" s="530"/>
      <c r="FH14" s="530"/>
      <c r="FI14" s="530"/>
      <c r="FJ14" s="530"/>
      <c r="FK14" s="530"/>
      <c r="FL14" s="530"/>
      <c r="FM14" s="530"/>
      <c r="FN14" s="530"/>
      <c r="FO14" s="530"/>
      <c r="FP14" s="530"/>
      <c r="FQ14" s="530"/>
      <c r="FR14" s="530"/>
      <c r="FS14" s="530"/>
      <c r="FT14" s="530"/>
      <c r="FU14" s="530"/>
      <c r="FV14" s="530"/>
      <c r="FW14" s="530"/>
      <c r="FX14" s="530"/>
      <c r="FY14" s="530"/>
      <c r="FZ14" s="530"/>
      <c r="GA14" s="530"/>
      <c r="GB14" s="530"/>
      <c r="GC14" s="530"/>
      <c r="GD14" s="530"/>
      <c r="GE14" s="530"/>
      <c r="GF14" s="530"/>
      <c r="GG14" s="530"/>
      <c r="GH14" s="530"/>
      <c r="GI14" s="530"/>
      <c r="GJ14" s="530"/>
      <c r="GK14" s="530"/>
      <c r="GL14" s="530"/>
      <c r="GM14" s="530"/>
      <c r="GN14" s="530"/>
      <c r="GO14" s="530"/>
      <c r="GP14" s="530"/>
      <c r="GQ14" s="530"/>
      <c r="GR14" s="530"/>
      <c r="GS14" s="530"/>
      <c r="GT14" s="530"/>
      <c r="GU14" s="530"/>
      <c r="GV14" s="530"/>
      <c r="GW14" s="530"/>
      <c r="GX14" s="530"/>
      <c r="GY14" s="530"/>
      <c r="GZ14" s="530"/>
      <c r="HA14" s="530"/>
      <c r="HB14" s="530"/>
      <c r="HC14" s="530"/>
      <c r="HD14" s="530"/>
      <c r="HE14" s="530"/>
      <c r="HF14" s="530"/>
      <c r="HG14" s="530"/>
      <c r="HH14" s="530"/>
      <c r="HI14" s="530"/>
      <c r="HJ14" s="530"/>
      <c r="HK14" s="530"/>
      <c r="HL14" s="530"/>
      <c r="HM14" s="530"/>
      <c r="HN14" s="530"/>
      <c r="HO14" s="530"/>
      <c r="HP14" s="530"/>
      <c r="HQ14" s="530"/>
      <c r="HR14" s="530"/>
      <c r="HS14" s="530"/>
      <c r="HT14" s="530"/>
      <c r="HU14" s="530"/>
      <c r="HV14" s="530"/>
      <c r="HW14" s="530"/>
      <c r="HX14" s="530"/>
      <c r="HY14" s="530"/>
      <c r="HZ14" s="530"/>
      <c r="IA14" s="530"/>
      <c r="IB14" s="530"/>
      <c r="IC14" s="530"/>
      <c r="ID14" s="530"/>
      <c r="IE14" s="530"/>
      <c r="IF14" s="530"/>
      <c r="IG14" s="530"/>
      <c r="IH14" s="530"/>
      <c r="II14" s="530"/>
      <c r="IJ14" s="530"/>
      <c r="IK14" s="530"/>
      <c r="IL14" s="530"/>
      <c r="IM14" s="530"/>
      <c r="IN14" s="530"/>
      <c r="IO14" s="530"/>
      <c r="IP14" s="530"/>
    </row>
    <row r="15" spans="1:250" s="539" customFormat="1" ht="19.5" customHeight="1">
      <c r="A15" s="598">
        <v>91</v>
      </c>
      <c r="B15" s="533">
        <f>'91 (R)'!$F$31</f>
        <v>148748</v>
      </c>
      <c r="C15" s="533">
        <v>55205</v>
      </c>
      <c r="D15" s="534">
        <f t="shared" si="0"/>
        <v>93543</v>
      </c>
      <c r="E15" s="535">
        <v>1</v>
      </c>
      <c r="F15" s="536">
        <f t="shared" si="1"/>
        <v>93543</v>
      </c>
      <c r="G15" s="537"/>
      <c r="H15" s="547">
        <f t="shared" si="2"/>
        <v>93543</v>
      </c>
      <c r="I15" s="551"/>
      <c r="J15" s="538"/>
      <c r="K15" s="599">
        <f t="shared" si="3"/>
        <v>91</v>
      </c>
      <c r="L15" s="530"/>
      <c r="M15" s="530"/>
      <c r="N15" s="530"/>
      <c r="O15" s="530"/>
      <c r="P15" s="530"/>
      <c r="Q15" s="530"/>
      <c r="R15" s="530"/>
      <c r="S15" s="530"/>
      <c r="T15" s="530"/>
      <c r="U15" s="530"/>
      <c r="V15" s="530"/>
      <c r="W15" s="530"/>
      <c r="X15" s="530"/>
      <c r="Y15" s="530"/>
      <c r="Z15" s="530"/>
      <c r="AA15" s="530"/>
      <c r="AB15" s="530"/>
      <c r="AC15" s="530"/>
      <c r="AD15" s="530"/>
      <c r="AE15" s="530"/>
      <c r="AF15" s="530"/>
      <c r="AG15" s="530"/>
      <c r="AH15" s="530"/>
      <c r="AI15" s="530"/>
      <c r="AJ15" s="530"/>
      <c r="AK15" s="530"/>
      <c r="AL15" s="530"/>
      <c r="AM15" s="530"/>
      <c r="AN15" s="530"/>
      <c r="AO15" s="530"/>
      <c r="AP15" s="530"/>
      <c r="AQ15" s="530"/>
      <c r="AR15" s="530"/>
      <c r="AS15" s="530"/>
      <c r="AT15" s="530"/>
      <c r="AU15" s="530"/>
      <c r="AV15" s="530"/>
      <c r="AW15" s="530"/>
      <c r="AX15" s="530"/>
      <c r="AY15" s="530"/>
      <c r="AZ15" s="530"/>
      <c r="BA15" s="530"/>
      <c r="BB15" s="530"/>
      <c r="BC15" s="530"/>
      <c r="BD15" s="530"/>
      <c r="BE15" s="530"/>
      <c r="BF15" s="530"/>
      <c r="BG15" s="530"/>
      <c r="BH15" s="530"/>
      <c r="BI15" s="530"/>
      <c r="BJ15" s="530"/>
      <c r="BK15" s="530"/>
      <c r="BL15" s="530"/>
      <c r="BM15" s="530"/>
      <c r="BN15" s="530"/>
      <c r="BO15" s="530"/>
      <c r="BP15" s="530"/>
      <c r="BQ15" s="530"/>
      <c r="BR15" s="530"/>
      <c r="BS15" s="530"/>
      <c r="BT15" s="530"/>
      <c r="BU15" s="530"/>
      <c r="BV15" s="530"/>
      <c r="BW15" s="530"/>
      <c r="BX15" s="530"/>
      <c r="BY15" s="530"/>
      <c r="BZ15" s="530"/>
      <c r="CA15" s="530"/>
      <c r="CB15" s="530"/>
      <c r="CC15" s="530"/>
      <c r="CD15" s="530"/>
      <c r="CE15" s="530"/>
      <c r="CF15" s="530"/>
      <c r="CG15" s="530"/>
      <c r="CH15" s="530"/>
      <c r="CI15" s="530"/>
      <c r="CJ15" s="530"/>
      <c r="CK15" s="530"/>
      <c r="CL15" s="530"/>
      <c r="CM15" s="530"/>
      <c r="CN15" s="530"/>
      <c r="CO15" s="530"/>
      <c r="CP15" s="530"/>
      <c r="CQ15" s="530"/>
      <c r="CR15" s="530"/>
      <c r="CS15" s="530"/>
      <c r="CT15" s="530"/>
      <c r="CU15" s="530"/>
      <c r="CV15" s="530"/>
      <c r="CW15" s="530"/>
      <c r="CX15" s="530"/>
      <c r="CY15" s="530"/>
      <c r="CZ15" s="530"/>
      <c r="DA15" s="530"/>
      <c r="DB15" s="530"/>
      <c r="DC15" s="530"/>
      <c r="DD15" s="530"/>
      <c r="DE15" s="530"/>
      <c r="DF15" s="530"/>
      <c r="DG15" s="530"/>
      <c r="DH15" s="530"/>
      <c r="DI15" s="530"/>
      <c r="DJ15" s="530"/>
      <c r="DK15" s="530"/>
      <c r="DL15" s="530"/>
      <c r="DM15" s="530"/>
      <c r="DN15" s="530"/>
      <c r="DO15" s="530"/>
      <c r="DP15" s="530"/>
      <c r="DQ15" s="530"/>
      <c r="DR15" s="530"/>
      <c r="DS15" s="530"/>
      <c r="DT15" s="530"/>
      <c r="DU15" s="530"/>
      <c r="DV15" s="530"/>
      <c r="DW15" s="530"/>
      <c r="DX15" s="530"/>
      <c r="DY15" s="530"/>
      <c r="DZ15" s="530"/>
      <c r="EA15" s="530"/>
      <c r="EB15" s="530"/>
      <c r="EC15" s="530"/>
      <c r="ED15" s="530"/>
      <c r="EE15" s="530"/>
      <c r="EF15" s="530"/>
      <c r="EG15" s="530"/>
      <c r="EH15" s="530"/>
      <c r="EI15" s="530"/>
      <c r="EJ15" s="530"/>
      <c r="EK15" s="530"/>
      <c r="EL15" s="530"/>
      <c r="EM15" s="530"/>
      <c r="EN15" s="530"/>
      <c r="EO15" s="530"/>
      <c r="EP15" s="530"/>
      <c r="EQ15" s="530"/>
      <c r="ER15" s="530"/>
      <c r="ES15" s="530"/>
      <c r="ET15" s="530"/>
      <c r="EU15" s="530"/>
      <c r="EV15" s="530"/>
      <c r="EW15" s="530"/>
      <c r="EX15" s="530"/>
      <c r="EY15" s="530"/>
      <c r="EZ15" s="530"/>
      <c r="FA15" s="530"/>
      <c r="FB15" s="530"/>
      <c r="FC15" s="530"/>
      <c r="FD15" s="530"/>
      <c r="FE15" s="530"/>
      <c r="FF15" s="530"/>
      <c r="FG15" s="530"/>
      <c r="FH15" s="530"/>
      <c r="FI15" s="530"/>
      <c r="FJ15" s="530"/>
      <c r="FK15" s="530"/>
      <c r="FL15" s="530"/>
      <c r="FM15" s="530"/>
      <c r="FN15" s="530"/>
      <c r="FO15" s="530"/>
      <c r="FP15" s="530"/>
      <c r="FQ15" s="530"/>
      <c r="FR15" s="530"/>
      <c r="FS15" s="530"/>
      <c r="FT15" s="530"/>
      <c r="FU15" s="530"/>
      <c r="FV15" s="530"/>
      <c r="FW15" s="530"/>
      <c r="FX15" s="530"/>
      <c r="FY15" s="530"/>
      <c r="FZ15" s="530"/>
      <c r="GA15" s="530"/>
      <c r="GB15" s="530"/>
      <c r="GC15" s="530"/>
      <c r="GD15" s="530"/>
      <c r="GE15" s="530"/>
      <c r="GF15" s="530"/>
      <c r="GG15" s="530"/>
      <c r="GH15" s="530"/>
      <c r="GI15" s="530"/>
      <c r="GJ15" s="530"/>
      <c r="GK15" s="530"/>
      <c r="GL15" s="530"/>
      <c r="GM15" s="530"/>
      <c r="GN15" s="530"/>
      <c r="GO15" s="530"/>
      <c r="GP15" s="530"/>
      <c r="GQ15" s="530"/>
      <c r="GR15" s="530"/>
      <c r="GS15" s="530"/>
      <c r="GT15" s="530"/>
      <c r="GU15" s="530"/>
      <c r="GV15" s="530"/>
      <c r="GW15" s="530"/>
      <c r="GX15" s="530"/>
      <c r="GY15" s="530"/>
      <c r="GZ15" s="530"/>
      <c r="HA15" s="530"/>
      <c r="HB15" s="530"/>
      <c r="HC15" s="530"/>
      <c r="HD15" s="530"/>
      <c r="HE15" s="530"/>
      <c r="HF15" s="530"/>
      <c r="HG15" s="530"/>
      <c r="HH15" s="530"/>
      <c r="HI15" s="530"/>
      <c r="HJ15" s="530"/>
      <c r="HK15" s="530"/>
      <c r="HL15" s="530"/>
      <c r="HM15" s="530"/>
      <c r="HN15" s="530"/>
      <c r="HO15" s="530"/>
      <c r="HP15" s="530"/>
      <c r="HQ15" s="530"/>
      <c r="HR15" s="530"/>
      <c r="HS15" s="530"/>
      <c r="HT15" s="530"/>
      <c r="HU15" s="530"/>
      <c r="HV15" s="530"/>
      <c r="HW15" s="530"/>
      <c r="HX15" s="530"/>
      <c r="HY15" s="530"/>
      <c r="HZ15" s="530"/>
      <c r="IA15" s="530"/>
      <c r="IB15" s="530"/>
      <c r="IC15" s="530"/>
      <c r="ID15" s="530"/>
      <c r="IE15" s="530"/>
      <c r="IF15" s="530"/>
      <c r="IG15" s="530"/>
      <c r="IH15" s="530"/>
      <c r="II15" s="530"/>
      <c r="IJ15" s="530"/>
      <c r="IK15" s="530"/>
      <c r="IL15" s="530"/>
      <c r="IM15" s="530"/>
      <c r="IN15" s="530"/>
      <c r="IO15" s="530"/>
      <c r="IP15" s="530"/>
    </row>
    <row r="16" spans="1:250" s="539" customFormat="1" ht="19.5" customHeight="1">
      <c r="A16" s="598">
        <v>40</v>
      </c>
      <c r="B16" s="533">
        <f>'40 (R)'!$F$27</f>
        <v>3116190</v>
      </c>
      <c r="C16" s="533">
        <v>2778310</v>
      </c>
      <c r="D16" s="534">
        <f t="shared" si="0"/>
        <v>337880</v>
      </c>
      <c r="E16" s="535">
        <v>1</v>
      </c>
      <c r="F16" s="536">
        <f t="shared" si="1"/>
        <v>337880</v>
      </c>
      <c r="G16" s="537"/>
      <c r="H16" s="547">
        <f t="shared" si="2"/>
        <v>337880</v>
      </c>
      <c r="I16" s="551"/>
      <c r="J16" s="538"/>
      <c r="K16" s="599">
        <f t="shared" si="3"/>
        <v>40</v>
      </c>
      <c r="L16" s="530"/>
      <c r="M16" s="530"/>
      <c r="N16" s="530"/>
      <c r="O16" s="530"/>
      <c r="P16" s="530"/>
      <c r="Q16" s="530"/>
      <c r="R16" s="530"/>
      <c r="S16" s="530"/>
      <c r="T16" s="530"/>
      <c r="U16" s="530"/>
      <c r="V16" s="530"/>
      <c r="W16" s="530"/>
      <c r="X16" s="530"/>
      <c r="Y16" s="530"/>
      <c r="Z16" s="530"/>
      <c r="AA16" s="530"/>
      <c r="AB16" s="530"/>
      <c r="AC16" s="530"/>
      <c r="AD16" s="530"/>
      <c r="AE16" s="530"/>
      <c r="AF16" s="530"/>
      <c r="AG16" s="530"/>
      <c r="AH16" s="530"/>
      <c r="AI16" s="530"/>
      <c r="AJ16" s="530"/>
      <c r="AK16" s="530"/>
      <c r="AL16" s="530"/>
      <c r="AM16" s="530"/>
      <c r="AN16" s="530"/>
      <c r="AO16" s="530"/>
      <c r="AP16" s="530"/>
      <c r="AQ16" s="530"/>
      <c r="AR16" s="530"/>
      <c r="AS16" s="530"/>
      <c r="AT16" s="530"/>
      <c r="AU16" s="530"/>
      <c r="AV16" s="530"/>
      <c r="AW16" s="530"/>
      <c r="AX16" s="530"/>
      <c r="AY16" s="530"/>
      <c r="AZ16" s="530"/>
      <c r="BA16" s="530"/>
      <c r="BB16" s="530"/>
      <c r="BC16" s="530"/>
      <c r="BD16" s="530"/>
      <c r="BE16" s="530"/>
      <c r="BF16" s="530"/>
      <c r="BG16" s="530"/>
      <c r="BH16" s="530"/>
      <c r="BI16" s="530"/>
      <c r="BJ16" s="530"/>
      <c r="BK16" s="530"/>
      <c r="BL16" s="530"/>
      <c r="BM16" s="530"/>
      <c r="BN16" s="530"/>
      <c r="BO16" s="530"/>
      <c r="BP16" s="530"/>
      <c r="BQ16" s="530"/>
      <c r="BR16" s="530"/>
      <c r="BS16" s="530"/>
      <c r="BT16" s="530"/>
      <c r="BU16" s="530"/>
      <c r="BV16" s="530"/>
      <c r="BW16" s="530"/>
      <c r="BX16" s="530"/>
      <c r="BY16" s="530"/>
      <c r="BZ16" s="530"/>
      <c r="CA16" s="530"/>
      <c r="CB16" s="530"/>
      <c r="CC16" s="530"/>
      <c r="CD16" s="530"/>
      <c r="CE16" s="530"/>
      <c r="CF16" s="530"/>
      <c r="CG16" s="530"/>
      <c r="CH16" s="530"/>
      <c r="CI16" s="530"/>
      <c r="CJ16" s="530"/>
      <c r="CK16" s="530"/>
      <c r="CL16" s="530"/>
      <c r="CM16" s="530"/>
      <c r="CN16" s="530"/>
      <c r="CO16" s="530"/>
      <c r="CP16" s="530"/>
      <c r="CQ16" s="530"/>
      <c r="CR16" s="530"/>
      <c r="CS16" s="530"/>
      <c r="CT16" s="530"/>
      <c r="CU16" s="530"/>
      <c r="CV16" s="530"/>
      <c r="CW16" s="530"/>
      <c r="CX16" s="530"/>
      <c r="CY16" s="530"/>
      <c r="CZ16" s="530"/>
      <c r="DA16" s="530"/>
      <c r="DB16" s="530"/>
      <c r="DC16" s="530"/>
      <c r="DD16" s="530"/>
      <c r="DE16" s="530"/>
      <c r="DF16" s="530"/>
      <c r="DG16" s="530"/>
      <c r="DH16" s="530"/>
      <c r="DI16" s="530"/>
      <c r="DJ16" s="530"/>
      <c r="DK16" s="530"/>
      <c r="DL16" s="530"/>
      <c r="DM16" s="530"/>
      <c r="DN16" s="530"/>
      <c r="DO16" s="530"/>
      <c r="DP16" s="530"/>
      <c r="DQ16" s="530"/>
      <c r="DR16" s="530"/>
      <c r="DS16" s="530"/>
      <c r="DT16" s="530"/>
      <c r="DU16" s="530"/>
      <c r="DV16" s="530"/>
      <c r="DW16" s="530"/>
      <c r="DX16" s="530"/>
      <c r="DY16" s="530"/>
      <c r="DZ16" s="530"/>
      <c r="EA16" s="530"/>
      <c r="EB16" s="530"/>
      <c r="EC16" s="530"/>
      <c r="ED16" s="530"/>
      <c r="EE16" s="530"/>
      <c r="EF16" s="530"/>
      <c r="EG16" s="530"/>
      <c r="EH16" s="530"/>
      <c r="EI16" s="530"/>
      <c r="EJ16" s="530"/>
      <c r="EK16" s="530"/>
      <c r="EL16" s="530"/>
      <c r="EM16" s="530"/>
      <c r="EN16" s="530"/>
      <c r="EO16" s="530"/>
      <c r="EP16" s="530"/>
      <c r="EQ16" s="530"/>
      <c r="ER16" s="530"/>
      <c r="ES16" s="530"/>
      <c r="ET16" s="530"/>
      <c r="EU16" s="530"/>
      <c r="EV16" s="530"/>
      <c r="EW16" s="530"/>
      <c r="EX16" s="530"/>
      <c r="EY16" s="530"/>
      <c r="EZ16" s="530"/>
      <c r="FA16" s="530"/>
      <c r="FB16" s="530"/>
      <c r="FC16" s="530"/>
      <c r="FD16" s="530"/>
      <c r="FE16" s="530"/>
      <c r="FF16" s="530"/>
      <c r="FG16" s="530"/>
      <c r="FH16" s="530"/>
      <c r="FI16" s="530"/>
      <c r="FJ16" s="530"/>
      <c r="FK16" s="530"/>
      <c r="FL16" s="530"/>
      <c r="FM16" s="530"/>
      <c r="FN16" s="530"/>
      <c r="FO16" s="530"/>
      <c r="FP16" s="530"/>
      <c r="FQ16" s="530"/>
      <c r="FR16" s="530"/>
      <c r="FS16" s="530"/>
      <c r="FT16" s="530"/>
      <c r="FU16" s="530"/>
      <c r="FV16" s="530"/>
      <c r="FW16" s="530"/>
      <c r="FX16" s="530"/>
      <c r="FY16" s="530"/>
      <c r="FZ16" s="530"/>
      <c r="GA16" s="530"/>
      <c r="GB16" s="530"/>
      <c r="GC16" s="530"/>
      <c r="GD16" s="530"/>
      <c r="GE16" s="530"/>
      <c r="GF16" s="530"/>
      <c r="GG16" s="530"/>
      <c r="GH16" s="530"/>
      <c r="GI16" s="530"/>
      <c r="GJ16" s="530"/>
      <c r="GK16" s="530"/>
      <c r="GL16" s="530"/>
      <c r="GM16" s="530"/>
      <c r="GN16" s="530"/>
      <c r="GO16" s="530"/>
      <c r="GP16" s="530"/>
      <c r="GQ16" s="530"/>
      <c r="GR16" s="530"/>
      <c r="GS16" s="530"/>
      <c r="GT16" s="530"/>
      <c r="GU16" s="530"/>
      <c r="GV16" s="530"/>
      <c r="GW16" s="530"/>
      <c r="GX16" s="530"/>
      <c r="GY16" s="530"/>
      <c r="GZ16" s="530"/>
      <c r="HA16" s="530"/>
      <c r="HB16" s="530"/>
      <c r="HC16" s="530"/>
      <c r="HD16" s="530"/>
      <c r="HE16" s="530"/>
      <c r="HF16" s="530"/>
      <c r="HG16" s="530"/>
      <c r="HH16" s="530"/>
      <c r="HI16" s="530"/>
      <c r="HJ16" s="530"/>
      <c r="HK16" s="530"/>
      <c r="HL16" s="530"/>
      <c r="HM16" s="530"/>
      <c r="HN16" s="530"/>
      <c r="HO16" s="530"/>
      <c r="HP16" s="530"/>
      <c r="HQ16" s="530"/>
      <c r="HR16" s="530"/>
      <c r="HS16" s="530"/>
      <c r="HT16" s="530"/>
      <c r="HU16" s="530"/>
      <c r="HV16" s="530"/>
      <c r="HW16" s="530"/>
      <c r="HX16" s="530"/>
      <c r="HY16" s="530"/>
      <c r="HZ16" s="530"/>
      <c r="IA16" s="530"/>
      <c r="IB16" s="530"/>
      <c r="IC16" s="530"/>
      <c r="ID16" s="530"/>
      <c r="IE16" s="530"/>
      <c r="IF16" s="530"/>
      <c r="IG16" s="530"/>
      <c r="IH16" s="530"/>
      <c r="II16" s="530"/>
      <c r="IJ16" s="530"/>
      <c r="IK16" s="530"/>
      <c r="IL16" s="530"/>
      <c r="IM16" s="530"/>
      <c r="IN16" s="530"/>
      <c r="IO16" s="530"/>
      <c r="IP16" s="530"/>
    </row>
    <row r="17" spans="1:250" s="539" customFormat="1" ht="19.5" customHeight="1">
      <c r="A17" s="598">
        <v>92</v>
      </c>
      <c r="B17" s="533">
        <f>'92 (R)'!$F$22</f>
        <v>127211</v>
      </c>
      <c r="C17" s="533">
        <v>44413</v>
      </c>
      <c r="D17" s="534">
        <f t="shared" si="0"/>
        <v>82798</v>
      </c>
      <c r="E17" s="535">
        <v>1</v>
      </c>
      <c r="F17" s="536">
        <f t="shared" si="1"/>
        <v>82798</v>
      </c>
      <c r="G17" s="537"/>
      <c r="H17" s="547">
        <f t="shared" si="2"/>
        <v>82798</v>
      </c>
      <c r="I17" s="551"/>
      <c r="J17" s="538"/>
      <c r="K17" s="599">
        <f t="shared" si="3"/>
        <v>92</v>
      </c>
      <c r="L17" s="530"/>
      <c r="M17" s="530"/>
      <c r="N17" s="530"/>
      <c r="O17" s="530"/>
      <c r="P17" s="530"/>
      <c r="Q17" s="530"/>
      <c r="R17" s="530"/>
      <c r="S17" s="530"/>
      <c r="T17" s="530"/>
      <c r="U17" s="530"/>
      <c r="V17" s="530"/>
      <c r="W17" s="530"/>
      <c r="X17" s="530"/>
      <c r="Y17" s="530"/>
      <c r="Z17" s="530"/>
      <c r="AA17" s="530"/>
      <c r="AB17" s="530"/>
      <c r="AC17" s="530"/>
      <c r="AD17" s="530"/>
      <c r="AE17" s="530"/>
      <c r="AF17" s="530"/>
      <c r="AG17" s="530"/>
      <c r="AH17" s="530"/>
      <c r="AI17" s="530"/>
      <c r="AJ17" s="530"/>
      <c r="AK17" s="530"/>
      <c r="AL17" s="530"/>
      <c r="AM17" s="530"/>
      <c r="AN17" s="530"/>
      <c r="AO17" s="530"/>
      <c r="AP17" s="530"/>
      <c r="AQ17" s="530"/>
      <c r="AR17" s="530"/>
      <c r="AS17" s="530"/>
      <c r="AT17" s="530"/>
      <c r="AU17" s="530"/>
      <c r="AV17" s="530"/>
      <c r="AW17" s="530"/>
      <c r="AX17" s="530"/>
      <c r="AY17" s="530"/>
      <c r="AZ17" s="530"/>
      <c r="BA17" s="530"/>
      <c r="BB17" s="530"/>
      <c r="BC17" s="530"/>
      <c r="BD17" s="530"/>
      <c r="BE17" s="530"/>
      <c r="BF17" s="530"/>
      <c r="BG17" s="530"/>
      <c r="BH17" s="530"/>
      <c r="BI17" s="530"/>
      <c r="BJ17" s="530"/>
      <c r="BK17" s="530"/>
      <c r="BL17" s="530"/>
      <c r="BM17" s="530"/>
      <c r="BN17" s="530"/>
      <c r="BO17" s="530"/>
      <c r="BP17" s="530"/>
      <c r="BQ17" s="530"/>
      <c r="BR17" s="530"/>
      <c r="BS17" s="530"/>
      <c r="BT17" s="530"/>
      <c r="BU17" s="530"/>
      <c r="BV17" s="530"/>
      <c r="BW17" s="530"/>
      <c r="BX17" s="530"/>
      <c r="BY17" s="530"/>
      <c r="BZ17" s="530"/>
      <c r="CA17" s="530"/>
      <c r="CB17" s="530"/>
      <c r="CC17" s="530"/>
      <c r="CD17" s="530"/>
      <c r="CE17" s="530"/>
      <c r="CF17" s="530"/>
      <c r="CG17" s="530"/>
      <c r="CH17" s="530"/>
      <c r="CI17" s="530"/>
      <c r="CJ17" s="530"/>
      <c r="CK17" s="530"/>
      <c r="CL17" s="530"/>
      <c r="CM17" s="530"/>
      <c r="CN17" s="530"/>
      <c r="CO17" s="530"/>
      <c r="CP17" s="530"/>
      <c r="CQ17" s="530"/>
      <c r="CR17" s="530"/>
      <c r="CS17" s="530"/>
      <c r="CT17" s="530"/>
      <c r="CU17" s="530"/>
      <c r="CV17" s="530"/>
      <c r="CW17" s="530"/>
      <c r="CX17" s="530"/>
      <c r="CY17" s="530"/>
      <c r="CZ17" s="530"/>
      <c r="DA17" s="530"/>
      <c r="DB17" s="530"/>
      <c r="DC17" s="530"/>
      <c r="DD17" s="530"/>
      <c r="DE17" s="530"/>
      <c r="DF17" s="530"/>
      <c r="DG17" s="530"/>
      <c r="DH17" s="530"/>
      <c r="DI17" s="530"/>
      <c r="DJ17" s="530"/>
      <c r="DK17" s="530"/>
      <c r="DL17" s="530"/>
      <c r="DM17" s="530"/>
      <c r="DN17" s="530"/>
      <c r="DO17" s="530"/>
      <c r="DP17" s="530"/>
      <c r="DQ17" s="530"/>
      <c r="DR17" s="530"/>
      <c r="DS17" s="530"/>
      <c r="DT17" s="530"/>
      <c r="DU17" s="530"/>
      <c r="DV17" s="530"/>
      <c r="DW17" s="530"/>
      <c r="DX17" s="530"/>
      <c r="DY17" s="530"/>
      <c r="DZ17" s="530"/>
      <c r="EA17" s="530"/>
      <c r="EB17" s="530"/>
      <c r="EC17" s="530"/>
      <c r="ED17" s="530"/>
      <c r="EE17" s="530"/>
      <c r="EF17" s="530"/>
      <c r="EG17" s="530"/>
      <c r="EH17" s="530"/>
      <c r="EI17" s="530"/>
      <c r="EJ17" s="530"/>
      <c r="EK17" s="530"/>
      <c r="EL17" s="530"/>
      <c r="EM17" s="530"/>
      <c r="EN17" s="530"/>
      <c r="EO17" s="530"/>
      <c r="EP17" s="530"/>
      <c r="EQ17" s="530"/>
      <c r="ER17" s="530"/>
      <c r="ES17" s="530"/>
      <c r="ET17" s="530"/>
      <c r="EU17" s="530"/>
      <c r="EV17" s="530"/>
      <c r="EW17" s="530"/>
      <c r="EX17" s="530"/>
      <c r="EY17" s="530"/>
      <c r="EZ17" s="530"/>
      <c r="FA17" s="530"/>
      <c r="FB17" s="530"/>
      <c r="FC17" s="530"/>
      <c r="FD17" s="530"/>
      <c r="FE17" s="530"/>
      <c r="FF17" s="530"/>
      <c r="FG17" s="530"/>
      <c r="FH17" s="530"/>
      <c r="FI17" s="530"/>
      <c r="FJ17" s="530"/>
      <c r="FK17" s="530"/>
      <c r="FL17" s="530"/>
      <c r="FM17" s="530"/>
      <c r="FN17" s="530"/>
      <c r="FO17" s="530"/>
      <c r="FP17" s="530"/>
      <c r="FQ17" s="530"/>
      <c r="FR17" s="530"/>
      <c r="FS17" s="530"/>
      <c r="FT17" s="530"/>
      <c r="FU17" s="530"/>
      <c r="FV17" s="530"/>
      <c r="FW17" s="530"/>
      <c r="FX17" s="530"/>
      <c r="FY17" s="530"/>
      <c r="FZ17" s="530"/>
      <c r="GA17" s="530"/>
      <c r="GB17" s="530"/>
      <c r="GC17" s="530"/>
      <c r="GD17" s="530"/>
      <c r="GE17" s="530"/>
      <c r="GF17" s="530"/>
      <c r="GG17" s="530"/>
      <c r="GH17" s="530"/>
      <c r="GI17" s="530"/>
      <c r="GJ17" s="530"/>
      <c r="GK17" s="530"/>
      <c r="GL17" s="530"/>
      <c r="GM17" s="530"/>
      <c r="GN17" s="530"/>
      <c r="GO17" s="530"/>
      <c r="GP17" s="530"/>
      <c r="GQ17" s="530"/>
      <c r="GR17" s="530"/>
      <c r="GS17" s="530"/>
      <c r="GT17" s="530"/>
      <c r="GU17" s="530"/>
      <c r="GV17" s="530"/>
      <c r="GW17" s="530"/>
      <c r="GX17" s="530"/>
      <c r="GY17" s="530"/>
      <c r="GZ17" s="530"/>
      <c r="HA17" s="530"/>
      <c r="HB17" s="530"/>
      <c r="HC17" s="530"/>
      <c r="HD17" s="530"/>
      <c r="HE17" s="530"/>
      <c r="HF17" s="530"/>
      <c r="HG17" s="530"/>
      <c r="HH17" s="530"/>
      <c r="HI17" s="530"/>
      <c r="HJ17" s="530"/>
      <c r="HK17" s="530"/>
      <c r="HL17" s="530"/>
      <c r="HM17" s="530"/>
      <c r="HN17" s="530"/>
      <c r="HO17" s="530"/>
      <c r="HP17" s="530"/>
      <c r="HQ17" s="530"/>
      <c r="HR17" s="530"/>
      <c r="HS17" s="530"/>
      <c r="HT17" s="530"/>
      <c r="HU17" s="530"/>
      <c r="HV17" s="530"/>
      <c r="HW17" s="530"/>
      <c r="HX17" s="530"/>
      <c r="HY17" s="530"/>
      <c r="HZ17" s="530"/>
      <c r="IA17" s="530"/>
      <c r="IB17" s="530"/>
      <c r="IC17" s="530"/>
      <c r="ID17" s="530"/>
      <c r="IE17" s="530"/>
      <c r="IF17" s="530"/>
      <c r="IG17" s="530"/>
      <c r="IH17" s="530"/>
      <c r="II17" s="530"/>
      <c r="IJ17" s="530"/>
      <c r="IK17" s="530"/>
      <c r="IL17" s="530"/>
      <c r="IM17" s="530"/>
      <c r="IN17" s="530"/>
      <c r="IO17" s="530"/>
      <c r="IP17" s="530"/>
    </row>
    <row r="18" spans="1:250" s="539" customFormat="1" ht="19.5" customHeight="1">
      <c r="A18" s="598">
        <v>117</v>
      </c>
      <c r="B18" s="533">
        <f>+'117 (R)'!$E$26</f>
        <v>1118490</v>
      </c>
      <c r="C18" s="533">
        <v>62713</v>
      </c>
      <c r="D18" s="534">
        <f t="shared" si="0"/>
        <v>1055777</v>
      </c>
      <c r="E18" s="535">
        <v>1</v>
      </c>
      <c r="F18" s="536">
        <f t="shared" si="1"/>
        <v>1055777</v>
      </c>
      <c r="G18" s="537"/>
      <c r="H18" s="547">
        <f t="shared" si="2"/>
        <v>1055777</v>
      </c>
      <c r="I18" s="551"/>
      <c r="J18" s="538"/>
      <c r="K18" s="599">
        <f t="shared" si="3"/>
        <v>117</v>
      </c>
      <c r="L18" s="530"/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30"/>
      <c r="X18" s="530"/>
      <c r="Y18" s="530"/>
      <c r="Z18" s="530"/>
      <c r="AA18" s="530"/>
      <c r="AB18" s="530"/>
      <c r="AC18" s="530"/>
      <c r="AD18" s="530"/>
      <c r="AE18" s="530"/>
      <c r="AF18" s="530"/>
      <c r="AG18" s="530"/>
      <c r="AH18" s="530"/>
      <c r="AI18" s="530"/>
      <c r="AJ18" s="530"/>
      <c r="AK18" s="530"/>
      <c r="AL18" s="530"/>
      <c r="AM18" s="530"/>
      <c r="AN18" s="530"/>
      <c r="AO18" s="530"/>
      <c r="AP18" s="530"/>
      <c r="AQ18" s="530"/>
      <c r="AR18" s="530"/>
      <c r="AS18" s="530"/>
      <c r="AT18" s="530"/>
      <c r="AU18" s="530"/>
      <c r="AV18" s="530"/>
      <c r="AW18" s="530"/>
      <c r="AX18" s="530"/>
      <c r="AY18" s="530"/>
      <c r="AZ18" s="530"/>
      <c r="BA18" s="530"/>
      <c r="BB18" s="530"/>
      <c r="BC18" s="530"/>
      <c r="BD18" s="530"/>
      <c r="BE18" s="530"/>
      <c r="BF18" s="530"/>
      <c r="BG18" s="530"/>
      <c r="BH18" s="530"/>
      <c r="BI18" s="530"/>
      <c r="BJ18" s="530"/>
      <c r="BK18" s="530"/>
      <c r="BL18" s="530"/>
      <c r="BM18" s="530"/>
      <c r="BN18" s="530"/>
      <c r="BO18" s="530"/>
      <c r="BP18" s="530"/>
      <c r="BQ18" s="530"/>
      <c r="BR18" s="530"/>
      <c r="BS18" s="530"/>
      <c r="BT18" s="530"/>
      <c r="BU18" s="530"/>
      <c r="BV18" s="530"/>
      <c r="BW18" s="530"/>
      <c r="BX18" s="530"/>
      <c r="BY18" s="530"/>
      <c r="BZ18" s="530"/>
      <c r="CA18" s="530"/>
      <c r="CB18" s="530"/>
      <c r="CC18" s="530"/>
      <c r="CD18" s="530"/>
      <c r="CE18" s="530"/>
      <c r="CF18" s="530"/>
      <c r="CG18" s="530"/>
      <c r="CH18" s="530"/>
      <c r="CI18" s="530"/>
      <c r="CJ18" s="530"/>
      <c r="CK18" s="530"/>
      <c r="CL18" s="530"/>
      <c r="CM18" s="530"/>
      <c r="CN18" s="530"/>
      <c r="CO18" s="530"/>
      <c r="CP18" s="530"/>
      <c r="CQ18" s="530"/>
      <c r="CR18" s="530"/>
      <c r="CS18" s="530"/>
      <c r="CT18" s="530"/>
      <c r="CU18" s="530"/>
      <c r="CV18" s="530"/>
      <c r="CW18" s="530"/>
      <c r="CX18" s="530"/>
      <c r="CY18" s="530"/>
      <c r="CZ18" s="530"/>
      <c r="DA18" s="530"/>
      <c r="DB18" s="530"/>
      <c r="DC18" s="530"/>
      <c r="DD18" s="530"/>
      <c r="DE18" s="530"/>
      <c r="DF18" s="530"/>
      <c r="DG18" s="530"/>
      <c r="DH18" s="530"/>
      <c r="DI18" s="530"/>
      <c r="DJ18" s="530"/>
      <c r="DK18" s="530"/>
      <c r="DL18" s="530"/>
      <c r="DM18" s="530"/>
      <c r="DN18" s="530"/>
      <c r="DO18" s="530"/>
      <c r="DP18" s="530"/>
      <c r="DQ18" s="530"/>
      <c r="DR18" s="530"/>
      <c r="DS18" s="530"/>
      <c r="DT18" s="530"/>
      <c r="DU18" s="530"/>
      <c r="DV18" s="530"/>
      <c r="DW18" s="530"/>
      <c r="DX18" s="530"/>
      <c r="DY18" s="530"/>
      <c r="DZ18" s="530"/>
      <c r="EA18" s="530"/>
      <c r="EB18" s="530"/>
      <c r="EC18" s="530"/>
      <c r="ED18" s="530"/>
      <c r="EE18" s="530"/>
      <c r="EF18" s="530"/>
      <c r="EG18" s="530"/>
      <c r="EH18" s="530"/>
      <c r="EI18" s="530"/>
      <c r="EJ18" s="530"/>
      <c r="EK18" s="530"/>
      <c r="EL18" s="530"/>
      <c r="EM18" s="530"/>
      <c r="EN18" s="530"/>
      <c r="EO18" s="530"/>
      <c r="EP18" s="530"/>
      <c r="EQ18" s="530"/>
      <c r="ER18" s="530"/>
      <c r="ES18" s="530"/>
      <c r="ET18" s="530"/>
      <c r="EU18" s="530"/>
      <c r="EV18" s="530"/>
      <c r="EW18" s="530"/>
      <c r="EX18" s="530"/>
      <c r="EY18" s="530"/>
      <c r="EZ18" s="530"/>
      <c r="FA18" s="530"/>
      <c r="FB18" s="530"/>
      <c r="FC18" s="530"/>
      <c r="FD18" s="530"/>
      <c r="FE18" s="530"/>
      <c r="FF18" s="530"/>
      <c r="FG18" s="530"/>
      <c r="FH18" s="530"/>
      <c r="FI18" s="530"/>
      <c r="FJ18" s="530"/>
      <c r="FK18" s="530"/>
      <c r="FL18" s="530"/>
      <c r="FM18" s="530"/>
      <c r="FN18" s="530"/>
      <c r="FO18" s="530"/>
      <c r="FP18" s="530"/>
      <c r="FQ18" s="530"/>
      <c r="FR18" s="530"/>
      <c r="FS18" s="530"/>
      <c r="FT18" s="530"/>
      <c r="FU18" s="530"/>
      <c r="FV18" s="530"/>
      <c r="FW18" s="530"/>
      <c r="FX18" s="530"/>
      <c r="FY18" s="530"/>
      <c r="FZ18" s="530"/>
      <c r="GA18" s="530"/>
      <c r="GB18" s="530"/>
      <c r="GC18" s="530"/>
      <c r="GD18" s="530"/>
      <c r="GE18" s="530"/>
      <c r="GF18" s="530"/>
      <c r="GG18" s="530"/>
      <c r="GH18" s="530"/>
      <c r="GI18" s="530"/>
      <c r="GJ18" s="530"/>
      <c r="GK18" s="530"/>
      <c r="GL18" s="530"/>
      <c r="GM18" s="530"/>
      <c r="GN18" s="530"/>
      <c r="GO18" s="530"/>
      <c r="GP18" s="530"/>
      <c r="GQ18" s="530"/>
      <c r="GR18" s="530"/>
      <c r="GS18" s="530"/>
      <c r="GT18" s="530"/>
      <c r="GU18" s="530"/>
      <c r="GV18" s="530"/>
      <c r="GW18" s="530"/>
      <c r="GX18" s="530"/>
      <c r="GY18" s="530"/>
      <c r="GZ18" s="530"/>
      <c r="HA18" s="530"/>
      <c r="HB18" s="530"/>
      <c r="HC18" s="530"/>
      <c r="HD18" s="530"/>
      <c r="HE18" s="530"/>
      <c r="HF18" s="530"/>
      <c r="HG18" s="530"/>
      <c r="HH18" s="530"/>
      <c r="HI18" s="530"/>
      <c r="HJ18" s="530"/>
      <c r="HK18" s="530"/>
      <c r="HL18" s="530"/>
      <c r="HM18" s="530"/>
      <c r="HN18" s="530"/>
      <c r="HO18" s="530"/>
      <c r="HP18" s="530"/>
      <c r="HQ18" s="530"/>
      <c r="HR18" s="530"/>
      <c r="HS18" s="530"/>
      <c r="HT18" s="530"/>
      <c r="HU18" s="530"/>
      <c r="HV18" s="530"/>
      <c r="HW18" s="530"/>
      <c r="HX18" s="530"/>
      <c r="HY18" s="530"/>
      <c r="HZ18" s="530"/>
      <c r="IA18" s="530"/>
      <c r="IB18" s="530"/>
      <c r="IC18" s="530"/>
      <c r="ID18" s="530"/>
      <c r="IE18" s="530"/>
      <c r="IF18" s="530"/>
      <c r="IG18" s="530"/>
      <c r="IH18" s="530"/>
      <c r="II18" s="530"/>
      <c r="IJ18" s="530"/>
      <c r="IK18" s="530"/>
      <c r="IL18" s="530"/>
      <c r="IM18" s="530"/>
      <c r="IN18" s="530"/>
      <c r="IO18" s="530"/>
      <c r="IP18" s="530"/>
    </row>
    <row r="19" spans="1:250" s="539" customFormat="1" ht="19.5" customHeight="1">
      <c r="A19" s="598">
        <v>41</v>
      </c>
      <c r="B19" s="533">
        <f>'41 (R)'!$E$27</f>
        <v>3199850</v>
      </c>
      <c r="C19" s="533">
        <v>2931235</v>
      </c>
      <c r="D19" s="534">
        <f t="shared" si="0"/>
        <v>268615</v>
      </c>
      <c r="E19" s="535">
        <v>1</v>
      </c>
      <c r="F19" s="536">
        <f t="shared" si="1"/>
        <v>268615</v>
      </c>
      <c r="G19" s="537"/>
      <c r="H19" s="547">
        <f t="shared" si="2"/>
        <v>268615</v>
      </c>
      <c r="I19" s="551"/>
      <c r="J19" s="538"/>
      <c r="K19" s="599">
        <f t="shared" si="3"/>
        <v>41</v>
      </c>
      <c r="L19" s="530"/>
      <c r="M19" s="530"/>
      <c r="N19" s="530"/>
      <c r="O19" s="530"/>
      <c r="P19" s="530"/>
      <c r="Q19" s="530"/>
      <c r="R19" s="530"/>
      <c r="S19" s="530"/>
      <c r="T19" s="530"/>
      <c r="U19" s="530"/>
      <c r="V19" s="530"/>
      <c r="W19" s="530"/>
      <c r="X19" s="530"/>
      <c r="Y19" s="530"/>
      <c r="Z19" s="530"/>
      <c r="AA19" s="530"/>
      <c r="AB19" s="530"/>
      <c r="AC19" s="530"/>
      <c r="AD19" s="530"/>
      <c r="AE19" s="530"/>
      <c r="AF19" s="530"/>
      <c r="AG19" s="530"/>
      <c r="AH19" s="530"/>
      <c r="AI19" s="530"/>
      <c r="AJ19" s="530"/>
      <c r="AK19" s="530"/>
      <c r="AL19" s="530"/>
      <c r="AM19" s="530"/>
      <c r="AN19" s="530"/>
      <c r="AO19" s="530"/>
      <c r="AP19" s="530"/>
      <c r="AQ19" s="530"/>
      <c r="AR19" s="530"/>
      <c r="AS19" s="530"/>
      <c r="AT19" s="530"/>
      <c r="AU19" s="530"/>
      <c r="AV19" s="530"/>
      <c r="AW19" s="530"/>
      <c r="AX19" s="530"/>
      <c r="AY19" s="530"/>
      <c r="AZ19" s="530"/>
      <c r="BA19" s="530"/>
      <c r="BB19" s="530"/>
      <c r="BC19" s="530"/>
      <c r="BD19" s="530"/>
      <c r="BE19" s="530"/>
      <c r="BF19" s="530"/>
      <c r="BG19" s="530"/>
      <c r="BH19" s="530"/>
      <c r="BI19" s="530"/>
      <c r="BJ19" s="530"/>
      <c r="BK19" s="530"/>
      <c r="BL19" s="530"/>
      <c r="BM19" s="530"/>
      <c r="BN19" s="530"/>
      <c r="BO19" s="530"/>
      <c r="BP19" s="530"/>
      <c r="BQ19" s="530"/>
      <c r="BR19" s="530"/>
      <c r="BS19" s="530"/>
      <c r="BT19" s="530"/>
      <c r="BU19" s="530"/>
      <c r="BV19" s="530"/>
      <c r="BW19" s="530"/>
      <c r="BX19" s="530"/>
      <c r="BY19" s="530"/>
      <c r="BZ19" s="530"/>
      <c r="CA19" s="530"/>
      <c r="CB19" s="530"/>
      <c r="CC19" s="530"/>
      <c r="CD19" s="530"/>
      <c r="CE19" s="530"/>
      <c r="CF19" s="530"/>
      <c r="CG19" s="530"/>
      <c r="CH19" s="530"/>
      <c r="CI19" s="530"/>
      <c r="CJ19" s="530"/>
      <c r="CK19" s="530"/>
      <c r="CL19" s="530"/>
      <c r="CM19" s="530"/>
      <c r="CN19" s="530"/>
      <c r="CO19" s="530"/>
      <c r="CP19" s="530"/>
      <c r="CQ19" s="530"/>
      <c r="CR19" s="530"/>
      <c r="CS19" s="530"/>
      <c r="CT19" s="530"/>
      <c r="CU19" s="530"/>
      <c r="CV19" s="530"/>
      <c r="CW19" s="530"/>
      <c r="CX19" s="530"/>
      <c r="CY19" s="530"/>
      <c r="CZ19" s="530"/>
      <c r="DA19" s="530"/>
      <c r="DB19" s="530"/>
      <c r="DC19" s="530"/>
      <c r="DD19" s="530"/>
      <c r="DE19" s="530"/>
      <c r="DF19" s="530"/>
      <c r="DG19" s="530"/>
      <c r="DH19" s="530"/>
      <c r="DI19" s="530"/>
      <c r="DJ19" s="530"/>
      <c r="DK19" s="530"/>
      <c r="DL19" s="530"/>
      <c r="DM19" s="530"/>
      <c r="DN19" s="530"/>
      <c r="DO19" s="530"/>
      <c r="DP19" s="530"/>
      <c r="DQ19" s="530"/>
      <c r="DR19" s="530"/>
      <c r="DS19" s="530"/>
      <c r="DT19" s="530"/>
      <c r="DU19" s="530"/>
      <c r="DV19" s="530"/>
      <c r="DW19" s="530"/>
      <c r="DX19" s="530"/>
      <c r="DY19" s="530"/>
      <c r="DZ19" s="530"/>
      <c r="EA19" s="530"/>
      <c r="EB19" s="530"/>
      <c r="EC19" s="530"/>
      <c r="ED19" s="530"/>
      <c r="EE19" s="530"/>
      <c r="EF19" s="530"/>
      <c r="EG19" s="530"/>
      <c r="EH19" s="530"/>
      <c r="EI19" s="530"/>
      <c r="EJ19" s="530"/>
      <c r="EK19" s="530"/>
      <c r="EL19" s="530"/>
      <c r="EM19" s="530"/>
      <c r="EN19" s="530"/>
      <c r="EO19" s="530"/>
      <c r="EP19" s="530"/>
      <c r="EQ19" s="530"/>
      <c r="ER19" s="530"/>
      <c r="ES19" s="530"/>
      <c r="ET19" s="530"/>
      <c r="EU19" s="530"/>
      <c r="EV19" s="530"/>
      <c r="EW19" s="530"/>
      <c r="EX19" s="530"/>
      <c r="EY19" s="530"/>
      <c r="EZ19" s="530"/>
      <c r="FA19" s="530"/>
      <c r="FB19" s="530"/>
      <c r="FC19" s="530"/>
      <c r="FD19" s="530"/>
      <c r="FE19" s="530"/>
      <c r="FF19" s="530"/>
      <c r="FG19" s="530"/>
      <c r="FH19" s="530"/>
      <c r="FI19" s="530"/>
      <c r="FJ19" s="530"/>
      <c r="FK19" s="530"/>
      <c r="FL19" s="530"/>
      <c r="FM19" s="530"/>
      <c r="FN19" s="530"/>
      <c r="FO19" s="530"/>
      <c r="FP19" s="530"/>
      <c r="FQ19" s="530"/>
      <c r="FR19" s="530"/>
      <c r="FS19" s="530"/>
      <c r="FT19" s="530"/>
      <c r="FU19" s="530"/>
      <c r="FV19" s="530"/>
      <c r="FW19" s="530"/>
      <c r="FX19" s="530"/>
      <c r="FY19" s="530"/>
      <c r="FZ19" s="530"/>
      <c r="GA19" s="530"/>
      <c r="GB19" s="530"/>
      <c r="GC19" s="530"/>
      <c r="GD19" s="530"/>
      <c r="GE19" s="530"/>
      <c r="GF19" s="530"/>
      <c r="GG19" s="530"/>
      <c r="GH19" s="530"/>
      <c r="GI19" s="530"/>
      <c r="GJ19" s="530"/>
      <c r="GK19" s="530"/>
      <c r="GL19" s="530"/>
      <c r="GM19" s="530"/>
      <c r="GN19" s="530"/>
      <c r="GO19" s="530"/>
      <c r="GP19" s="530"/>
      <c r="GQ19" s="530"/>
      <c r="GR19" s="530"/>
      <c r="GS19" s="530"/>
      <c r="GT19" s="530"/>
      <c r="GU19" s="530"/>
      <c r="GV19" s="530"/>
      <c r="GW19" s="530"/>
      <c r="GX19" s="530"/>
      <c r="GY19" s="530"/>
      <c r="GZ19" s="530"/>
      <c r="HA19" s="530"/>
      <c r="HB19" s="530"/>
      <c r="HC19" s="530"/>
      <c r="HD19" s="530"/>
      <c r="HE19" s="530"/>
      <c r="HF19" s="530"/>
      <c r="HG19" s="530"/>
      <c r="HH19" s="530"/>
      <c r="HI19" s="530"/>
      <c r="HJ19" s="530"/>
      <c r="HK19" s="530"/>
      <c r="HL19" s="530"/>
      <c r="HM19" s="530"/>
      <c r="HN19" s="530"/>
      <c r="HO19" s="530"/>
      <c r="HP19" s="530"/>
      <c r="HQ19" s="530"/>
      <c r="HR19" s="530"/>
      <c r="HS19" s="530"/>
      <c r="HT19" s="530"/>
      <c r="HU19" s="530"/>
      <c r="HV19" s="530"/>
      <c r="HW19" s="530"/>
      <c r="HX19" s="530"/>
      <c r="HY19" s="530"/>
      <c r="HZ19" s="530"/>
      <c r="IA19" s="530"/>
      <c r="IB19" s="530"/>
      <c r="IC19" s="530"/>
      <c r="ID19" s="530"/>
      <c r="IE19" s="530"/>
      <c r="IF19" s="530"/>
      <c r="IG19" s="530"/>
      <c r="IH19" s="530"/>
      <c r="II19" s="530"/>
      <c r="IJ19" s="530"/>
      <c r="IK19" s="530"/>
      <c r="IL19" s="530"/>
      <c r="IM19" s="530"/>
      <c r="IN19" s="530"/>
      <c r="IO19" s="530"/>
      <c r="IP19" s="530"/>
    </row>
    <row r="20" spans="1:250" s="539" customFormat="1" ht="19.5" customHeight="1">
      <c r="A20" s="598">
        <v>57</v>
      </c>
      <c r="B20" s="533">
        <f>'57 (R)'!$F$43</f>
        <v>0</v>
      </c>
      <c r="C20" s="533">
        <v>1376</v>
      </c>
      <c r="D20" s="534">
        <f t="shared" si="0"/>
        <v>-1376</v>
      </c>
      <c r="E20" s="535">
        <v>1</v>
      </c>
      <c r="F20" s="536">
        <f t="shared" si="1"/>
        <v>-1376</v>
      </c>
      <c r="G20" s="537"/>
      <c r="H20" s="547">
        <f t="shared" si="2"/>
        <v>-1376</v>
      </c>
      <c r="I20" s="551"/>
      <c r="J20" s="538"/>
      <c r="K20" s="599">
        <f t="shared" si="3"/>
        <v>57</v>
      </c>
      <c r="L20" s="530"/>
      <c r="M20" s="530"/>
      <c r="N20" s="530"/>
      <c r="O20" s="530"/>
      <c r="P20" s="530"/>
      <c r="Q20" s="530"/>
      <c r="R20" s="530"/>
      <c r="S20" s="530"/>
      <c r="T20" s="530"/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/>
      <c r="AG20" s="530"/>
      <c r="AH20" s="530"/>
      <c r="AI20" s="530"/>
      <c r="AJ20" s="530"/>
      <c r="AK20" s="530"/>
      <c r="AL20" s="530"/>
      <c r="AM20" s="530"/>
      <c r="AN20" s="530"/>
      <c r="AO20" s="530"/>
      <c r="AP20" s="530"/>
      <c r="AQ20" s="530"/>
      <c r="AR20" s="530"/>
      <c r="AS20" s="530"/>
      <c r="AT20" s="530"/>
      <c r="AU20" s="530"/>
      <c r="AV20" s="530"/>
      <c r="AW20" s="530"/>
      <c r="AX20" s="530"/>
      <c r="AY20" s="530"/>
      <c r="AZ20" s="530"/>
      <c r="BA20" s="530"/>
      <c r="BB20" s="530"/>
      <c r="BC20" s="530"/>
      <c r="BD20" s="530"/>
      <c r="BE20" s="530"/>
      <c r="BF20" s="530"/>
      <c r="BG20" s="530"/>
      <c r="BH20" s="530"/>
      <c r="BI20" s="530"/>
      <c r="BJ20" s="530"/>
      <c r="BK20" s="530"/>
      <c r="BL20" s="530"/>
      <c r="BM20" s="530"/>
      <c r="BN20" s="530"/>
      <c r="BO20" s="530"/>
      <c r="BP20" s="530"/>
      <c r="BQ20" s="530"/>
      <c r="BR20" s="530"/>
      <c r="BS20" s="530"/>
      <c r="BT20" s="530"/>
      <c r="BU20" s="530"/>
      <c r="BV20" s="530"/>
      <c r="BW20" s="530"/>
      <c r="BX20" s="530"/>
      <c r="BY20" s="530"/>
      <c r="BZ20" s="530"/>
      <c r="CA20" s="530"/>
      <c r="CB20" s="530"/>
      <c r="CC20" s="530"/>
      <c r="CD20" s="530"/>
      <c r="CE20" s="530"/>
      <c r="CF20" s="530"/>
      <c r="CG20" s="530"/>
      <c r="CH20" s="530"/>
      <c r="CI20" s="530"/>
      <c r="CJ20" s="530"/>
      <c r="CK20" s="530"/>
      <c r="CL20" s="530"/>
      <c r="CM20" s="530"/>
      <c r="CN20" s="530"/>
      <c r="CO20" s="530"/>
      <c r="CP20" s="530"/>
      <c r="CQ20" s="530"/>
      <c r="CR20" s="530"/>
      <c r="CS20" s="530"/>
      <c r="CT20" s="530"/>
      <c r="CU20" s="530"/>
      <c r="CV20" s="530"/>
      <c r="CW20" s="530"/>
      <c r="CX20" s="530"/>
      <c r="CY20" s="530"/>
      <c r="CZ20" s="530"/>
      <c r="DA20" s="530"/>
      <c r="DB20" s="530"/>
      <c r="DC20" s="530"/>
      <c r="DD20" s="530"/>
      <c r="DE20" s="530"/>
      <c r="DF20" s="530"/>
      <c r="DG20" s="530"/>
      <c r="DH20" s="530"/>
      <c r="DI20" s="530"/>
      <c r="DJ20" s="530"/>
      <c r="DK20" s="530"/>
      <c r="DL20" s="530"/>
      <c r="DM20" s="530"/>
      <c r="DN20" s="530"/>
      <c r="DO20" s="530"/>
      <c r="DP20" s="530"/>
      <c r="DQ20" s="530"/>
      <c r="DR20" s="530"/>
      <c r="DS20" s="530"/>
      <c r="DT20" s="530"/>
      <c r="DU20" s="530"/>
      <c r="DV20" s="530"/>
      <c r="DW20" s="530"/>
      <c r="DX20" s="530"/>
      <c r="DY20" s="530"/>
      <c r="DZ20" s="530"/>
      <c r="EA20" s="530"/>
      <c r="EB20" s="530"/>
      <c r="EC20" s="530"/>
      <c r="ED20" s="530"/>
      <c r="EE20" s="530"/>
      <c r="EF20" s="530"/>
      <c r="EG20" s="530"/>
      <c r="EH20" s="530"/>
      <c r="EI20" s="530"/>
      <c r="EJ20" s="530"/>
      <c r="EK20" s="530"/>
      <c r="EL20" s="530"/>
      <c r="EM20" s="530"/>
      <c r="EN20" s="530"/>
      <c r="EO20" s="530"/>
      <c r="EP20" s="530"/>
      <c r="EQ20" s="530"/>
      <c r="ER20" s="530"/>
      <c r="ES20" s="530"/>
      <c r="ET20" s="530"/>
      <c r="EU20" s="530"/>
      <c r="EV20" s="530"/>
      <c r="EW20" s="530"/>
      <c r="EX20" s="530"/>
      <c r="EY20" s="530"/>
      <c r="EZ20" s="530"/>
      <c r="FA20" s="530"/>
      <c r="FB20" s="530"/>
      <c r="FC20" s="530"/>
      <c r="FD20" s="530"/>
      <c r="FE20" s="530"/>
      <c r="FF20" s="530"/>
      <c r="FG20" s="530"/>
      <c r="FH20" s="530"/>
      <c r="FI20" s="530"/>
      <c r="FJ20" s="530"/>
      <c r="FK20" s="530"/>
      <c r="FL20" s="530"/>
      <c r="FM20" s="530"/>
      <c r="FN20" s="530"/>
      <c r="FO20" s="530"/>
      <c r="FP20" s="530"/>
      <c r="FQ20" s="530"/>
      <c r="FR20" s="530"/>
      <c r="FS20" s="530"/>
      <c r="FT20" s="530"/>
      <c r="FU20" s="530"/>
      <c r="FV20" s="530"/>
      <c r="FW20" s="530"/>
      <c r="FX20" s="530"/>
      <c r="FY20" s="530"/>
      <c r="FZ20" s="530"/>
      <c r="GA20" s="530"/>
      <c r="GB20" s="530"/>
      <c r="GC20" s="530"/>
      <c r="GD20" s="530"/>
      <c r="GE20" s="530"/>
      <c r="GF20" s="530"/>
      <c r="GG20" s="530"/>
      <c r="GH20" s="530"/>
      <c r="GI20" s="530"/>
      <c r="GJ20" s="530"/>
      <c r="GK20" s="530"/>
      <c r="GL20" s="530"/>
      <c r="GM20" s="530"/>
      <c r="GN20" s="530"/>
      <c r="GO20" s="530"/>
      <c r="GP20" s="530"/>
      <c r="GQ20" s="530"/>
      <c r="GR20" s="530"/>
      <c r="GS20" s="530"/>
      <c r="GT20" s="530"/>
      <c r="GU20" s="530"/>
      <c r="GV20" s="530"/>
      <c r="GW20" s="530"/>
      <c r="GX20" s="530"/>
      <c r="GY20" s="530"/>
      <c r="GZ20" s="530"/>
      <c r="HA20" s="530"/>
      <c r="HB20" s="530"/>
      <c r="HC20" s="530"/>
      <c r="HD20" s="530"/>
      <c r="HE20" s="530"/>
      <c r="HF20" s="530"/>
      <c r="HG20" s="530"/>
      <c r="HH20" s="530"/>
      <c r="HI20" s="530"/>
      <c r="HJ20" s="530"/>
      <c r="HK20" s="530"/>
      <c r="HL20" s="530"/>
      <c r="HM20" s="530"/>
      <c r="HN20" s="530"/>
      <c r="HO20" s="530"/>
      <c r="HP20" s="530"/>
      <c r="HQ20" s="530"/>
      <c r="HR20" s="530"/>
      <c r="HS20" s="530"/>
      <c r="HT20" s="530"/>
      <c r="HU20" s="530"/>
      <c r="HV20" s="530"/>
      <c r="HW20" s="530"/>
      <c r="HX20" s="530"/>
      <c r="HY20" s="530"/>
      <c r="HZ20" s="530"/>
      <c r="IA20" s="530"/>
      <c r="IB20" s="530"/>
      <c r="IC20" s="530"/>
      <c r="ID20" s="530"/>
      <c r="IE20" s="530"/>
      <c r="IF20" s="530"/>
      <c r="IG20" s="530"/>
      <c r="IH20" s="530"/>
      <c r="II20" s="530"/>
      <c r="IJ20" s="530"/>
      <c r="IK20" s="530"/>
      <c r="IL20" s="530"/>
      <c r="IM20" s="530"/>
      <c r="IN20" s="530"/>
      <c r="IO20" s="530"/>
      <c r="IP20" s="530"/>
    </row>
    <row r="21" spans="1:250" s="539" customFormat="1" ht="19.5" customHeight="1">
      <c r="A21" s="598">
        <v>112</v>
      </c>
      <c r="B21" s="533">
        <f>+'112 (R)'!$F$26</f>
        <v>851714</v>
      </c>
      <c r="C21" s="533">
        <v>76850</v>
      </c>
      <c r="D21" s="534">
        <f t="shared" si="0"/>
        <v>774864</v>
      </c>
      <c r="E21" s="535">
        <v>1</v>
      </c>
      <c r="F21" s="536">
        <f t="shared" si="1"/>
        <v>774864</v>
      </c>
      <c r="G21" s="537"/>
      <c r="H21" s="547">
        <f t="shared" si="2"/>
        <v>774864</v>
      </c>
      <c r="I21" s="551"/>
      <c r="J21" s="538"/>
      <c r="K21" s="599">
        <f t="shared" si="3"/>
        <v>112</v>
      </c>
      <c r="L21" s="530"/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30"/>
      <c r="X21" s="530"/>
      <c r="Y21" s="530"/>
      <c r="Z21" s="530"/>
      <c r="AA21" s="530"/>
      <c r="AB21" s="530"/>
      <c r="AC21" s="530"/>
      <c r="AD21" s="530"/>
      <c r="AE21" s="530"/>
      <c r="AF21" s="530"/>
      <c r="AG21" s="530"/>
      <c r="AH21" s="530"/>
      <c r="AI21" s="530"/>
      <c r="AJ21" s="530"/>
      <c r="AK21" s="530"/>
      <c r="AL21" s="530"/>
      <c r="AM21" s="530"/>
      <c r="AN21" s="530"/>
      <c r="AO21" s="530"/>
      <c r="AP21" s="530"/>
      <c r="AQ21" s="530"/>
      <c r="AR21" s="530"/>
      <c r="AS21" s="530"/>
      <c r="AT21" s="530"/>
      <c r="AU21" s="530"/>
      <c r="AV21" s="530"/>
      <c r="AW21" s="530"/>
      <c r="AX21" s="530"/>
      <c r="AY21" s="530"/>
      <c r="AZ21" s="530"/>
      <c r="BA21" s="530"/>
      <c r="BB21" s="530"/>
      <c r="BC21" s="530"/>
      <c r="BD21" s="530"/>
      <c r="BE21" s="530"/>
      <c r="BF21" s="530"/>
      <c r="BG21" s="530"/>
      <c r="BH21" s="530"/>
      <c r="BI21" s="530"/>
      <c r="BJ21" s="530"/>
      <c r="BK21" s="530"/>
      <c r="BL21" s="530"/>
      <c r="BM21" s="530"/>
      <c r="BN21" s="530"/>
      <c r="BO21" s="530"/>
      <c r="BP21" s="530"/>
      <c r="BQ21" s="530"/>
      <c r="BR21" s="530"/>
      <c r="BS21" s="530"/>
      <c r="BT21" s="530"/>
      <c r="BU21" s="530"/>
      <c r="BV21" s="530"/>
      <c r="BW21" s="530"/>
      <c r="BX21" s="530"/>
      <c r="BY21" s="530"/>
      <c r="BZ21" s="530"/>
      <c r="CA21" s="530"/>
      <c r="CB21" s="530"/>
      <c r="CC21" s="530"/>
      <c r="CD21" s="530"/>
      <c r="CE21" s="530"/>
      <c r="CF21" s="530"/>
      <c r="CG21" s="530"/>
      <c r="CH21" s="530"/>
      <c r="CI21" s="530"/>
      <c r="CJ21" s="530"/>
      <c r="CK21" s="530"/>
      <c r="CL21" s="530"/>
      <c r="CM21" s="530"/>
      <c r="CN21" s="530"/>
      <c r="CO21" s="530"/>
      <c r="CP21" s="530"/>
      <c r="CQ21" s="530"/>
      <c r="CR21" s="530"/>
      <c r="CS21" s="530"/>
      <c r="CT21" s="530"/>
      <c r="CU21" s="530"/>
      <c r="CV21" s="530"/>
      <c r="CW21" s="530"/>
      <c r="CX21" s="530"/>
      <c r="CY21" s="530"/>
      <c r="CZ21" s="530"/>
      <c r="DA21" s="530"/>
      <c r="DB21" s="530"/>
      <c r="DC21" s="530"/>
      <c r="DD21" s="530"/>
      <c r="DE21" s="530"/>
      <c r="DF21" s="530"/>
      <c r="DG21" s="530"/>
      <c r="DH21" s="530"/>
      <c r="DI21" s="530"/>
      <c r="DJ21" s="530"/>
      <c r="DK21" s="530"/>
      <c r="DL21" s="530"/>
      <c r="DM21" s="530"/>
      <c r="DN21" s="530"/>
      <c r="DO21" s="530"/>
      <c r="DP21" s="530"/>
      <c r="DQ21" s="530"/>
      <c r="DR21" s="530"/>
      <c r="DS21" s="530"/>
      <c r="DT21" s="530"/>
      <c r="DU21" s="530"/>
      <c r="DV21" s="530"/>
      <c r="DW21" s="530"/>
      <c r="DX21" s="530"/>
      <c r="DY21" s="530"/>
      <c r="DZ21" s="530"/>
      <c r="EA21" s="530"/>
      <c r="EB21" s="530"/>
      <c r="EC21" s="530"/>
      <c r="ED21" s="530"/>
      <c r="EE21" s="530"/>
      <c r="EF21" s="530"/>
      <c r="EG21" s="530"/>
      <c r="EH21" s="530"/>
      <c r="EI21" s="530"/>
      <c r="EJ21" s="530"/>
      <c r="EK21" s="530"/>
      <c r="EL21" s="530"/>
      <c r="EM21" s="530"/>
      <c r="EN21" s="530"/>
      <c r="EO21" s="530"/>
      <c r="EP21" s="530"/>
      <c r="EQ21" s="530"/>
      <c r="ER21" s="530"/>
      <c r="ES21" s="530"/>
      <c r="ET21" s="530"/>
      <c r="EU21" s="530"/>
      <c r="EV21" s="530"/>
      <c r="EW21" s="530"/>
      <c r="EX21" s="530"/>
      <c r="EY21" s="530"/>
      <c r="EZ21" s="530"/>
      <c r="FA21" s="530"/>
      <c r="FB21" s="530"/>
      <c r="FC21" s="530"/>
      <c r="FD21" s="530"/>
      <c r="FE21" s="530"/>
      <c r="FF21" s="530"/>
      <c r="FG21" s="530"/>
      <c r="FH21" s="530"/>
      <c r="FI21" s="530"/>
      <c r="FJ21" s="530"/>
      <c r="FK21" s="530"/>
      <c r="FL21" s="530"/>
      <c r="FM21" s="530"/>
      <c r="FN21" s="530"/>
      <c r="FO21" s="530"/>
      <c r="FP21" s="530"/>
      <c r="FQ21" s="530"/>
      <c r="FR21" s="530"/>
      <c r="FS21" s="530"/>
      <c r="FT21" s="530"/>
      <c r="FU21" s="530"/>
      <c r="FV21" s="530"/>
      <c r="FW21" s="530"/>
      <c r="FX21" s="530"/>
      <c r="FY21" s="530"/>
      <c r="FZ21" s="530"/>
      <c r="GA21" s="530"/>
      <c r="GB21" s="530"/>
      <c r="GC21" s="530"/>
      <c r="GD21" s="530"/>
      <c r="GE21" s="530"/>
      <c r="GF21" s="530"/>
      <c r="GG21" s="530"/>
      <c r="GH21" s="530"/>
      <c r="GI21" s="530"/>
      <c r="GJ21" s="530"/>
      <c r="GK21" s="530"/>
      <c r="GL21" s="530"/>
      <c r="GM21" s="530"/>
      <c r="GN21" s="530"/>
      <c r="GO21" s="530"/>
      <c r="GP21" s="530"/>
      <c r="GQ21" s="530"/>
      <c r="GR21" s="530"/>
      <c r="GS21" s="530"/>
      <c r="GT21" s="530"/>
      <c r="GU21" s="530"/>
      <c r="GV21" s="530"/>
      <c r="GW21" s="530"/>
      <c r="GX21" s="530"/>
      <c r="GY21" s="530"/>
      <c r="GZ21" s="530"/>
      <c r="HA21" s="530"/>
      <c r="HB21" s="530"/>
      <c r="HC21" s="530"/>
      <c r="HD21" s="530"/>
      <c r="HE21" s="530"/>
      <c r="HF21" s="530"/>
      <c r="HG21" s="530"/>
      <c r="HH21" s="530"/>
      <c r="HI21" s="530"/>
      <c r="HJ21" s="530"/>
      <c r="HK21" s="530"/>
      <c r="HL21" s="530"/>
      <c r="HM21" s="530"/>
      <c r="HN21" s="530"/>
      <c r="HO21" s="530"/>
      <c r="HP21" s="530"/>
      <c r="HQ21" s="530"/>
      <c r="HR21" s="530"/>
      <c r="HS21" s="530"/>
      <c r="HT21" s="530"/>
      <c r="HU21" s="530"/>
      <c r="HV21" s="530"/>
      <c r="HW21" s="530"/>
      <c r="HX21" s="530"/>
      <c r="HY21" s="530"/>
      <c r="HZ21" s="530"/>
      <c r="IA21" s="530"/>
      <c r="IB21" s="530"/>
      <c r="IC21" s="530"/>
      <c r="ID21" s="530"/>
      <c r="IE21" s="530"/>
      <c r="IF21" s="530"/>
      <c r="IG21" s="530"/>
      <c r="IH21" s="530"/>
      <c r="II21" s="530"/>
      <c r="IJ21" s="530"/>
      <c r="IK21" s="530"/>
      <c r="IL21" s="530"/>
      <c r="IM21" s="530"/>
      <c r="IN21" s="530"/>
      <c r="IO21" s="530"/>
      <c r="IP21" s="530"/>
    </row>
    <row r="22" spans="1:250" s="539" customFormat="1" ht="19.5" customHeight="1">
      <c r="A22" s="598">
        <v>118</v>
      </c>
      <c r="B22" s="533">
        <f>+'118 (R)'!$F$26</f>
        <v>787854</v>
      </c>
      <c r="C22" s="533">
        <v>83389</v>
      </c>
      <c r="D22" s="534">
        <f t="shared" si="0"/>
        <v>704465</v>
      </c>
      <c r="E22" s="535">
        <v>1</v>
      </c>
      <c r="F22" s="536">
        <f t="shared" si="1"/>
        <v>704465</v>
      </c>
      <c r="G22" s="537"/>
      <c r="H22" s="547">
        <f t="shared" si="2"/>
        <v>704465</v>
      </c>
      <c r="I22" s="551"/>
      <c r="J22" s="538"/>
      <c r="K22" s="599">
        <f t="shared" si="3"/>
        <v>118</v>
      </c>
      <c r="L22" s="530"/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/>
      <c r="Y22" s="530"/>
      <c r="Z22" s="530"/>
      <c r="AA22" s="530"/>
      <c r="AB22" s="530"/>
      <c r="AC22" s="530"/>
      <c r="AD22" s="530"/>
      <c r="AE22" s="530"/>
      <c r="AF22" s="530"/>
      <c r="AG22" s="530"/>
      <c r="AH22" s="530"/>
      <c r="AI22" s="530"/>
      <c r="AJ22" s="530"/>
      <c r="AK22" s="530"/>
      <c r="AL22" s="530"/>
      <c r="AM22" s="530"/>
      <c r="AN22" s="530"/>
      <c r="AO22" s="530"/>
      <c r="AP22" s="530"/>
      <c r="AQ22" s="530"/>
      <c r="AR22" s="530"/>
      <c r="AS22" s="530"/>
      <c r="AT22" s="530"/>
      <c r="AU22" s="530"/>
      <c r="AV22" s="530"/>
      <c r="AW22" s="530"/>
      <c r="AX22" s="530"/>
      <c r="AY22" s="530"/>
      <c r="AZ22" s="530"/>
      <c r="BA22" s="530"/>
      <c r="BB22" s="530"/>
      <c r="BC22" s="530"/>
      <c r="BD22" s="530"/>
      <c r="BE22" s="530"/>
      <c r="BF22" s="530"/>
      <c r="BG22" s="530"/>
      <c r="BH22" s="530"/>
      <c r="BI22" s="530"/>
      <c r="BJ22" s="530"/>
      <c r="BK22" s="530"/>
      <c r="BL22" s="530"/>
      <c r="BM22" s="530"/>
      <c r="BN22" s="530"/>
      <c r="BO22" s="530"/>
      <c r="BP22" s="530"/>
      <c r="BQ22" s="530"/>
      <c r="BR22" s="530"/>
      <c r="BS22" s="530"/>
      <c r="BT22" s="530"/>
      <c r="BU22" s="530"/>
      <c r="BV22" s="530"/>
      <c r="BW22" s="530"/>
      <c r="BX22" s="530"/>
      <c r="BY22" s="530"/>
      <c r="BZ22" s="530"/>
      <c r="CA22" s="530"/>
      <c r="CB22" s="530"/>
      <c r="CC22" s="530"/>
      <c r="CD22" s="530"/>
      <c r="CE22" s="530"/>
      <c r="CF22" s="530"/>
      <c r="CG22" s="530"/>
      <c r="CH22" s="530"/>
      <c r="CI22" s="530"/>
      <c r="CJ22" s="530"/>
      <c r="CK22" s="530"/>
      <c r="CL22" s="530"/>
      <c r="CM22" s="530"/>
      <c r="CN22" s="530"/>
      <c r="CO22" s="530"/>
      <c r="CP22" s="530"/>
      <c r="CQ22" s="530"/>
      <c r="CR22" s="530"/>
      <c r="CS22" s="530"/>
      <c r="CT22" s="530"/>
      <c r="CU22" s="530"/>
      <c r="CV22" s="530"/>
      <c r="CW22" s="530"/>
      <c r="CX22" s="530"/>
      <c r="CY22" s="530"/>
      <c r="CZ22" s="530"/>
      <c r="DA22" s="530"/>
      <c r="DB22" s="530"/>
      <c r="DC22" s="530"/>
      <c r="DD22" s="530"/>
      <c r="DE22" s="530"/>
      <c r="DF22" s="530"/>
      <c r="DG22" s="530"/>
      <c r="DH22" s="530"/>
      <c r="DI22" s="530"/>
      <c r="DJ22" s="530"/>
      <c r="DK22" s="530"/>
      <c r="DL22" s="530"/>
      <c r="DM22" s="530"/>
      <c r="DN22" s="530"/>
      <c r="DO22" s="530"/>
      <c r="DP22" s="530"/>
      <c r="DQ22" s="530"/>
      <c r="DR22" s="530"/>
      <c r="DS22" s="530"/>
      <c r="DT22" s="530"/>
      <c r="DU22" s="530"/>
      <c r="DV22" s="530"/>
      <c r="DW22" s="530"/>
      <c r="DX22" s="530"/>
      <c r="DY22" s="530"/>
      <c r="DZ22" s="530"/>
      <c r="EA22" s="530"/>
      <c r="EB22" s="530"/>
      <c r="EC22" s="530"/>
      <c r="ED22" s="530"/>
      <c r="EE22" s="530"/>
      <c r="EF22" s="530"/>
      <c r="EG22" s="530"/>
      <c r="EH22" s="530"/>
      <c r="EI22" s="530"/>
      <c r="EJ22" s="530"/>
      <c r="EK22" s="530"/>
      <c r="EL22" s="530"/>
      <c r="EM22" s="530"/>
      <c r="EN22" s="530"/>
      <c r="EO22" s="530"/>
      <c r="EP22" s="530"/>
      <c r="EQ22" s="530"/>
      <c r="ER22" s="530"/>
      <c r="ES22" s="530"/>
      <c r="ET22" s="530"/>
      <c r="EU22" s="530"/>
      <c r="EV22" s="530"/>
      <c r="EW22" s="530"/>
      <c r="EX22" s="530"/>
      <c r="EY22" s="530"/>
      <c r="EZ22" s="530"/>
      <c r="FA22" s="530"/>
      <c r="FB22" s="530"/>
      <c r="FC22" s="530"/>
      <c r="FD22" s="530"/>
      <c r="FE22" s="530"/>
      <c r="FF22" s="530"/>
      <c r="FG22" s="530"/>
      <c r="FH22" s="530"/>
      <c r="FI22" s="530"/>
      <c r="FJ22" s="530"/>
      <c r="FK22" s="530"/>
      <c r="FL22" s="530"/>
      <c r="FM22" s="530"/>
      <c r="FN22" s="530"/>
      <c r="FO22" s="530"/>
      <c r="FP22" s="530"/>
      <c r="FQ22" s="530"/>
      <c r="FR22" s="530"/>
      <c r="FS22" s="530"/>
      <c r="FT22" s="530"/>
      <c r="FU22" s="530"/>
      <c r="FV22" s="530"/>
      <c r="FW22" s="530"/>
      <c r="FX22" s="530"/>
      <c r="FY22" s="530"/>
      <c r="FZ22" s="530"/>
      <c r="GA22" s="530"/>
      <c r="GB22" s="530"/>
      <c r="GC22" s="530"/>
      <c r="GD22" s="530"/>
      <c r="GE22" s="530"/>
      <c r="GF22" s="530"/>
      <c r="GG22" s="530"/>
      <c r="GH22" s="530"/>
      <c r="GI22" s="530"/>
      <c r="GJ22" s="530"/>
      <c r="GK22" s="530"/>
      <c r="GL22" s="530"/>
      <c r="GM22" s="530"/>
      <c r="GN22" s="530"/>
      <c r="GO22" s="530"/>
      <c r="GP22" s="530"/>
      <c r="GQ22" s="530"/>
      <c r="GR22" s="530"/>
      <c r="GS22" s="530"/>
      <c r="GT22" s="530"/>
      <c r="GU22" s="530"/>
      <c r="GV22" s="530"/>
      <c r="GW22" s="530"/>
      <c r="GX22" s="530"/>
      <c r="GY22" s="530"/>
      <c r="GZ22" s="530"/>
      <c r="HA22" s="530"/>
      <c r="HB22" s="530"/>
      <c r="HC22" s="530"/>
      <c r="HD22" s="530"/>
      <c r="HE22" s="530"/>
      <c r="HF22" s="530"/>
      <c r="HG22" s="530"/>
      <c r="HH22" s="530"/>
      <c r="HI22" s="530"/>
      <c r="HJ22" s="530"/>
      <c r="HK22" s="530"/>
      <c r="HL22" s="530"/>
      <c r="HM22" s="530"/>
      <c r="HN22" s="530"/>
      <c r="HO22" s="530"/>
      <c r="HP22" s="530"/>
      <c r="HQ22" s="530"/>
      <c r="HR22" s="530"/>
      <c r="HS22" s="530"/>
      <c r="HT22" s="530"/>
      <c r="HU22" s="530"/>
      <c r="HV22" s="530"/>
      <c r="HW22" s="530"/>
      <c r="HX22" s="530"/>
      <c r="HY22" s="530"/>
      <c r="HZ22" s="530"/>
      <c r="IA22" s="530"/>
      <c r="IB22" s="530"/>
      <c r="IC22" s="530"/>
      <c r="ID22" s="530"/>
      <c r="IE22" s="530"/>
      <c r="IF22" s="530"/>
      <c r="IG22" s="530"/>
      <c r="IH22" s="530"/>
      <c r="II22" s="530"/>
      <c r="IJ22" s="530"/>
      <c r="IK22" s="530"/>
      <c r="IL22" s="530"/>
      <c r="IM22" s="530"/>
      <c r="IN22" s="530"/>
      <c r="IO22" s="530"/>
      <c r="IP22" s="530"/>
    </row>
    <row r="23" spans="1:250" s="539" customFormat="1" ht="19.5" customHeight="1">
      <c r="A23" s="598">
        <v>95</v>
      </c>
      <c r="B23" s="533">
        <f>'95 (R)'!$F$31</f>
        <v>146458</v>
      </c>
      <c r="C23" s="533">
        <v>23142</v>
      </c>
      <c r="D23" s="534">
        <f t="shared" si="0"/>
        <v>123316</v>
      </c>
      <c r="E23" s="535">
        <v>1</v>
      </c>
      <c r="F23" s="536">
        <f t="shared" si="1"/>
        <v>123316</v>
      </c>
      <c r="G23" s="537"/>
      <c r="H23" s="547">
        <f t="shared" si="2"/>
        <v>123316</v>
      </c>
      <c r="I23" s="551"/>
      <c r="J23" s="538"/>
      <c r="K23" s="599">
        <f t="shared" si="3"/>
        <v>95</v>
      </c>
      <c r="L23" s="530"/>
      <c r="M23" s="530"/>
      <c r="N23" s="530"/>
      <c r="O23" s="530"/>
      <c r="P23" s="530"/>
      <c r="Q23" s="530"/>
      <c r="R23" s="530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/>
      <c r="AG23" s="530"/>
      <c r="AH23" s="530"/>
      <c r="AI23" s="530"/>
      <c r="AJ23" s="530"/>
      <c r="AK23" s="530"/>
      <c r="AL23" s="530"/>
      <c r="AM23" s="530"/>
      <c r="AN23" s="530"/>
      <c r="AO23" s="530"/>
      <c r="AP23" s="530"/>
      <c r="AQ23" s="530"/>
      <c r="AR23" s="530"/>
      <c r="AS23" s="530"/>
      <c r="AT23" s="530"/>
      <c r="AU23" s="530"/>
      <c r="AV23" s="530"/>
      <c r="AW23" s="530"/>
      <c r="AX23" s="530"/>
      <c r="AY23" s="530"/>
      <c r="AZ23" s="530"/>
      <c r="BA23" s="530"/>
      <c r="BB23" s="530"/>
      <c r="BC23" s="530"/>
      <c r="BD23" s="530"/>
      <c r="BE23" s="530"/>
      <c r="BF23" s="530"/>
      <c r="BG23" s="530"/>
      <c r="BH23" s="530"/>
      <c r="BI23" s="530"/>
      <c r="BJ23" s="530"/>
      <c r="BK23" s="530"/>
      <c r="BL23" s="530"/>
      <c r="BM23" s="530"/>
      <c r="BN23" s="530"/>
      <c r="BO23" s="530"/>
      <c r="BP23" s="530"/>
      <c r="BQ23" s="530"/>
      <c r="BR23" s="530"/>
      <c r="BS23" s="530"/>
      <c r="BT23" s="530"/>
      <c r="BU23" s="530"/>
      <c r="BV23" s="530"/>
      <c r="BW23" s="530"/>
      <c r="BX23" s="530"/>
      <c r="BY23" s="530"/>
      <c r="BZ23" s="530"/>
      <c r="CA23" s="530"/>
      <c r="CB23" s="530"/>
      <c r="CC23" s="530"/>
      <c r="CD23" s="530"/>
      <c r="CE23" s="530"/>
      <c r="CF23" s="530"/>
      <c r="CG23" s="530"/>
      <c r="CH23" s="530"/>
      <c r="CI23" s="530"/>
      <c r="CJ23" s="530"/>
      <c r="CK23" s="530"/>
      <c r="CL23" s="530"/>
      <c r="CM23" s="530"/>
      <c r="CN23" s="530"/>
      <c r="CO23" s="530"/>
      <c r="CP23" s="530"/>
      <c r="CQ23" s="530"/>
      <c r="CR23" s="530"/>
      <c r="CS23" s="530"/>
      <c r="CT23" s="530"/>
      <c r="CU23" s="530"/>
      <c r="CV23" s="530"/>
      <c r="CW23" s="530"/>
      <c r="CX23" s="530"/>
      <c r="CY23" s="530"/>
      <c r="CZ23" s="530"/>
      <c r="DA23" s="530"/>
      <c r="DB23" s="530"/>
      <c r="DC23" s="530"/>
      <c r="DD23" s="530"/>
      <c r="DE23" s="530"/>
      <c r="DF23" s="530"/>
      <c r="DG23" s="530"/>
      <c r="DH23" s="530"/>
      <c r="DI23" s="530"/>
      <c r="DJ23" s="530"/>
      <c r="DK23" s="530"/>
      <c r="DL23" s="530"/>
      <c r="DM23" s="530"/>
      <c r="DN23" s="530"/>
      <c r="DO23" s="530"/>
      <c r="DP23" s="530"/>
      <c r="DQ23" s="530"/>
      <c r="DR23" s="530"/>
      <c r="DS23" s="530"/>
      <c r="DT23" s="530"/>
      <c r="DU23" s="530"/>
      <c r="DV23" s="530"/>
      <c r="DW23" s="530"/>
      <c r="DX23" s="530"/>
      <c r="DY23" s="530"/>
      <c r="DZ23" s="530"/>
      <c r="EA23" s="530"/>
      <c r="EB23" s="530"/>
      <c r="EC23" s="530"/>
      <c r="ED23" s="530"/>
      <c r="EE23" s="530"/>
      <c r="EF23" s="530"/>
      <c r="EG23" s="530"/>
      <c r="EH23" s="530"/>
      <c r="EI23" s="530"/>
      <c r="EJ23" s="530"/>
      <c r="EK23" s="530"/>
      <c r="EL23" s="530"/>
      <c r="EM23" s="530"/>
      <c r="EN23" s="530"/>
      <c r="EO23" s="530"/>
      <c r="EP23" s="530"/>
      <c r="EQ23" s="530"/>
      <c r="ER23" s="530"/>
      <c r="ES23" s="530"/>
      <c r="ET23" s="530"/>
      <c r="EU23" s="530"/>
      <c r="EV23" s="530"/>
      <c r="EW23" s="530"/>
      <c r="EX23" s="530"/>
      <c r="EY23" s="530"/>
      <c r="EZ23" s="530"/>
      <c r="FA23" s="530"/>
      <c r="FB23" s="530"/>
      <c r="FC23" s="530"/>
      <c r="FD23" s="530"/>
      <c r="FE23" s="530"/>
      <c r="FF23" s="530"/>
      <c r="FG23" s="530"/>
      <c r="FH23" s="530"/>
      <c r="FI23" s="530"/>
      <c r="FJ23" s="530"/>
      <c r="FK23" s="530"/>
      <c r="FL23" s="530"/>
      <c r="FM23" s="530"/>
      <c r="FN23" s="530"/>
      <c r="FO23" s="530"/>
      <c r="FP23" s="530"/>
      <c r="FQ23" s="530"/>
      <c r="FR23" s="530"/>
      <c r="FS23" s="530"/>
      <c r="FT23" s="530"/>
      <c r="FU23" s="530"/>
      <c r="FV23" s="530"/>
      <c r="FW23" s="530"/>
      <c r="FX23" s="530"/>
      <c r="FY23" s="530"/>
      <c r="FZ23" s="530"/>
      <c r="GA23" s="530"/>
      <c r="GB23" s="530"/>
      <c r="GC23" s="530"/>
      <c r="GD23" s="530"/>
      <c r="GE23" s="530"/>
      <c r="GF23" s="530"/>
      <c r="GG23" s="530"/>
      <c r="GH23" s="530"/>
      <c r="GI23" s="530"/>
      <c r="GJ23" s="530"/>
      <c r="GK23" s="530"/>
      <c r="GL23" s="530"/>
      <c r="GM23" s="530"/>
      <c r="GN23" s="530"/>
      <c r="GO23" s="530"/>
      <c r="GP23" s="530"/>
      <c r="GQ23" s="530"/>
      <c r="GR23" s="530"/>
      <c r="GS23" s="530"/>
      <c r="GT23" s="530"/>
      <c r="GU23" s="530"/>
      <c r="GV23" s="530"/>
      <c r="GW23" s="530"/>
      <c r="GX23" s="530"/>
      <c r="GY23" s="530"/>
      <c r="GZ23" s="530"/>
      <c r="HA23" s="530"/>
      <c r="HB23" s="530"/>
      <c r="HC23" s="530"/>
      <c r="HD23" s="530"/>
      <c r="HE23" s="530"/>
      <c r="HF23" s="530"/>
      <c r="HG23" s="530"/>
      <c r="HH23" s="530"/>
      <c r="HI23" s="530"/>
      <c r="HJ23" s="530"/>
      <c r="HK23" s="530"/>
      <c r="HL23" s="530"/>
      <c r="HM23" s="530"/>
      <c r="HN23" s="530"/>
      <c r="HO23" s="530"/>
      <c r="HP23" s="530"/>
      <c r="HQ23" s="530"/>
      <c r="HR23" s="530"/>
      <c r="HS23" s="530"/>
      <c r="HT23" s="530"/>
      <c r="HU23" s="530"/>
      <c r="HV23" s="530"/>
      <c r="HW23" s="530"/>
      <c r="HX23" s="530"/>
      <c r="HY23" s="530"/>
      <c r="HZ23" s="530"/>
      <c r="IA23" s="530"/>
      <c r="IB23" s="530"/>
      <c r="IC23" s="530"/>
      <c r="ID23" s="530"/>
      <c r="IE23" s="530"/>
      <c r="IF23" s="530"/>
      <c r="IG23" s="530"/>
      <c r="IH23" s="530"/>
      <c r="II23" s="530"/>
      <c r="IJ23" s="530"/>
      <c r="IK23" s="530"/>
      <c r="IL23" s="530"/>
      <c r="IM23" s="530"/>
      <c r="IN23" s="530"/>
      <c r="IO23" s="530"/>
      <c r="IP23" s="530"/>
    </row>
    <row r="24" spans="1:250" s="539" customFormat="1" ht="19.5" customHeight="1">
      <c r="A24" s="598">
        <v>113</v>
      </c>
      <c r="B24" s="533">
        <f>+'113 (R)'!$F$26</f>
        <v>977092</v>
      </c>
      <c r="C24" s="533">
        <v>92684</v>
      </c>
      <c r="D24" s="534">
        <f t="shared" si="0"/>
        <v>884408</v>
      </c>
      <c r="E24" s="535">
        <v>1</v>
      </c>
      <c r="F24" s="536">
        <f t="shared" si="1"/>
        <v>884408</v>
      </c>
      <c r="G24" s="537"/>
      <c r="H24" s="547">
        <f t="shared" si="2"/>
        <v>884408</v>
      </c>
      <c r="I24" s="551"/>
      <c r="J24" s="538"/>
      <c r="K24" s="599">
        <f t="shared" si="3"/>
        <v>113</v>
      </c>
      <c r="L24" s="530"/>
      <c r="M24" s="530"/>
      <c r="N24" s="530"/>
      <c r="O24" s="530"/>
      <c r="P24" s="530"/>
      <c r="Q24" s="530"/>
      <c r="R24" s="530"/>
      <c r="S24" s="530"/>
      <c r="T24" s="530"/>
      <c r="U24" s="530"/>
      <c r="V24" s="530"/>
      <c r="W24" s="530"/>
      <c r="X24" s="530"/>
      <c r="Y24" s="530"/>
      <c r="Z24" s="530"/>
      <c r="AA24" s="530"/>
      <c r="AB24" s="530"/>
      <c r="AC24" s="530"/>
      <c r="AD24" s="530"/>
      <c r="AE24" s="530"/>
      <c r="AF24" s="530"/>
      <c r="AG24" s="530"/>
      <c r="AH24" s="530"/>
      <c r="AI24" s="530"/>
      <c r="AJ24" s="530"/>
      <c r="AK24" s="530"/>
      <c r="AL24" s="530"/>
      <c r="AM24" s="530"/>
      <c r="AN24" s="530"/>
      <c r="AO24" s="530"/>
      <c r="AP24" s="530"/>
      <c r="AQ24" s="530"/>
      <c r="AR24" s="530"/>
      <c r="AS24" s="530"/>
      <c r="AT24" s="530"/>
      <c r="AU24" s="530"/>
      <c r="AV24" s="530"/>
      <c r="AW24" s="530"/>
      <c r="AX24" s="530"/>
      <c r="AY24" s="530"/>
      <c r="AZ24" s="530"/>
      <c r="BA24" s="530"/>
      <c r="BB24" s="530"/>
      <c r="BC24" s="530"/>
      <c r="BD24" s="530"/>
      <c r="BE24" s="530"/>
      <c r="BF24" s="530"/>
      <c r="BG24" s="530"/>
      <c r="BH24" s="530"/>
      <c r="BI24" s="530"/>
      <c r="BJ24" s="530"/>
      <c r="BK24" s="530"/>
      <c r="BL24" s="530"/>
      <c r="BM24" s="530"/>
      <c r="BN24" s="530"/>
      <c r="BO24" s="530"/>
      <c r="BP24" s="530"/>
      <c r="BQ24" s="530"/>
      <c r="BR24" s="530"/>
      <c r="BS24" s="530"/>
      <c r="BT24" s="530"/>
      <c r="BU24" s="530"/>
      <c r="BV24" s="530"/>
      <c r="BW24" s="530"/>
      <c r="BX24" s="530"/>
      <c r="BY24" s="530"/>
      <c r="BZ24" s="530"/>
      <c r="CA24" s="530"/>
      <c r="CB24" s="530"/>
      <c r="CC24" s="530"/>
      <c r="CD24" s="530"/>
      <c r="CE24" s="530"/>
      <c r="CF24" s="530"/>
      <c r="CG24" s="530"/>
      <c r="CH24" s="530"/>
      <c r="CI24" s="530"/>
      <c r="CJ24" s="530"/>
      <c r="CK24" s="530"/>
      <c r="CL24" s="530"/>
      <c r="CM24" s="530"/>
      <c r="CN24" s="530"/>
      <c r="CO24" s="530"/>
      <c r="CP24" s="530"/>
      <c r="CQ24" s="530"/>
      <c r="CR24" s="530"/>
      <c r="CS24" s="530"/>
      <c r="CT24" s="530"/>
      <c r="CU24" s="530"/>
      <c r="CV24" s="530"/>
      <c r="CW24" s="530"/>
      <c r="CX24" s="530"/>
      <c r="CY24" s="530"/>
      <c r="CZ24" s="530"/>
      <c r="DA24" s="530"/>
      <c r="DB24" s="530"/>
      <c r="DC24" s="530"/>
      <c r="DD24" s="530"/>
      <c r="DE24" s="530"/>
      <c r="DF24" s="530"/>
      <c r="DG24" s="530"/>
      <c r="DH24" s="530"/>
      <c r="DI24" s="530"/>
      <c r="DJ24" s="530"/>
      <c r="DK24" s="530"/>
      <c r="DL24" s="530"/>
      <c r="DM24" s="530"/>
      <c r="DN24" s="530"/>
      <c r="DO24" s="530"/>
      <c r="DP24" s="530"/>
      <c r="DQ24" s="530"/>
      <c r="DR24" s="530"/>
      <c r="DS24" s="530"/>
      <c r="DT24" s="530"/>
      <c r="DU24" s="530"/>
      <c r="DV24" s="530"/>
      <c r="DW24" s="530"/>
      <c r="DX24" s="530"/>
      <c r="DY24" s="530"/>
      <c r="DZ24" s="530"/>
      <c r="EA24" s="530"/>
      <c r="EB24" s="530"/>
      <c r="EC24" s="530"/>
      <c r="ED24" s="530"/>
      <c r="EE24" s="530"/>
      <c r="EF24" s="530"/>
      <c r="EG24" s="530"/>
      <c r="EH24" s="530"/>
      <c r="EI24" s="530"/>
      <c r="EJ24" s="530"/>
      <c r="EK24" s="530"/>
      <c r="EL24" s="530"/>
      <c r="EM24" s="530"/>
      <c r="EN24" s="530"/>
      <c r="EO24" s="530"/>
      <c r="EP24" s="530"/>
      <c r="EQ24" s="530"/>
      <c r="ER24" s="530"/>
      <c r="ES24" s="530"/>
      <c r="ET24" s="530"/>
      <c r="EU24" s="530"/>
      <c r="EV24" s="530"/>
      <c r="EW24" s="530"/>
      <c r="EX24" s="530"/>
      <c r="EY24" s="530"/>
      <c r="EZ24" s="530"/>
      <c r="FA24" s="530"/>
      <c r="FB24" s="530"/>
      <c r="FC24" s="530"/>
      <c r="FD24" s="530"/>
      <c r="FE24" s="530"/>
      <c r="FF24" s="530"/>
      <c r="FG24" s="530"/>
      <c r="FH24" s="530"/>
      <c r="FI24" s="530"/>
      <c r="FJ24" s="530"/>
      <c r="FK24" s="530"/>
      <c r="FL24" s="530"/>
      <c r="FM24" s="530"/>
      <c r="FN24" s="530"/>
      <c r="FO24" s="530"/>
      <c r="FP24" s="530"/>
      <c r="FQ24" s="530"/>
      <c r="FR24" s="530"/>
      <c r="FS24" s="530"/>
      <c r="FT24" s="530"/>
      <c r="FU24" s="530"/>
      <c r="FV24" s="530"/>
      <c r="FW24" s="530"/>
      <c r="FX24" s="530"/>
      <c r="FY24" s="530"/>
      <c r="FZ24" s="530"/>
      <c r="GA24" s="530"/>
      <c r="GB24" s="530"/>
      <c r="GC24" s="530"/>
      <c r="GD24" s="530"/>
      <c r="GE24" s="530"/>
      <c r="GF24" s="530"/>
      <c r="GG24" s="530"/>
      <c r="GH24" s="530"/>
      <c r="GI24" s="530"/>
      <c r="GJ24" s="530"/>
      <c r="GK24" s="530"/>
      <c r="GL24" s="530"/>
      <c r="GM24" s="530"/>
      <c r="GN24" s="530"/>
      <c r="GO24" s="530"/>
      <c r="GP24" s="530"/>
      <c r="GQ24" s="530"/>
      <c r="GR24" s="530"/>
      <c r="GS24" s="530"/>
      <c r="GT24" s="530"/>
      <c r="GU24" s="530"/>
      <c r="GV24" s="530"/>
      <c r="GW24" s="530"/>
      <c r="GX24" s="530"/>
      <c r="GY24" s="530"/>
      <c r="GZ24" s="530"/>
      <c r="HA24" s="530"/>
      <c r="HB24" s="530"/>
      <c r="HC24" s="530"/>
      <c r="HD24" s="530"/>
      <c r="HE24" s="530"/>
      <c r="HF24" s="530"/>
      <c r="HG24" s="530"/>
      <c r="HH24" s="530"/>
      <c r="HI24" s="530"/>
      <c r="HJ24" s="530"/>
      <c r="HK24" s="530"/>
      <c r="HL24" s="530"/>
      <c r="HM24" s="530"/>
      <c r="HN24" s="530"/>
      <c r="HO24" s="530"/>
      <c r="HP24" s="530"/>
      <c r="HQ24" s="530"/>
      <c r="HR24" s="530"/>
      <c r="HS24" s="530"/>
      <c r="HT24" s="530"/>
      <c r="HU24" s="530"/>
      <c r="HV24" s="530"/>
      <c r="HW24" s="530"/>
      <c r="HX24" s="530"/>
      <c r="HY24" s="530"/>
      <c r="HZ24" s="530"/>
      <c r="IA24" s="530"/>
      <c r="IB24" s="530"/>
      <c r="IC24" s="530"/>
      <c r="ID24" s="530"/>
      <c r="IE24" s="530"/>
      <c r="IF24" s="530"/>
      <c r="IG24" s="530"/>
      <c r="IH24" s="530"/>
      <c r="II24" s="530"/>
      <c r="IJ24" s="530"/>
      <c r="IK24" s="530"/>
      <c r="IL24" s="530"/>
      <c r="IM24" s="530"/>
      <c r="IN24" s="530"/>
      <c r="IO24" s="530"/>
      <c r="IP24" s="530"/>
    </row>
    <row r="25" spans="1:250" s="539" customFormat="1" ht="19.5" customHeight="1">
      <c r="A25" s="598">
        <v>27</v>
      </c>
      <c r="B25" s="533">
        <f>'27 (R)'!$E$30</f>
        <v>14848500</v>
      </c>
      <c r="C25" s="533">
        <v>4527500</v>
      </c>
      <c r="D25" s="534">
        <f t="shared" si="0"/>
        <v>10321000</v>
      </c>
      <c r="E25" s="535">
        <v>0.01</v>
      </c>
      <c r="F25" s="536">
        <f t="shared" si="1"/>
        <v>103210</v>
      </c>
      <c r="G25" s="537"/>
      <c r="H25" s="547">
        <f t="shared" si="2"/>
        <v>103210</v>
      </c>
      <c r="I25" s="551"/>
      <c r="J25" s="538"/>
      <c r="K25" s="599">
        <f t="shared" si="3"/>
        <v>27</v>
      </c>
      <c r="L25" s="530"/>
      <c r="M25" s="530"/>
      <c r="N25" s="530"/>
      <c r="O25" s="530"/>
      <c r="P25" s="530"/>
      <c r="Q25" s="530"/>
      <c r="R25" s="530"/>
      <c r="S25" s="530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30"/>
      <c r="AE25" s="530"/>
      <c r="AF25" s="530"/>
      <c r="AG25" s="530"/>
      <c r="AH25" s="530"/>
      <c r="AI25" s="530"/>
      <c r="AJ25" s="530"/>
      <c r="AK25" s="530"/>
      <c r="AL25" s="530"/>
      <c r="AM25" s="530"/>
      <c r="AN25" s="530"/>
      <c r="AO25" s="530"/>
      <c r="AP25" s="530"/>
      <c r="AQ25" s="530"/>
      <c r="AR25" s="530"/>
      <c r="AS25" s="530"/>
      <c r="AT25" s="530"/>
      <c r="AU25" s="530"/>
      <c r="AV25" s="530"/>
      <c r="AW25" s="530"/>
      <c r="AX25" s="530"/>
      <c r="AY25" s="530"/>
      <c r="AZ25" s="530"/>
      <c r="BA25" s="530"/>
      <c r="BB25" s="530"/>
      <c r="BC25" s="530"/>
      <c r="BD25" s="530"/>
      <c r="BE25" s="530"/>
      <c r="BF25" s="530"/>
      <c r="BG25" s="530"/>
      <c r="BH25" s="530"/>
      <c r="BI25" s="530"/>
      <c r="BJ25" s="530"/>
      <c r="BK25" s="530"/>
      <c r="BL25" s="530"/>
      <c r="BM25" s="530"/>
      <c r="BN25" s="530"/>
      <c r="BO25" s="530"/>
      <c r="BP25" s="530"/>
      <c r="BQ25" s="530"/>
      <c r="BR25" s="530"/>
      <c r="BS25" s="530"/>
      <c r="BT25" s="530"/>
      <c r="BU25" s="530"/>
      <c r="BV25" s="530"/>
      <c r="BW25" s="530"/>
      <c r="BX25" s="530"/>
      <c r="BY25" s="530"/>
      <c r="BZ25" s="530"/>
      <c r="CA25" s="530"/>
      <c r="CB25" s="530"/>
      <c r="CC25" s="530"/>
      <c r="CD25" s="530"/>
      <c r="CE25" s="530"/>
      <c r="CF25" s="530"/>
      <c r="CG25" s="530"/>
      <c r="CH25" s="530"/>
      <c r="CI25" s="530"/>
      <c r="CJ25" s="530"/>
      <c r="CK25" s="530"/>
      <c r="CL25" s="530"/>
      <c r="CM25" s="530"/>
      <c r="CN25" s="530"/>
      <c r="CO25" s="530"/>
      <c r="CP25" s="530"/>
      <c r="CQ25" s="530"/>
      <c r="CR25" s="530"/>
      <c r="CS25" s="530"/>
      <c r="CT25" s="530"/>
      <c r="CU25" s="530"/>
      <c r="CV25" s="530"/>
      <c r="CW25" s="530"/>
      <c r="CX25" s="530"/>
      <c r="CY25" s="530"/>
      <c r="CZ25" s="530"/>
      <c r="DA25" s="530"/>
      <c r="DB25" s="530"/>
      <c r="DC25" s="530"/>
      <c r="DD25" s="530"/>
      <c r="DE25" s="530"/>
      <c r="DF25" s="530"/>
      <c r="DG25" s="530"/>
      <c r="DH25" s="530"/>
      <c r="DI25" s="530"/>
      <c r="DJ25" s="530"/>
      <c r="DK25" s="530"/>
      <c r="DL25" s="530"/>
      <c r="DM25" s="530"/>
      <c r="DN25" s="530"/>
      <c r="DO25" s="530"/>
      <c r="DP25" s="530"/>
      <c r="DQ25" s="530"/>
      <c r="DR25" s="530"/>
      <c r="DS25" s="530"/>
      <c r="DT25" s="530"/>
      <c r="DU25" s="530"/>
      <c r="DV25" s="530"/>
      <c r="DW25" s="530"/>
      <c r="DX25" s="530"/>
      <c r="DY25" s="530"/>
      <c r="DZ25" s="530"/>
      <c r="EA25" s="530"/>
      <c r="EB25" s="530"/>
      <c r="EC25" s="530"/>
      <c r="ED25" s="530"/>
      <c r="EE25" s="530"/>
      <c r="EF25" s="530"/>
      <c r="EG25" s="530"/>
      <c r="EH25" s="530"/>
      <c r="EI25" s="530"/>
      <c r="EJ25" s="530"/>
      <c r="EK25" s="530"/>
      <c r="EL25" s="530"/>
      <c r="EM25" s="530"/>
      <c r="EN25" s="530"/>
      <c r="EO25" s="530"/>
      <c r="EP25" s="530"/>
      <c r="EQ25" s="530"/>
      <c r="ER25" s="530"/>
      <c r="ES25" s="530"/>
      <c r="ET25" s="530"/>
      <c r="EU25" s="530"/>
      <c r="EV25" s="530"/>
      <c r="EW25" s="530"/>
      <c r="EX25" s="530"/>
      <c r="EY25" s="530"/>
      <c r="EZ25" s="530"/>
      <c r="FA25" s="530"/>
      <c r="FB25" s="530"/>
      <c r="FC25" s="530"/>
      <c r="FD25" s="530"/>
      <c r="FE25" s="530"/>
      <c r="FF25" s="530"/>
      <c r="FG25" s="530"/>
      <c r="FH25" s="530"/>
      <c r="FI25" s="530"/>
      <c r="FJ25" s="530"/>
      <c r="FK25" s="530"/>
      <c r="FL25" s="530"/>
      <c r="FM25" s="530"/>
      <c r="FN25" s="530"/>
      <c r="FO25" s="530"/>
      <c r="FP25" s="530"/>
      <c r="FQ25" s="530"/>
      <c r="FR25" s="530"/>
      <c r="FS25" s="530"/>
      <c r="FT25" s="530"/>
      <c r="FU25" s="530"/>
      <c r="FV25" s="530"/>
      <c r="FW25" s="530"/>
      <c r="FX25" s="530"/>
      <c r="FY25" s="530"/>
      <c r="FZ25" s="530"/>
      <c r="GA25" s="530"/>
      <c r="GB25" s="530"/>
      <c r="GC25" s="530"/>
      <c r="GD25" s="530"/>
      <c r="GE25" s="530"/>
      <c r="GF25" s="530"/>
      <c r="GG25" s="530"/>
      <c r="GH25" s="530"/>
      <c r="GI25" s="530"/>
      <c r="GJ25" s="530"/>
      <c r="GK25" s="530"/>
      <c r="GL25" s="530"/>
      <c r="GM25" s="530"/>
      <c r="GN25" s="530"/>
      <c r="GO25" s="530"/>
      <c r="GP25" s="530"/>
      <c r="GQ25" s="530"/>
      <c r="GR25" s="530"/>
      <c r="GS25" s="530"/>
      <c r="GT25" s="530"/>
      <c r="GU25" s="530"/>
      <c r="GV25" s="530"/>
      <c r="GW25" s="530"/>
      <c r="GX25" s="530"/>
      <c r="GY25" s="530"/>
      <c r="GZ25" s="530"/>
      <c r="HA25" s="530"/>
      <c r="HB25" s="530"/>
      <c r="HC25" s="530"/>
      <c r="HD25" s="530"/>
      <c r="HE25" s="530"/>
      <c r="HF25" s="530"/>
      <c r="HG25" s="530"/>
      <c r="HH25" s="530"/>
      <c r="HI25" s="530"/>
      <c r="HJ25" s="530"/>
      <c r="HK25" s="530"/>
      <c r="HL25" s="530"/>
      <c r="HM25" s="530"/>
      <c r="HN25" s="530"/>
      <c r="HO25" s="530"/>
      <c r="HP25" s="530"/>
      <c r="HQ25" s="530"/>
      <c r="HR25" s="530"/>
      <c r="HS25" s="530"/>
      <c r="HT25" s="530"/>
      <c r="HU25" s="530"/>
      <c r="HV25" s="530"/>
      <c r="HW25" s="530"/>
      <c r="HX25" s="530"/>
      <c r="HY25" s="530"/>
      <c r="HZ25" s="530"/>
      <c r="IA25" s="530"/>
      <c r="IB25" s="530"/>
      <c r="IC25" s="530"/>
      <c r="ID25" s="530"/>
      <c r="IE25" s="530"/>
      <c r="IF25" s="530"/>
      <c r="IG25" s="530"/>
      <c r="IH25" s="530"/>
      <c r="II25" s="530"/>
      <c r="IJ25" s="530"/>
      <c r="IK25" s="530"/>
      <c r="IL25" s="530"/>
      <c r="IM25" s="530"/>
      <c r="IN25" s="530"/>
      <c r="IO25" s="530"/>
      <c r="IP25" s="530"/>
    </row>
    <row r="26" spans="1:250" s="539" customFormat="1" ht="19.5" customHeight="1">
      <c r="A26" s="598">
        <v>15</v>
      </c>
      <c r="B26" s="533">
        <f>'15 (R)'!$F$19</f>
        <v>43701000</v>
      </c>
      <c r="C26" s="533">
        <v>41712000</v>
      </c>
      <c r="D26" s="534">
        <f t="shared" si="0"/>
        <v>1989000</v>
      </c>
      <c r="E26" s="535">
        <v>0.02</v>
      </c>
      <c r="F26" s="536">
        <f t="shared" si="1"/>
        <v>39780</v>
      </c>
      <c r="G26" s="537"/>
      <c r="H26" s="547">
        <f t="shared" si="2"/>
        <v>39780</v>
      </c>
      <c r="I26" s="551"/>
      <c r="J26" s="538"/>
      <c r="K26" s="599">
        <f t="shared" si="3"/>
        <v>15</v>
      </c>
      <c r="L26" s="530"/>
      <c r="M26" s="530"/>
      <c r="N26" s="530"/>
      <c r="O26" s="530"/>
      <c r="P26" s="530"/>
      <c r="Q26" s="530"/>
      <c r="R26" s="530"/>
      <c r="S26" s="530"/>
      <c r="T26" s="530"/>
      <c r="U26" s="530"/>
      <c r="V26" s="530"/>
      <c r="W26" s="530"/>
      <c r="X26" s="530"/>
      <c r="Y26" s="530"/>
      <c r="Z26" s="530"/>
      <c r="AA26" s="530"/>
      <c r="AB26" s="530"/>
      <c r="AC26" s="530"/>
      <c r="AD26" s="530"/>
      <c r="AE26" s="530"/>
      <c r="AF26" s="530"/>
      <c r="AG26" s="530"/>
      <c r="AH26" s="530"/>
      <c r="AI26" s="530"/>
      <c r="AJ26" s="530"/>
      <c r="AK26" s="530"/>
      <c r="AL26" s="530"/>
      <c r="AM26" s="530"/>
      <c r="AN26" s="530"/>
      <c r="AO26" s="530"/>
      <c r="AP26" s="530"/>
      <c r="AQ26" s="530"/>
      <c r="AR26" s="530"/>
      <c r="AS26" s="530"/>
      <c r="AT26" s="530"/>
      <c r="AU26" s="530"/>
      <c r="AV26" s="530"/>
      <c r="AW26" s="530"/>
      <c r="AX26" s="530"/>
      <c r="AY26" s="530"/>
      <c r="AZ26" s="530"/>
      <c r="BA26" s="530"/>
      <c r="BB26" s="530"/>
      <c r="BC26" s="530"/>
      <c r="BD26" s="530"/>
      <c r="BE26" s="530"/>
      <c r="BF26" s="530"/>
      <c r="BG26" s="530"/>
      <c r="BH26" s="530"/>
      <c r="BI26" s="530"/>
      <c r="BJ26" s="530"/>
      <c r="BK26" s="530"/>
      <c r="BL26" s="530"/>
      <c r="BM26" s="530"/>
      <c r="BN26" s="530"/>
      <c r="BO26" s="530"/>
      <c r="BP26" s="530"/>
      <c r="BQ26" s="530"/>
      <c r="BR26" s="530"/>
      <c r="BS26" s="530"/>
      <c r="BT26" s="530"/>
      <c r="BU26" s="530"/>
      <c r="BV26" s="530"/>
      <c r="BW26" s="530"/>
      <c r="BX26" s="530"/>
      <c r="BY26" s="530"/>
      <c r="BZ26" s="530"/>
      <c r="CA26" s="530"/>
      <c r="CB26" s="530"/>
      <c r="CC26" s="530"/>
      <c r="CD26" s="530"/>
      <c r="CE26" s="530"/>
      <c r="CF26" s="530"/>
      <c r="CG26" s="530"/>
      <c r="CH26" s="530"/>
      <c r="CI26" s="530"/>
      <c r="CJ26" s="530"/>
      <c r="CK26" s="530"/>
      <c r="CL26" s="530"/>
      <c r="CM26" s="530"/>
      <c r="CN26" s="530"/>
      <c r="CO26" s="530"/>
      <c r="CP26" s="530"/>
      <c r="CQ26" s="530"/>
      <c r="CR26" s="530"/>
      <c r="CS26" s="530"/>
      <c r="CT26" s="530"/>
      <c r="CU26" s="530"/>
      <c r="CV26" s="530"/>
      <c r="CW26" s="530"/>
      <c r="CX26" s="530"/>
      <c r="CY26" s="530"/>
      <c r="CZ26" s="530"/>
      <c r="DA26" s="530"/>
      <c r="DB26" s="530"/>
      <c r="DC26" s="530"/>
      <c r="DD26" s="530"/>
      <c r="DE26" s="530"/>
      <c r="DF26" s="530"/>
      <c r="DG26" s="530"/>
      <c r="DH26" s="530"/>
      <c r="DI26" s="530"/>
      <c r="DJ26" s="530"/>
      <c r="DK26" s="530"/>
      <c r="DL26" s="530"/>
      <c r="DM26" s="530"/>
      <c r="DN26" s="530"/>
      <c r="DO26" s="530"/>
      <c r="DP26" s="530"/>
      <c r="DQ26" s="530"/>
      <c r="DR26" s="530"/>
      <c r="DS26" s="530"/>
      <c r="DT26" s="530"/>
      <c r="DU26" s="530"/>
      <c r="DV26" s="530"/>
      <c r="DW26" s="530"/>
      <c r="DX26" s="530"/>
      <c r="DY26" s="530"/>
      <c r="DZ26" s="530"/>
      <c r="EA26" s="530"/>
      <c r="EB26" s="530"/>
      <c r="EC26" s="530"/>
      <c r="ED26" s="530"/>
      <c r="EE26" s="530"/>
      <c r="EF26" s="530"/>
      <c r="EG26" s="530"/>
      <c r="EH26" s="530"/>
      <c r="EI26" s="530"/>
      <c r="EJ26" s="530"/>
      <c r="EK26" s="530"/>
      <c r="EL26" s="530"/>
      <c r="EM26" s="530"/>
      <c r="EN26" s="530"/>
      <c r="EO26" s="530"/>
      <c r="EP26" s="530"/>
      <c r="EQ26" s="530"/>
      <c r="ER26" s="530"/>
      <c r="ES26" s="530"/>
      <c r="ET26" s="530"/>
      <c r="EU26" s="530"/>
      <c r="EV26" s="530"/>
      <c r="EW26" s="530"/>
      <c r="EX26" s="530"/>
      <c r="EY26" s="530"/>
      <c r="EZ26" s="530"/>
      <c r="FA26" s="530"/>
      <c r="FB26" s="530"/>
      <c r="FC26" s="530"/>
      <c r="FD26" s="530"/>
      <c r="FE26" s="530"/>
      <c r="FF26" s="530"/>
      <c r="FG26" s="530"/>
      <c r="FH26" s="530"/>
      <c r="FI26" s="530"/>
      <c r="FJ26" s="530"/>
      <c r="FK26" s="530"/>
      <c r="FL26" s="530"/>
      <c r="FM26" s="530"/>
      <c r="FN26" s="530"/>
      <c r="FO26" s="530"/>
      <c r="FP26" s="530"/>
      <c r="FQ26" s="530"/>
      <c r="FR26" s="530"/>
      <c r="FS26" s="530"/>
      <c r="FT26" s="530"/>
      <c r="FU26" s="530"/>
      <c r="FV26" s="530"/>
      <c r="FW26" s="530"/>
      <c r="FX26" s="530"/>
      <c r="FY26" s="530"/>
      <c r="FZ26" s="530"/>
      <c r="GA26" s="530"/>
      <c r="GB26" s="530"/>
      <c r="GC26" s="530"/>
      <c r="GD26" s="530"/>
      <c r="GE26" s="530"/>
      <c r="GF26" s="530"/>
      <c r="GG26" s="530"/>
      <c r="GH26" s="530"/>
      <c r="GI26" s="530"/>
      <c r="GJ26" s="530"/>
      <c r="GK26" s="530"/>
      <c r="GL26" s="530"/>
      <c r="GM26" s="530"/>
      <c r="GN26" s="530"/>
      <c r="GO26" s="530"/>
      <c r="GP26" s="530"/>
      <c r="GQ26" s="530"/>
      <c r="GR26" s="530"/>
      <c r="GS26" s="530"/>
      <c r="GT26" s="530"/>
      <c r="GU26" s="530"/>
      <c r="GV26" s="530"/>
      <c r="GW26" s="530"/>
      <c r="GX26" s="530"/>
      <c r="GY26" s="530"/>
      <c r="GZ26" s="530"/>
      <c r="HA26" s="530"/>
      <c r="HB26" s="530"/>
      <c r="HC26" s="530"/>
      <c r="HD26" s="530"/>
      <c r="HE26" s="530"/>
      <c r="HF26" s="530"/>
      <c r="HG26" s="530"/>
      <c r="HH26" s="530"/>
      <c r="HI26" s="530"/>
      <c r="HJ26" s="530"/>
      <c r="HK26" s="530"/>
      <c r="HL26" s="530"/>
      <c r="HM26" s="530"/>
      <c r="HN26" s="530"/>
      <c r="HO26" s="530"/>
      <c r="HP26" s="530"/>
      <c r="HQ26" s="530"/>
      <c r="HR26" s="530"/>
      <c r="HS26" s="530"/>
      <c r="HT26" s="530"/>
      <c r="HU26" s="530"/>
      <c r="HV26" s="530"/>
      <c r="HW26" s="530"/>
      <c r="HX26" s="530"/>
      <c r="HY26" s="530"/>
      <c r="HZ26" s="530"/>
      <c r="IA26" s="530"/>
      <c r="IB26" s="530"/>
      <c r="IC26" s="530"/>
      <c r="ID26" s="530"/>
      <c r="IE26" s="530"/>
      <c r="IF26" s="530"/>
      <c r="IG26" s="530"/>
      <c r="IH26" s="530"/>
      <c r="II26" s="530"/>
      <c r="IJ26" s="530"/>
      <c r="IK26" s="530"/>
      <c r="IL26" s="530"/>
      <c r="IM26" s="530"/>
      <c r="IN26" s="530"/>
      <c r="IO26" s="530"/>
      <c r="IP26" s="530"/>
    </row>
    <row r="27" spans="1:250" s="539" customFormat="1" ht="19.5" customHeight="1">
      <c r="A27" s="598">
        <v>12</v>
      </c>
      <c r="B27" s="533">
        <f>'12 (R)'!$F$18</f>
        <v>12817000</v>
      </c>
      <c r="C27" s="533">
        <v>11472500</v>
      </c>
      <c r="D27" s="534">
        <f t="shared" si="0"/>
        <v>1344500</v>
      </c>
      <c r="E27" s="535">
        <v>0.02</v>
      </c>
      <c r="F27" s="536">
        <f t="shared" si="1"/>
        <v>26890</v>
      </c>
      <c r="G27" s="537"/>
      <c r="H27" s="547">
        <f t="shared" si="2"/>
        <v>26890</v>
      </c>
      <c r="I27" s="551"/>
      <c r="J27" s="538"/>
      <c r="K27" s="599">
        <f t="shared" si="3"/>
        <v>12</v>
      </c>
      <c r="L27" s="530"/>
      <c r="M27" s="530"/>
      <c r="N27" s="530"/>
      <c r="O27" s="530"/>
      <c r="P27" s="530"/>
      <c r="Q27" s="530"/>
      <c r="R27" s="530"/>
      <c r="S27" s="530"/>
      <c r="T27" s="530"/>
      <c r="U27" s="530"/>
      <c r="V27" s="530"/>
      <c r="W27" s="530"/>
      <c r="X27" s="530"/>
      <c r="Y27" s="530"/>
      <c r="Z27" s="530"/>
      <c r="AA27" s="530"/>
      <c r="AB27" s="530"/>
      <c r="AC27" s="530"/>
      <c r="AD27" s="530"/>
      <c r="AE27" s="530"/>
      <c r="AF27" s="530"/>
      <c r="AG27" s="530"/>
      <c r="AH27" s="530"/>
      <c r="AI27" s="530"/>
      <c r="AJ27" s="530"/>
      <c r="AK27" s="530"/>
      <c r="AL27" s="530"/>
      <c r="AM27" s="530"/>
      <c r="AN27" s="530"/>
      <c r="AO27" s="530"/>
      <c r="AP27" s="530"/>
      <c r="AQ27" s="530"/>
      <c r="AR27" s="530"/>
      <c r="AS27" s="530"/>
      <c r="AT27" s="530"/>
      <c r="AU27" s="530"/>
      <c r="AV27" s="530"/>
      <c r="AW27" s="530"/>
      <c r="AX27" s="530"/>
      <c r="AY27" s="530"/>
      <c r="AZ27" s="530"/>
      <c r="BA27" s="530"/>
      <c r="BB27" s="530"/>
      <c r="BC27" s="530"/>
      <c r="BD27" s="530"/>
      <c r="BE27" s="530"/>
      <c r="BF27" s="530"/>
      <c r="BG27" s="530"/>
      <c r="BH27" s="530"/>
      <c r="BI27" s="530"/>
      <c r="BJ27" s="530"/>
      <c r="BK27" s="530"/>
      <c r="BL27" s="530"/>
      <c r="BM27" s="530"/>
      <c r="BN27" s="530"/>
      <c r="BO27" s="530"/>
      <c r="BP27" s="530"/>
      <c r="BQ27" s="530"/>
      <c r="BR27" s="530"/>
      <c r="BS27" s="530"/>
      <c r="BT27" s="530"/>
      <c r="BU27" s="530"/>
      <c r="BV27" s="530"/>
      <c r="BW27" s="530"/>
      <c r="BX27" s="530"/>
      <c r="BY27" s="530"/>
      <c r="BZ27" s="530"/>
      <c r="CA27" s="530"/>
      <c r="CB27" s="530"/>
      <c r="CC27" s="530"/>
      <c r="CD27" s="530"/>
      <c r="CE27" s="530"/>
      <c r="CF27" s="530"/>
      <c r="CG27" s="530"/>
      <c r="CH27" s="530"/>
      <c r="CI27" s="530"/>
      <c r="CJ27" s="530"/>
      <c r="CK27" s="530"/>
      <c r="CL27" s="530"/>
      <c r="CM27" s="530"/>
      <c r="CN27" s="530"/>
      <c r="CO27" s="530"/>
      <c r="CP27" s="530"/>
      <c r="CQ27" s="530"/>
      <c r="CR27" s="530"/>
      <c r="CS27" s="530"/>
      <c r="CT27" s="530"/>
      <c r="CU27" s="530"/>
      <c r="CV27" s="530"/>
      <c r="CW27" s="530"/>
      <c r="CX27" s="530"/>
      <c r="CY27" s="530"/>
      <c r="CZ27" s="530"/>
      <c r="DA27" s="530"/>
      <c r="DB27" s="530"/>
      <c r="DC27" s="530"/>
      <c r="DD27" s="530"/>
      <c r="DE27" s="530"/>
      <c r="DF27" s="530"/>
      <c r="DG27" s="530"/>
      <c r="DH27" s="530"/>
      <c r="DI27" s="530"/>
      <c r="DJ27" s="530"/>
      <c r="DK27" s="530"/>
      <c r="DL27" s="530"/>
      <c r="DM27" s="530"/>
      <c r="DN27" s="530"/>
      <c r="DO27" s="530"/>
      <c r="DP27" s="530"/>
      <c r="DQ27" s="530"/>
      <c r="DR27" s="530"/>
      <c r="DS27" s="530"/>
      <c r="DT27" s="530"/>
      <c r="DU27" s="530"/>
      <c r="DV27" s="530"/>
      <c r="DW27" s="530"/>
      <c r="DX27" s="530"/>
      <c r="DY27" s="530"/>
      <c r="DZ27" s="530"/>
      <c r="EA27" s="530"/>
      <c r="EB27" s="530"/>
      <c r="EC27" s="530"/>
      <c r="ED27" s="530"/>
      <c r="EE27" s="530"/>
      <c r="EF27" s="530"/>
      <c r="EG27" s="530"/>
      <c r="EH27" s="530"/>
      <c r="EI27" s="530"/>
      <c r="EJ27" s="530"/>
      <c r="EK27" s="530"/>
      <c r="EL27" s="530"/>
      <c r="EM27" s="530"/>
      <c r="EN27" s="530"/>
      <c r="EO27" s="530"/>
      <c r="EP27" s="530"/>
      <c r="EQ27" s="530"/>
      <c r="ER27" s="530"/>
      <c r="ES27" s="530"/>
      <c r="ET27" s="530"/>
      <c r="EU27" s="530"/>
      <c r="EV27" s="530"/>
      <c r="EW27" s="530"/>
      <c r="EX27" s="530"/>
      <c r="EY27" s="530"/>
      <c r="EZ27" s="530"/>
      <c r="FA27" s="530"/>
      <c r="FB27" s="530"/>
      <c r="FC27" s="530"/>
      <c r="FD27" s="530"/>
      <c r="FE27" s="530"/>
      <c r="FF27" s="530"/>
      <c r="FG27" s="530"/>
      <c r="FH27" s="530"/>
      <c r="FI27" s="530"/>
      <c r="FJ27" s="530"/>
      <c r="FK27" s="530"/>
      <c r="FL27" s="530"/>
      <c r="FM27" s="530"/>
      <c r="FN27" s="530"/>
      <c r="FO27" s="530"/>
      <c r="FP27" s="530"/>
      <c r="FQ27" s="530"/>
      <c r="FR27" s="530"/>
      <c r="FS27" s="530"/>
      <c r="FT27" s="530"/>
      <c r="FU27" s="530"/>
      <c r="FV27" s="530"/>
      <c r="FW27" s="530"/>
      <c r="FX27" s="530"/>
      <c r="FY27" s="530"/>
      <c r="FZ27" s="530"/>
      <c r="GA27" s="530"/>
      <c r="GB27" s="530"/>
      <c r="GC27" s="530"/>
      <c r="GD27" s="530"/>
      <c r="GE27" s="530"/>
      <c r="GF27" s="530"/>
      <c r="GG27" s="530"/>
      <c r="GH27" s="530"/>
      <c r="GI27" s="530"/>
      <c r="GJ27" s="530"/>
      <c r="GK27" s="530"/>
      <c r="GL27" s="530"/>
      <c r="GM27" s="530"/>
      <c r="GN27" s="530"/>
      <c r="GO27" s="530"/>
      <c r="GP27" s="530"/>
      <c r="GQ27" s="530"/>
      <c r="GR27" s="530"/>
      <c r="GS27" s="530"/>
      <c r="GT27" s="530"/>
      <c r="GU27" s="530"/>
      <c r="GV27" s="530"/>
      <c r="GW27" s="530"/>
      <c r="GX27" s="530"/>
      <c r="GY27" s="530"/>
      <c r="GZ27" s="530"/>
      <c r="HA27" s="530"/>
      <c r="HB27" s="530"/>
      <c r="HC27" s="530"/>
      <c r="HD27" s="530"/>
      <c r="HE27" s="530"/>
      <c r="HF27" s="530"/>
      <c r="HG27" s="530"/>
      <c r="HH27" s="530"/>
      <c r="HI27" s="530"/>
      <c r="HJ27" s="530"/>
      <c r="HK27" s="530"/>
      <c r="HL27" s="530"/>
      <c r="HM27" s="530"/>
      <c r="HN27" s="530"/>
      <c r="HO27" s="530"/>
      <c r="HP27" s="530"/>
      <c r="HQ27" s="530"/>
      <c r="HR27" s="530"/>
      <c r="HS27" s="530"/>
      <c r="HT27" s="530"/>
      <c r="HU27" s="530"/>
      <c r="HV27" s="530"/>
      <c r="HW27" s="530"/>
      <c r="HX27" s="530"/>
      <c r="HY27" s="530"/>
      <c r="HZ27" s="530"/>
      <c r="IA27" s="530"/>
      <c r="IB27" s="530"/>
      <c r="IC27" s="530"/>
      <c r="ID27" s="530"/>
      <c r="IE27" s="530"/>
      <c r="IF27" s="530"/>
      <c r="IG27" s="530"/>
      <c r="IH27" s="530"/>
      <c r="II27" s="530"/>
      <c r="IJ27" s="530"/>
      <c r="IK27" s="530"/>
      <c r="IL27" s="530"/>
      <c r="IM27" s="530"/>
      <c r="IN27" s="530"/>
      <c r="IO27" s="530"/>
      <c r="IP27" s="530"/>
    </row>
    <row r="28" spans="1:250" s="539" customFormat="1" ht="19.5" customHeight="1">
      <c r="A28" s="598">
        <v>94</v>
      </c>
      <c r="B28" s="533">
        <f>'94 (R)'!$F$31</f>
        <v>25646</v>
      </c>
      <c r="C28" s="533">
        <v>26613</v>
      </c>
      <c r="D28" s="534">
        <f t="shared" si="0"/>
        <v>-967</v>
      </c>
      <c r="E28" s="535">
        <v>1</v>
      </c>
      <c r="F28" s="536">
        <f t="shared" si="1"/>
        <v>-967</v>
      </c>
      <c r="G28" s="537"/>
      <c r="H28" s="547">
        <f t="shared" si="2"/>
        <v>-967</v>
      </c>
      <c r="I28" s="551"/>
      <c r="J28" s="538"/>
      <c r="K28" s="599">
        <f t="shared" si="3"/>
        <v>94</v>
      </c>
      <c r="L28" s="530"/>
      <c r="M28" s="530"/>
      <c r="N28" s="530"/>
      <c r="O28" s="530"/>
      <c r="P28" s="530"/>
      <c r="Q28" s="530"/>
      <c r="R28" s="530"/>
      <c r="S28" s="530"/>
      <c r="T28" s="530"/>
      <c r="U28" s="530"/>
      <c r="V28" s="530"/>
      <c r="W28" s="530"/>
      <c r="X28" s="530"/>
      <c r="Y28" s="530"/>
      <c r="Z28" s="530"/>
      <c r="AA28" s="530"/>
      <c r="AB28" s="530"/>
      <c r="AC28" s="530"/>
      <c r="AD28" s="530"/>
      <c r="AE28" s="530"/>
      <c r="AF28" s="530"/>
      <c r="AG28" s="530"/>
      <c r="AH28" s="530"/>
      <c r="AI28" s="530"/>
      <c r="AJ28" s="530"/>
      <c r="AK28" s="530"/>
      <c r="AL28" s="530"/>
      <c r="AM28" s="530"/>
      <c r="AN28" s="530"/>
      <c r="AO28" s="530"/>
      <c r="AP28" s="530"/>
      <c r="AQ28" s="530"/>
      <c r="AR28" s="530"/>
      <c r="AS28" s="530"/>
      <c r="AT28" s="530"/>
      <c r="AU28" s="530"/>
      <c r="AV28" s="530"/>
      <c r="AW28" s="530"/>
      <c r="AX28" s="530"/>
      <c r="AY28" s="530"/>
      <c r="AZ28" s="530"/>
      <c r="BA28" s="530"/>
      <c r="BB28" s="530"/>
      <c r="BC28" s="530"/>
      <c r="BD28" s="530"/>
      <c r="BE28" s="530"/>
      <c r="BF28" s="530"/>
      <c r="BG28" s="530"/>
      <c r="BH28" s="530"/>
      <c r="BI28" s="530"/>
      <c r="BJ28" s="530"/>
      <c r="BK28" s="530"/>
      <c r="BL28" s="530"/>
      <c r="BM28" s="530"/>
      <c r="BN28" s="530"/>
      <c r="BO28" s="530"/>
      <c r="BP28" s="530"/>
      <c r="BQ28" s="530"/>
      <c r="BR28" s="530"/>
      <c r="BS28" s="530"/>
      <c r="BT28" s="530"/>
      <c r="BU28" s="530"/>
      <c r="BV28" s="530"/>
      <c r="BW28" s="530"/>
      <c r="BX28" s="530"/>
      <c r="BY28" s="530"/>
      <c r="BZ28" s="530"/>
      <c r="CA28" s="530"/>
      <c r="CB28" s="530"/>
      <c r="CC28" s="530"/>
      <c r="CD28" s="530"/>
      <c r="CE28" s="530"/>
      <c r="CF28" s="530"/>
      <c r="CG28" s="530"/>
      <c r="CH28" s="530"/>
      <c r="CI28" s="530"/>
      <c r="CJ28" s="530"/>
      <c r="CK28" s="530"/>
      <c r="CL28" s="530"/>
      <c r="CM28" s="530"/>
      <c r="CN28" s="530"/>
      <c r="CO28" s="530"/>
      <c r="CP28" s="530"/>
      <c r="CQ28" s="530"/>
      <c r="CR28" s="530"/>
      <c r="CS28" s="530"/>
      <c r="CT28" s="530"/>
      <c r="CU28" s="530"/>
      <c r="CV28" s="530"/>
      <c r="CW28" s="530"/>
      <c r="CX28" s="530"/>
      <c r="CY28" s="530"/>
      <c r="CZ28" s="530"/>
      <c r="DA28" s="530"/>
      <c r="DB28" s="530"/>
      <c r="DC28" s="530"/>
      <c r="DD28" s="530"/>
      <c r="DE28" s="530"/>
      <c r="DF28" s="530"/>
      <c r="DG28" s="530"/>
      <c r="DH28" s="530"/>
      <c r="DI28" s="530"/>
      <c r="DJ28" s="530"/>
      <c r="DK28" s="530"/>
      <c r="DL28" s="530"/>
      <c r="DM28" s="530"/>
      <c r="DN28" s="530"/>
      <c r="DO28" s="530"/>
      <c r="DP28" s="530"/>
      <c r="DQ28" s="530"/>
      <c r="DR28" s="530"/>
      <c r="DS28" s="530"/>
      <c r="DT28" s="530"/>
      <c r="DU28" s="530"/>
      <c r="DV28" s="530"/>
      <c r="DW28" s="530"/>
      <c r="DX28" s="530"/>
      <c r="DY28" s="530"/>
      <c r="DZ28" s="530"/>
      <c r="EA28" s="530"/>
      <c r="EB28" s="530"/>
      <c r="EC28" s="530"/>
      <c r="ED28" s="530"/>
      <c r="EE28" s="530"/>
      <c r="EF28" s="530"/>
      <c r="EG28" s="530"/>
      <c r="EH28" s="530"/>
      <c r="EI28" s="530"/>
      <c r="EJ28" s="530"/>
      <c r="EK28" s="530"/>
      <c r="EL28" s="530"/>
      <c r="EM28" s="530"/>
      <c r="EN28" s="530"/>
      <c r="EO28" s="530"/>
      <c r="EP28" s="530"/>
      <c r="EQ28" s="530"/>
      <c r="ER28" s="530"/>
      <c r="ES28" s="530"/>
      <c r="ET28" s="530"/>
      <c r="EU28" s="530"/>
      <c r="EV28" s="530"/>
      <c r="EW28" s="530"/>
      <c r="EX28" s="530"/>
      <c r="EY28" s="530"/>
      <c r="EZ28" s="530"/>
      <c r="FA28" s="530"/>
      <c r="FB28" s="530"/>
      <c r="FC28" s="530"/>
      <c r="FD28" s="530"/>
      <c r="FE28" s="530"/>
      <c r="FF28" s="530"/>
      <c r="FG28" s="530"/>
      <c r="FH28" s="530"/>
      <c r="FI28" s="530"/>
      <c r="FJ28" s="530"/>
      <c r="FK28" s="530"/>
      <c r="FL28" s="530"/>
      <c r="FM28" s="530"/>
      <c r="FN28" s="530"/>
      <c r="FO28" s="530"/>
      <c r="FP28" s="530"/>
      <c r="FQ28" s="530"/>
      <c r="FR28" s="530"/>
      <c r="FS28" s="530"/>
      <c r="FT28" s="530"/>
      <c r="FU28" s="530"/>
      <c r="FV28" s="530"/>
      <c r="FW28" s="530"/>
      <c r="FX28" s="530"/>
      <c r="FY28" s="530"/>
      <c r="FZ28" s="530"/>
      <c r="GA28" s="530"/>
      <c r="GB28" s="530"/>
      <c r="GC28" s="530"/>
      <c r="GD28" s="530"/>
      <c r="GE28" s="530"/>
      <c r="GF28" s="530"/>
      <c r="GG28" s="530"/>
      <c r="GH28" s="530"/>
      <c r="GI28" s="530"/>
      <c r="GJ28" s="530"/>
      <c r="GK28" s="530"/>
      <c r="GL28" s="530"/>
      <c r="GM28" s="530"/>
      <c r="GN28" s="530"/>
      <c r="GO28" s="530"/>
      <c r="GP28" s="530"/>
      <c r="GQ28" s="530"/>
      <c r="GR28" s="530"/>
      <c r="GS28" s="530"/>
      <c r="GT28" s="530"/>
      <c r="GU28" s="530"/>
      <c r="GV28" s="530"/>
      <c r="GW28" s="530"/>
      <c r="GX28" s="530"/>
      <c r="GY28" s="530"/>
      <c r="GZ28" s="530"/>
      <c r="HA28" s="530"/>
      <c r="HB28" s="530"/>
      <c r="HC28" s="530"/>
      <c r="HD28" s="530"/>
      <c r="HE28" s="530"/>
      <c r="HF28" s="530"/>
      <c r="HG28" s="530"/>
      <c r="HH28" s="530"/>
      <c r="HI28" s="530"/>
      <c r="HJ28" s="530"/>
      <c r="HK28" s="530"/>
      <c r="HL28" s="530"/>
      <c r="HM28" s="530"/>
      <c r="HN28" s="530"/>
      <c r="HO28" s="530"/>
      <c r="HP28" s="530"/>
      <c r="HQ28" s="530"/>
      <c r="HR28" s="530"/>
      <c r="HS28" s="530"/>
      <c r="HT28" s="530"/>
      <c r="HU28" s="530"/>
      <c r="HV28" s="530"/>
      <c r="HW28" s="530"/>
      <c r="HX28" s="530"/>
      <c r="HY28" s="530"/>
      <c r="HZ28" s="530"/>
      <c r="IA28" s="530"/>
      <c r="IB28" s="530"/>
      <c r="IC28" s="530"/>
      <c r="ID28" s="530"/>
      <c r="IE28" s="530"/>
      <c r="IF28" s="530"/>
      <c r="IG28" s="530"/>
      <c r="IH28" s="530"/>
      <c r="II28" s="530"/>
      <c r="IJ28" s="530"/>
      <c r="IK28" s="530"/>
      <c r="IL28" s="530"/>
      <c r="IM28" s="530"/>
      <c r="IN28" s="530"/>
      <c r="IO28" s="530"/>
      <c r="IP28" s="530"/>
    </row>
    <row r="29" spans="1:250" s="539" customFormat="1" ht="19.5" customHeight="1">
      <c r="A29" s="598">
        <v>42</v>
      </c>
      <c r="B29" s="533">
        <f>'42 (R)'!$F$26</f>
        <v>3713170</v>
      </c>
      <c r="C29" s="533">
        <v>3519945</v>
      </c>
      <c r="D29" s="534">
        <f t="shared" si="0"/>
        <v>193225</v>
      </c>
      <c r="E29" s="535">
        <v>1</v>
      </c>
      <c r="F29" s="536">
        <f t="shared" si="1"/>
        <v>193225</v>
      </c>
      <c r="G29" s="537"/>
      <c r="H29" s="547">
        <f t="shared" si="2"/>
        <v>193225</v>
      </c>
      <c r="I29" s="551"/>
      <c r="J29" s="538"/>
      <c r="K29" s="599">
        <f t="shared" si="3"/>
        <v>42</v>
      </c>
      <c r="L29" s="530"/>
      <c r="M29" s="530"/>
      <c r="N29" s="530"/>
      <c r="O29" s="530"/>
      <c r="P29" s="530"/>
      <c r="Q29" s="530"/>
      <c r="R29" s="530"/>
      <c r="S29" s="530"/>
      <c r="T29" s="530"/>
      <c r="U29" s="530"/>
      <c r="V29" s="530"/>
      <c r="W29" s="530"/>
      <c r="X29" s="530"/>
      <c r="Y29" s="530"/>
      <c r="Z29" s="530"/>
      <c r="AA29" s="530"/>
      <c r="AB29" s="530"/>
      <c r="AC29" s="530"/>
      <c r="AD29" s="530"/>
      <c r="AE29" s="530"/>
      <c r="AF29" s="530"/>
      <c r="AG29" s="530"/>
      <c r="AH29" s="530"/>
      <c r="AI29" s="530"/>
      <c r="AJ29" s="530"/>
      <c r="AK29" s="530"/>
      <c r="AL29" s="530"/>
      <c r="AM29" s="530"/>
      <c r="AN29" s="530"/>
      <c r="AO29" s="530"/>
      <c r="AP29" s="530"/>
      <c r="AQ29" s="530"/>
      <c r="AR29" s="530"/>
      <c r="AS29" s="530"/>
      <c r="AT29" s="530"/>
      <c r="AU29" s="530"/>
      <c r="AV29" s="530"/>
      <c r="AW29" s="530"/>
      <c r="AX29" s="530"/>
      <c r="AY29" s="530"/>
      <c r="AZ29" s="530"/>
      <c r="BA29" s="530"/>
      <c r="BB29" s="530"/>
      <c r="BC29" s="530"/>
      <c r="BD29" s="530"/>
      <c r="BE29" s="530"/>
      <c r="BF29" s="530"/>
      <c r="BG29" s="530"/>
      <c r="BH29" s="530"/>
      <c r="BI29" s="530"/>
      <c r="BJ29" s="530"/>
      <c r="BK29" s="530"/>
      <c r="BL29" s="530"/>
      <c r="BM29" s="530"/>
      <c r="BN29" s="530"/>
      <c r="BO29" s="530"/>
      <c r="BP29" s="530"/>
      <c r="BQ29" s="530"/>
      <c r="BR29" s="530"/>
      <c r="BS29" s="530"/>
      <c r="BT29" s="530"/>
      <c r="BU29" s="530"/>
      <c r="BV29" s="530"/>
      <c r="BW29" s="530"/>
      <c r="BX29" s="530"/>
      <c r="BY29" s="530"/>
      <c r="BZ29" s="530"/>
      <c r="CA29" s="530"/>
      <c r="CB29" s="530"/>
      <c r="CC29" s="530"/>
      <c r="CD29" s="530"/>
      <c r="CE29" s="530"/>
      <c r="CF29" s="530"/>
      <c r="CG29" s="530"/>
      <c r="CH29" s="530"/>
      <c r="CI29" s="530"/>
      <c r="CJ29" s="530"/>
      <c r="CK29" s="530"/>
      <c r="CL29" s="530"/>
      <c r="CM29" s="530"/>
      <c r="CN29" s="530"/>
      <c r="CO29" s="530"/>
      <c r="CP29" s="530"/>
      <c r="CQ29" s="530"/>
      <c r="CR29" s="530"/>
      <c r="CS29" s="530"/>
      <c r="CT29" s="530"/>
      <c r="CU29" s="530"/>
      <c r="CV29" s="530"/>
      <c r="CW29" s="530"/>
      <c r="CX29" s="530"/>
      <c r="CY29" s="530"/>
      <c r="CZ29" s="530"/>
      <c r="DA29" s="530"/>
      <c r="DB29" s="530"/>
      <c r="DC29" s="530"/>
      <c r="DD29" s="530"/>
      <c r="DE29" s="530"/>
      <c r="DF29" s="530"/>
      <c r="DG29" s="530"/>
      <c r="DH29" s="530"/>
      <c r="DI29" s="530"/>
      <c r="DJ29" s="530"/>
      <c r="DK29" s="530"/>
      <c r="DL29" s="530"/>
      <c r="DM29" s="530"/>
      <c r="DN29" s="530"/>
      <c r="DO29" s="530"/>
      <c r="DP29" s="530"/>
      <c r="DQ29" s="530"/>
      <c r="DR29" s="530"/>
      <c r="DS29" s="530"/>
      <c r="DT29" s="530"/>
      <c r="DU29" s="530"/>
      <c r="DV29" s="530"/>
      <c r="DW29" s="530"/>
      <c r="DX29" s="530"/>
      <c r="DY29" s="530"/>
      <c r="DZ29" s="530"/>
      <c r="EA29" s="530"/>
      <c r="EB29" s="530"/>
      <c r="EC29" s="530"/>
      <c r="ED29" s="530"/>
      <c r="EE29" s="530"/>
      <c r="EF29" s="530"/>
      <c r="EG29" s="530"/>
      <c r="EH29" s="530"/>
      <c r="EI29" s="530"/>
      <c r="EJ29" s="530"/>
      <c r="EK29" s="530"/>
      <c r="EL29" s="530"/>
      <c r="EM29" s="530"/>
      <c r="EN29" s="530"/>
      <c r="EO29" s="530"/>
      <c r="EP29" s="530"/>
      <c r="EQ29" s="530"/>
      <c r="ER29" s="530"/>
      <c r="ES29" s="530"/>
      <c r="ET29" s="530"/>
      <c r="EU29" s="530"/>
      <c r="EV29" s="530"/>
      <c r="EW29" s="530"/>
      <c r="EX29" s="530"/>
      <c r="EY29" s="530"/>
      <c r="EZ29" s="530"/>
      <c r="FA29" s="530"/>
      <c r="FB29" s="530"/>
      <c r="FC29" s="530"/>
      <c r="FD29" s="530"/>
      <c r="FE29" s="530"/>
      <c r="FF29" s="530"/>
      <c r="FG29" s="530"/>
      <c r="FH29" s="530"/>
      <c r="FI29" s="530"/>
      <c r="FJ29" s="530"/>
      <c r="FK29" s="530"/>
      <c r="FL29" s="530"/>
      <c r="FM29" s="530"/>
      <c r="FN29" s="530"/>
      <c r="FO29" s="530"/>
      <c r="FP29" s="530"/>
      <c r="FQ29" s="530"/>
      <c r="FR29" s="530"/>
      <c r="FS29" s="530"/>
      <c r="FT29" s="530"/>
      <c r="FU29" s="530"/>
      <c r="FV29" s="530"/>
      <c r="FW29" s="530"/>
      <c r="FX29" s="530"/>
      <c r="FY29" s="530"/>
      <c r="FZ29" s="530"/>
      <c r="GA29" s="530"/>
      <c r="GB29" s="530"/>
      <c r="GC29" s="530"/>
      <c r="GD29" s="530"/>
      <c r="GE29" s="530"/>
      <c r="GF29" s="530"/>
      <c r="GG29" s="530"/>
      <c r="GH29" s="530"/>
      <c r="GI29" s="530"/>
      <c r="GJ29" s="530"/>
      <c r="GK29" s="530"/>
      <c r="GL29" s="530"/>
      <c r="GM29" s="530"/>
      <c r="GN29" s="530"/>
      <c r="GO29" s="530"/>
      <c r="GP29" s="530"/>
      <c r="GQ29" s="530"/>
      <c r="GR29" s="530"/>
      <c r="GS29" s="530"/>
      <c r="GT29" s="530"/>
      <c r="GU29" s="530"/>
      <c r="GV29" s="530"/>
      <c r="GW29" s="530"/>
      <c r="GX29" s="530"/>
      <c r="GY29" s="530"/>
      <c r="GZ29" s="530"/>
      <c r="HA29" s="530"/>
      <c r="HB29" s="530"/>
      <c r="HC29" s="530"/>
      <c r="HD29" s="530"/>
      <c r="HE29" s="530"/>
      <c r="HF29" s="530"/>
      <c r="HG29" s="530"/>
      <c r="HH29" s="530"/>
      <c r="HI29" s="530"/>
      <c r="HJ29" s="530"/>
      <c r="HK29" s="530"/>
      <c r="HL29" s="530"/>
      <c r="HM29" s="530"/>
      <c r="HN29" s="530"/>
      <c r="HO29" s="530"/>
      <c r="HP29" s="530"/>
      <c r="HQ29" s="530"/>
      <c r="HR29" s="530"/>
      <c r="HS29" s="530"/>
      <c r="HT29" s="530"/>
      <c r="HU29" s="530"/>
      <c r="HV29" s="530"/>
      <c r="HW29" s="530"/>
      <c r="HX29" s="530"/>
      <c r="HY29" s="530"/>
      <c r="HZ29" s="530"/>
      <c r="IA29" s="530"/>
      <c r="IB29" s="530"/>
      <c r="IC29" s="530"/>
      <c r="ID29" s="530"/>
      <c r="IE29" s="530"/>
      <c r="IF29" s="530"/>
      <c r="IG29" s="530"/>
      <c r="IH29" s="530"/>
      <c r="II29" s="530"/>
      <c r="IJ29" s="530"/>
      <c r="IK29" s="530"/>
      <c r="IL29" s="530"/>
      <c r="IM29" s="530"/>
      <c r="IN29" s="530"/>
      <c r="IO29" s="530"/>
      <c r="IP29" s="530"/>
    </row>
    <row r="30" spans="1:250" s="539" customFormat="1" ht="19.5" customHeight="1" thickBot="1">
      <c r="A30" s="600">
        <v>93</v>
      </c>
      <c r="B30" s="601">
        <f>'93 (R)'!$E$31</f>
        <v>16373</v>
      </c>
      <c r="C30" s="601">
        <v>15948</v>
      </c>
      <c r="D30" s="602">
        <f t="shared" si="0"/>
        <v>425</v>
      </c>
      <c r="E30" s="603">
        <v>1</v>
      </c>
      <c r="F30" s="604">
        <f t="shared" si="1"/>
        <v>425</v>
      </c>
      <c r="G30" s="605"/>
      <c r="H30" s="606">
        <f t="shared" si="2"/>
        <v>425</v>
      </c>
      <c r="I30" s="607"/>
      <c r="J30" s="608"/>
      <c r="K30" s="609">
        <f t="shared" si="3"/>
        <v>93</v>
      </c>
      <c r="L30" s="530"/>
      <c r="M30" s="530"/>
      <c r="N30" s="530"/>
      <c r="O30" s="530"/>
      <c r="P30" s="530"/>
      <c r="Q30" s="530"/>
      <c r="R30" s="530"/>
      <c r="S30" s="530"/>
      <c r="T30" s="530"/>
      <c r="U30" s="530"/>
      <c r="V30" s="530"/>
      <c r="W30" s="530"/>
      <c r="X30" s="530"/>
      <c r="Y30" s="530"/>
      <c r="Z30" s="530"/>
      <c r="AA30" s="530"/>
      <c r="AB30" s="530"/>
      <c r="AC30" s="530"/>
      <c r="AD30" s="530"/>
      <c r="AE30" s="530"/>
      <c r="AF30" s="530"/>
      <c r="AG30" s="530"/>
      <c r="AH30" s="530"/>
      <c r="AI30" s="530"/>
      <c r="AJ30" s="530"/>
      <c r="AK30" s="530"/>
      <c r="AL30" s="530"/>
      <c r="AM30" s="530"/>
      <c r="AN30" s="530"/>
      <c r="AO30" s="530"/>
      <c r="AP30" s="530"/>
      <c r="AQ30" s="530"/>
      <c r="AR30" s="530"/>
      <c r="AS30" s="530"/>
      <c r="AT30" s="530"/>
      <c r="AU30" s="530"/>
      <c r="AV30" s="530"/>
      <c r="AW30" s="530"/>
      <c r="AX30" s="530"/>
      <c r="AY30" s="530"/>
      <c r="AZ30" s="530"/>
      <c r="BA30" s="530"/>
      <c r="BB30" s="530"/>
      <c r="BC30" s="530"/>
      <c r="BD30" s="530"/>
      <c r="BE30" s="530"/>
      <c r="BF30" s="530"/>
      <c r="BG30" s="530"/>
      <c r="BH30" s="530"/>
      <c r="BI30" s="530"/>
      <c r="BJ30" s="530"/>
      <c r="BK30" s="530"/>
      <c r="BL30" s="530"/>
      <c r="BM30" s="530"/>
      <c r="BN30" s="530"/>
      <c r="BO30" s="530"/>
      <c r="BP30" s="530"/>
      <c r="BQ30" s="530"/>
      <c r="BR30" s="530"/>
      <c r="BS30" s="530"/>
      <c r="BT30" s="530"/>
      <c r="BU30" s="530"/>
      <c r="BV30" s="530"/>
      <c r="BW30" s="530"/>
      <c r="BX30" s="530"/>
      <c r="BY30" s="530"/>
      <c r="BZ30" s="530"/>
      <c r="CA30" s="530"/>
      <c r="CB30" s="530"/>
      <c r="CC30" s="530"/>
      <c r="CD30" s="530"/>
      <c r="CE30" s="530"/>
      <c r="CF30" s="530"/>
      <c r="CG30" s="530"/>
      <c r="CH30" s="530"/>
      <c r="CI30" s="530"/>
      <c r="CJ30" s="530"/>
      <c r="CK30" s="530"/>
      <c r="CL30" s="530"/>
      <c r="CM30" s="530"/>
      <c r="CN30" s="530"/>
      <c r="CO30" s="530"/>
      <c r="CP30" s="530"/>
      <c r="CQ30" s="530"/>
      <c r="CR30" s="530"/>
      <c r="CS30" s="530"/>
      <c r="CT30" s="530"/>
      <c r="CU30" s="530"/>
      <c r="CV30" s="530"/>
      <c r="CW30" s="530"/>
      <c r="CX30" s="530"/>
      <c r="CY30" s="530"/>
      <c r="CZ30" s="530"/>
      <c r="DA30" s="530"/>
      <c r="DB30" s="530"/>
      <c r="DC30" s="530"/>
      <c r="DD30" s="530"/>
      <c r="DE30" s="530"/>
      <c r="DF30" s="530"/>
      <c r="DG30" s="530"/>
      <c r="DH30" s="530"/>
      <c r="DI30" s="530"/>
      <c r="DJ30" s="530"/>
      <c r="DK30" s="530"/>
      <c r="DL30" s="530"/>
      <c r="DM30" s="530"/>
      <c r="DN30" s="530"/>
      <c r="DO30" s="530"/>
      <c r="DP30" s="530"/>
      <c r="DQ30" s="530"/>
      <c r="DR30" s="530"/>
      <c r="DS30" s="530"/>
      <c r="DT30" s="530"/>
      <c r="DU30" s="530"/>
      <c r="DV30" s="530"/>
      <c r="DW30" s="530"/>
      <c r="DX30" s="530"/>
      <c r="DY30" s="530"/>
      <c r="DZ30" s="530"/>
      <c r="EA30" s="530"/>
      <c r="EB30" s="530"/>
      <c r="EC30" s="530"/>
      <c r="ED30" s="530"/>
      <c r="EE30" s="530"/>
      <c r="EF30" s="530"/>
      <c r="EG30" s="530"/>
      <c r="EH30" s="530"/>
      <c r="EI30" s="530"/>
      <c r="EJ30" s="530"/>
      <c r="EK30" s="530"/>
      <c r="EL30" s="530"/>
      <c r="EM30" s="530"/>
      <c r="EN30" s="530"/>
      <c r="EO30" s="530"/>
      <c r="EP30" s="530"/>
      <c r="EQ30" s="530"/>
      <c r="ER30" s="530"/>
      <c r="ES30" s="530"/>
      <c r="ET30" s="530"/>
      <c r="EU30" s="530"/>
      <c r="EV30" s="530"/>
      <c r="EW30" s="530"/>
      <c r="EX30" s="530"/>
      <c r="EY30" s="530"/>
      <c r="EZ30" s="530"/>
      <c r="FA30" s="530"/>
      <c r="FB30" s="530"/>
      <c r="FC30" s="530"/>
      <c r="FD30" s="530"/>
      <c r="FE30" s="530"/>
      <c r="FF30" s="530"/>
      <c r="FG30" s="530"/>
      <c r="FH30" s="530"/>
      <c r="FI30" s="530"/>
      <c r="FJ30" s="530"/>
      <c r="FK30" s="530"/>
      <c r="FL30" s="530"/>
      <c r="FM30" s="530"/>
      <c r="FN30" s="530"/>
      <c r="FO30" s="530"/>
      <c r="FP30" s="530"/>
      <c r="FQ30" s="530"/>
      <c r="FR30" s="530"/>
      <c r="FS30" s="530"/>
      <c r="FT30" s="530"/>
      <c r="FU30" s="530"/>
      <c r="FV30" s="530"/>
      <c r="FW30" s="530"/>
      <c r="FX30" s="530"/>
      <c r="FY30" s="530"/>
      <c r="FZ30" s="530"/>
      <c r="GA30" s="530"/>
      <c r="GB30" s="530"/>
      <c r="GC30" s="530"/>
      <c r="GD30" s="530"/>
      <c r="GE30" s="530"/>
      <c r="GF30" s="530"/>
      <c r="GG30" s="530"/>
      <c r="GH30" s="530"/>
      <c r="GI30" s="530"/>
      <c r="GJ30" s="530"/>
      <c r="GK30" s="530"/>
      <c r="GL30" s="530"/>
      <c r="GM30" s="530"/>
      <c r="GN30" s="530"/>
      <c r="GO30" s="530"/>
      <c r="GP30" s="530"/>
      <c r="GQ30" s="530"/>
      <c r="GR30" s="530"/>
      <c r="GS30" s="530"/>
      <c r="GT30" s="530"/>
      <c r="GU30" s="530"/>
      <c r="GV30" s="530"/>
      <c r="GW30" s="530"/>
      <c r="GX30" s="530"/>
      <c r="GY30" s="530"/>
      <c r="GZ30" s="530"/>
      <c r="HA30" s="530"/>
      <c r="HB30" s="530"/>
      <c r="HC30" s="530"/>
      <c r="HD30" s="530"/>
      <c r="HE30" s="530"/>
      <c r="HF30" s="530"/>
      <c r="HG30" s="530"/>
      <c r="HH30" s="530"/>
      <c r="HI30" s="530"/>
      <c r="HJ30" s="530"/>
      <c r="HK30" s="530"/>
      <c r="HL30" s="530"/>
      <c r="HM30" s="530"/>
      <c r="HN30" s="530"/>
      <c r="HO30" s="530"/>
      <c r="HP30" s="530"/>
      <c r="HQ30" s="530"/>
      <c r="HR30" s="530"/>
      <c r="HS30" s="530"/>
      <c r="HT30" s="530"/>
      <c r="HU30" s="530"/>
      <c r="HV30" s="530"/>
      <c r="HW30" s="530"/>
      <c r="HX30" s="530"/>
      <c r="HY30" s="530"/>
      <c r="HZ30" s="530"/>
      <c r="IA30" s="530"/>
      <c r="IB30" s="530"/>
      <c r="IC30" s="530"/>
      <c r="ID30" s="530"/>
      <c r="IE30" s="530"/>
      <c r="IF30" s="530"/>
      <c r="IG30" s="530"/>
      <c r="IH30" s="530"/>
      <c r="II30" s="530"/>
      <c r="IJ30" s="530"/>
      <c r="IK30" s="530"/>
      <c r="IL30" s="530"/>
      <c r="IM30" s="530"/>
      <c r="IN30" s="530"/>
      <c r="IO30" s="530"/>
      <c r="IP30" s="530"/>
    </row>
    <row r="31" spans="1:250" s="539" customFormat="1" ht="21" hidden="1" customHeight="1">
      <c r="A31" s="589">
        <v>16</v>
      </c>
      <c r="B31" s="590">
        <v>7626350</v>
      </c>
      <c r="C31" s="590">
        <v>7626350</v>
      </c>
      <c r="D31" s="591">
        <f t="shared" si="0"/>
        <v>0</v>
      </c>
      <c r="E31" s="592">
        <v>0.02</v>
      </c>
      <c r="F31" s="593">
        <f t="shared" si="1"/>
        <v>0</v>
      </c>
      <c r="G31" s="594"/>
      <c r="H31" s="548">
        <f t="shared" si="2"/>
        <v>0</v>
      </c>
      <c r="I31" s="595"/>
      <c r="J31" s="538"/>
      <c r="K31" s="538"/>
      <c r="L31" s="530"/>
      <c r="M31" s="530"/>
      <c r="N31" s="530"/>
      <c r="O31" s="530"/>
      <c r="P31" s="530"/>
      <c r="Q31" s="530"/>
      <c r="R31" s="530"/>
      <c r="S31" s="530"/>
      <c r="T31" s="530"/>
      <c r="U31" s="530"/>
      <c r="V31" s="530"/>
      <c r="W31" s="530"/>
      <c r="X31" s="530"/>
      <c r="Y31" s="530"/>
      <c r="Z31" s="530"/>
      <c r="AA31" s="530"/>
      <c r="AB31" s="530"/>
      <c r="AC31" s="530"/>
      <c r="AD31" s="530"/>
      <c r="AE31" s="530"/>
      <c r="AF31" s="530"/>
      <c r="AG31" s="530"/>
      <c r="AH31" s="530"/>
      <c r="AI31" s="530"/>
      <c r="AJ31" s="530"/>
      <c r="AK31" s="530"/>
      <c r="AL31" s="530"/>
      <c r="AM31" s="530"/>
      <c r="AN31" s="530"/>
      <c r="AO31" s="530"/>
      <c r="AP31" s="530"/>
      <c r="AQ31" s="530"/>
      <c r="AR31" s="530"/>
      <c r="AS31" s="530"/>
      <c r="AT31" s="530"/>
      <c r="AU31" s="530"/>
      <c r="AV31" s="530"/>
      <c r="AW31" s="530"/>
      <c r="AX31" s="530"/>
      <c r="AY31" s="530"/>
      <c r="AZ31" s="530"/>
      <c r="BA31" s="530"/>
      <c r="BB31" s="530"/>
      <c r="BC31" s="530"/>
      <c r="BD31" s="530"/>
      <c r="BE31" s="530"/>
      <c r="BF31" s="530"/>
      <c r="BG31" s="530"/>
      <c r="BH31" s="530"/>
      <c r="BI31" s="530"/>
      <c r="BJ31" s="530"/>
      <c r="BK31" s="530"/>
      <c r="BL31" s="530"/>
      <c r="BM31" s="530"/>
      <c r="BN31" s="530"/>
      <c r="BO31" s="530"/>
      <c r="BP31" s="530"/>
      <c r="BQ31" s="530"/>
      <c r="BR31" s="530"/>
      <c r="BS31" s="530"/>
      <c r="BT31" s="530"/>
      <c r="BU31" s="530"/>
      <c r="BV31" s="530"/>
      <c r="BW31" s="530"/>
      <c r="BX31" s="530"/>
      <c r="BY31" s="530"/>
      <c r="BZ31" s="530"/>
      <c r="CA31" s="530"/>
      <c r="CB31" s="530"/>
      <c r="CC31" s="530"/>
      <c r="CD31" s="530"/>
      <c r="CE31" s="530"/>
      <c r="CF31" s="530"/>
      <c r="CG31" s="530"/>
      <c r="CH31" s="530"/>
      <c r="CI31" s="530"/>
      <c r="CJ31" s="530"/>
      <c r="CK31" s="530"/>
      <c r="CL31" s="530"/>
      <c r="CM31" s="530"/>
      <c r="CN31" s="530"/>
      <c r="CO31" s="530"/>
      <c r="CP31" s="530"/>
      <c r="CQ31" s="530"/>
      <c r="CR31" s="530"/>
      <c r="CS31" s="530"/>
      <c r="CT31" s="530"/>
      <c r="CU31" s="530"/>
      <c r="CV31" s="530"/>
      <c r="CW31" s="530"/>
      <c r="CX31" s="530"/>
      <c r="CY31" s="530"/>
      <c r="CZ31" s="530"/>
      <c r="DA31" s="530"/>
      <c r="DB31" s="530"/>
      <c r="DC31" s="530"/>
      <c r="DD31" s="530"/>
      <c r="DE31" s="530"/>
      <c r="DF31" s="530"/>
      <c r="DG31" s="530"/>
      <c r="DH31" s="530"/>
      <c r="DI31" s="530"/>
      <c r="DJ31" s="530"/>
      <c r="DK31" s="530"/>
      <c r="DL31" s="530"/>
      <c r="DM31" s="530"/>
      <c r="DN31" s="530"/>
      <c r="DO31" s="530"/>
      <c r="DP31" s="530"/>
      <c r="DQ31" s="530"/>
      <c r="DR31" s="530"/>
      <c r="DS31" s="530"/>
      <c r="DT31" s="530"/>
      <c r="DU31" s="530"/>
      <c r="DV31" s="530"/>
      <c r="DW31" s="530"/>
      <c r="DX31" s="530"/>
      <c r="DY31" s="530"/>
      <c r="DZ31" s="530"/>
      <c r="EA31" s="530"/>
      <c r="EB31" s="530"/>
      <c r="EC31" s="530"/>
      <c r="ED31" s="530"/>
      <c r="EE31" s="530"/>
      <c r="EF31" s="530"/>
      <c r="EG31" s="530"/>
      <c r="EH31" s="530"/>
      <c r="EI31" s="530"/>
      <c r="EJ31" s="530"/>
      <c r="EK31" s="530"/>
      <c r="EL31" s="530"/>
      <c r="EM31" s="530"/>
      <c r="EN31" s="530"/>
      <c r="EO31" s="530"/>
      <c r="EP31" s="530"/>
      <c r="EQ31" s="530"/>
      <c r="ER31" s="530"/>
      <c r="ES31" s="530"/>
      <c r="ET31" s="530"/>
      <c r="EU31" s="530"/>
      <c r="EV31" s="530"/>
      <c r="EW31" s="530"/>
      <c r="EX31" s="530"/>
      <c r="EY31" s="530"/>
      <c r="EZ31" s="530"/>
      <c r="FA31" s="530"/>
      <c r="FB31" s="530"/>
      <c r="FC31" s="530"/>
      <c r="FD31" s="530"/>
      <c r="FE31" s="530"/>
      <c r="FF31" s="530"/>
      <c r="FG31" s="530"/>
      <c r="FH31" s="530"/>
      <c r="FI31" s="530"/>
      <c r="FJ31" s="530"/>
      <c r="FK31" s="530"/>
      <c r="FL31" s="530"/>
      <c r="FM31" s="530"/>
      <c r="FN31" s="530"/>
      <c r="FO31" s="530"/>
      <c r="FP31" s="530"/>
      <c r="FQ31" s="530"/>
      <c r="FR31" s="530"/>
      <c r="FS31" s="530"/>
      <c r="FT31" s="530"/>
      <c r="FU31" s="530"/>
      <c r="FV31" s="530"/>
      <c r="FW31" s="530"/>
      <c r="FX31" s="530"/>
      <c r="FY31" s="530"/>
      <c r="FZ31" s="530"/>
      <c r="GA31" s="530"/>
      <c r="GB31" s="530"/>
      <c r="GC31" s="530"/>
      <c r="GD31" s="530"/>
      <c r="GE31" s="530"/>
      <c r="GF31" s="530"/>
      <c r="GG31" s="530"/>
      <c r="GH31" s="530"/>
      <c r="GI31" s="530"/>
      <c r="GJ31" s="530"/>
      <c r="GK31" s="530"/>
      <c r="GL31" s="530"/>
      <c r="GM31" s="530"/>
      <c r="GN31" s="530"/>
      <c r="GO31" s="530"/>
      <c r="GP31" s="530"/>
      <c r="GQ31" s="530"/>
      <c r="GR31" s="530"/>
      <c r="GS31" s="530"/>
      <c r="GT31" s="530"/>
      <c r="GU31" s="530"/>
      <c r="GV31" s="530"/>
      <c r="GW31" s="530"/>
      <c r="GX31" s="530"/>
      <c r="GY31" s="530"/>
      <c r="GZ31" s="530"/>
      <c r="HA31" s="530"/>
      <c r="HB31" s="530"/>
      <c r="HC31" s="530"/>
      <c r="HD31" s="530"/>
      <c r="HE31" s="530"/>
      <c r="HF31" s="530"/>
      <c r="HG31" s="530"/>
      <c r="HH31" s="530"/>
      <c r="HI31" s="530"/>
      <c r="HJ31" s="530"/>
      <c r="HK31" s="530"/>
      <c r="HL31" s="530"/>
      <c r="HM31" s="530"/>
      <c r="HN31" s="530"/>
      <c r="HO31" s="530"/>
      <c r="HP31" s="530"/>
      <c r="HQ31" s="530"/>
      <c r="HR31" s="530"/>
      <c r="HS31" s="530"/>
      <c r="HT31" s="530"/>
      <c r="HU31" s="530"/>
      <c r="HV31" s="530"/>
      <c r="HW31" s="530"/>
      <c r="HX31" s="530"/>
      <c r="HY31" s="530"/>
      <c r="HZ31" s="530"/>
      <c r="IA31" s="530"/>
      <c r="IB31" s="530"/>
      <c r="IC31" s="530"/>
      <c r="ID31" s="530"/>
      <c r="IE31" s="530"/>
      <c r="IF31" s="530"/>
      <c r="IG31" s="530"/>
      <c r="IH31" s="530"/>
      <c r="II31" s="530"/>
      <c r="IJ31" s="530"/>
      <c r="IK31" s="530"/>
      <c r="IL31" s="530"/>
      <c r="IM31" s="530"/>
      <c r="IN31" s="530"/>
      <c r="IO31" s="530"/>
      <c r="IP31" s="530"/>
    </row>
    <row r="32" spans="1:250" s="539" customFormat="1" ht="21" hidden="1" customHeight="1">
      <c r="A32" s="532">
        <v>48</v>
      </c>
      <c r="B32" s="540">
        <v>290330</v>
      </c>
      <c r="C32" s="540">
        <v>290330</v>
      </c>
      <c r="D32" s="534">
        <f t="shared" si="0"/>
        <v>0</v>
      </c>
      <c r="E32" s="535">
        <v>1</v>
      </c>
      <c r="F32" s="541">
        <f t="shared" si="1"/>
        <v>0</v>
      </c>
      <c r="G32" s="537"/>
      <c r="H32" s="548">
        <f t="shared" si="2"/>
        <v>0</v>
      </c>
      <c r="I32" s="551"/>
      <c r="J32" s="538" t="s">
        <v>560</v>
      </c>
      <c r="K32" s="538" t="s">
        <v>561</v>
      </c>
      <c r="L32" s="530"/>
      <c r="M32" s="530"/>
      <c r="N32" s="530"/>
      <c r="O32" s="530"/>
      <c r="P32" s="530"/>
      <c r="Q32" s="530"/>
      <c r="R32" s="530"/>
      <c r="S32" s="530"/>
      <c r="T32" s="530"/>
      <c r="U32" s="530"/>
      <c r="V32" s="530"/>
      <c r="W32" s="530"/>
      <c r="X32" s="530"/>
      <c r="Y32" s="530"/>
      <c r="Z32" s="530"/>
      <c r="AA32" s="530"/>
      <c r="AB32" s="530"/>
      <c r="AC32" s="530"/>
      <c r="AD32" s="530"/>
      <c r="AE32" s="530"/>
      <c r="AF32" s="530"/>
      <c r="AG32" s="530"/>
      <c r="AH32" s="530"/>
      <c r="AI32" s="530"/>
      <c r="AJ32" s="530"/>
      <c r="AK32" s="530"/>
      <c r="AL32" s="530"/>
      <c r="AM32" s="530"/>
      <c r="AN32" s="530"/>
      <c r="AO32" s="530"/>
      <c r="AP32" s="530"/>
      <c r="AQ32" s="530"/>
      <c r="AR32" s="530"/>
      <c r="AS32" s="530"/>
      <c r="AT32" s="530"/>
      <c r="AU32" s="530"/>
      <c r="AV32" s="530"/>
      <c r="AW32" s="530"/>
      <c r="AX32" s="530"/>
      <c r="AY32" s="530"/>
      <c r="AZ32" s="530"/>
      <c r="BA32" s="530"/>
      <c r="BB32" s="530"/>
      <c r="BC32" s="530"/>
      <c r="BD32" s="530"/>
      <c r="BE32" s="530"/>
      <c r="BF32" s="530"/>
      <c r="BG32" s="530"/>
      <c r="BH32" s="530"/>
      <c r="BI32" s="530"/>
      <c r="BJ32" s="530"/>
      <c r="BK32" s="530"/>
      <c r="BL32" s="530"/>
      <c r="BM32" s="530"/>
      <c r="BN32" s="530"/>
      <c r="BO32" s="530"/>
      <c r="BP32" s="530"/>
      <c r="BQ32" s="530"/>
      <c r="BR32" s="530"/>
      <c r="BS32" s="530"/>
      <c r="BT32" s="530"/>
      <c r="BU32" s="530"/>
      <c r="BV32" s="530"/>
      <c r="BW32" s="530"/>
      <c r="BX32" s="530"/>
      <c r="BY32" s="530"/>
      <c r="BZ32" s="530"/>
      <c r="CA32" s="530"/>
      <c r="CB32" s="530"/>
      <c r="CC32" s="530"/>
      <c r="CD32" s="530"/>
      <c r="CE32" s="530"/>
      <c r="CF32" s="530"/>
      <c r="CG32" s="530"/>
      <c r="CH32" s="530"/>
      <c r="CI32" s="530"/>
      <c r="CJ32" s="530"/>
      <c r="CK32" s="530"/>
      <c r="CL32" s="530"/>
      <c r="CM32" s="530"/>
      <c r="CN32" s="530"/>
      <c r="CO32" s="530"/>
      <c r="CP32" s="530"/>
      <c r="CQ32" s="530"/>
      <c r="CR32" s="530"/>
      <c r="CS32" s="530"/>
      <c r="CT32" s="530"/>
      <c r="CU32" s="530"/>
      <c r="CV32" s="530"/>
      <c r="CW32" s="530"/>
      <c r="CX32" s="530"/>
      <c r="CY32" s="530"/>
      <c r="CZ32" s="530"/>
      <c r="DA32" s="530"/>
      <c r="DB32" s="530"/>
      <c r="DC32" s="530"/>
      <c r="DD32" s="530"/>
      <c r="DE32" s="530"/>
      <c r="DF32" s="530"/>
      <c r="DG32" s="530"/>
      <c r="DH32" s="530"/>
      <c r="DI32" s="530"/>
      <c r="DJ32" s="530"/>
      <c r="DK32" s="530"/>
      <c r="DL32" s="530"/>
      <c r="DM32" s="530"/>
      <c r="DN32" s="530"/>
      <c r="DO32" s="530"/>
      <c r="DP32" s="530"/>
      <c r="DQ32" s="530"/>
      <c r="DR32" s="530"/>
      <c r="DS32" s="530"/>
      <c r="DT32" s="530"/>
      <c r="DU32" s="530"/>
      <c r="DV32" s="530"/>
      <c r="DW32" s="530"/>
      <c r="DX32" s="530"/>
      <c r="DY32" s="530"/>
      <c r="DZ32" s="530"/>
      <c r="EA32" s="530"/>
      <c r="EB32" s="530"/>
      <c r="EC32" s="530"/>
      <c r="ED32" s="530"/>
      <c r="EE32" s="530"/>
      <c r="EF32" s="530"/>
      <c r="EG32" s="530"/>
      <c r="EH32" s="530"/>
      <c r="EI32" s="530"/>
      <c r="EJ32" s="530"/>
      <c r="EK32" s="530"/>
      <c r="EL32" s="530"/>
      <c r="EM32" s="530"/>
      <c r="EN32" s="530"/>
      <c r="EO32" s="530"/>
      <c r="EP32" s="530"/>
      <c r="EQ32" s="530"/>
      <c r="ER32" s="530"/>
      <c r="ES32" s="530"/>
      <c r="ET32" s="530"/>
      <c r="EU32" s="530"/>
      <c r="EV32" s="530"/>
      <c r="EW32" s="530"/>
      <c r="EX32" s="530"/>
      <c r="EY32" s="530"/>
      <c r="EZ32" s="530"/>
      <c r="FA32" s="530"/>
      <c r="FB32" s="530"/>
      <c r="FC32" s="530"/>
      <c r="FD32" s="530"/>
      <c r="FE32" s="530"/>
      <c r="FF32" s="530"/>
      <c r="FG32" s="530"/>
      <c r="FH32" s="530"/>
      <c r="FI32" s="530"/>
      <c r="FJ32" s="530"/>
      <c r="FK32" s="530"/>
      <c r="FL32" s="530"/>
      <c r="FM32" s="530"/>
      <c r="FN32" s="530"/>
      <c r="FO32" s="530"/>
      <c r="FP32" s="530"/>
      <c r="FQ32" s="530"/>
      <c r="FR32" s="530"/>
      <c r="FS32" s="530"/>
      <c r="FT32" s="530"/>
      <c r="FU32" s="530"/>
      <c r="FV32" s="530"/>
      <c r="FW32" s="530"/>
      <c r="FX32" s="530"/>
      <c r="FY32" s="530"/>
      <c r="FZ32" s="530"/>
      <c r="GA32" s="530"/>
      <c r="GB32" s="530"/>
      <c r="GC32" s="530"/>
      <c r="GD32" s="530"/>
      <c r="GE32" s="530"/>
      <c r="GF32" s="530"/>
      <c r="GG32" s="530"/>
      <c r="GH32" s="530"/>
      <c r="GI32" s="530"/>
      <c r="GJ32" s="530"/>
      <c r="GK32" s="530"/>
      <c r="GL32" s="530"/>
      <c r="GM32" s="530"/>
      <c r="GN32" s="530"/>
      <c r="GO32" s="530"/>
      <c r="GP32" s="530"/>
      <c r="GQ32" s="530"/>
      <c r="GR32" s="530"/>
      <c r="GS32" s="530"/>
      <c r="GT32" s="530"/>
      <c r="GU32" s="530"/>
      <c r="GV32" s="530"/>
      <c r="GW32" s="530"/>
      <c r="GX32" s="530"/>
      <c r="GY32" s="530"/>
      <c r="GZ32" s="530"/>
      <c r="HA32" s="530"/>
      <c r="HB32" s="530"/>
      <c r="HC32" s="530"/>
      <c r="HD32" s="530"/>
      <c r="HE32" s="530"/>
      <c r="HF32" s="530"/>
      <c r="HG32" s="530"/>
      <c r="HH32" s="530"/>
      <c r="HI32" s="530"/>
      <c r="HJ32" s="530"/>
      <c r="HK32" s="530"/>
      <c r="HL32" s="530"/>
      <c r="HM32" s="530"/>
      <c r="HN32" s="530"/>
      <c r="HO32" s="530"/>
      <c r="HP32" s="530"/>
      <c r="HQ32" s="530"/>
      <c r="HR32" s="530"/>
      <c r="HS32" s="530"/>
      <c r="HT32" s="530"/>
      <c r="HU32" s="530"/>
      <c r="HV32" s="530"/>
      <c r="HW32" s="530"/>
      <c r="HX32" s="530"/>
      <c r="HY32" s="530"/>
      <c r="HZ32" s="530"/>
      <c r="IA32" s="530"/>
      <c r="IB32" s="530"/>
      <c r="IC32" s="530"/>
      <c r="ID32" s="530"/>
      <c r="IE32" s="530"/>
      <c r="IF32" s="530"/>
      <c r="IG32" s="530"/>
      <c r="IH32" s="530"/>
      <c r="II32" s="530"/>
      <c r="IJ32" s="530"/>
      <c r="IK32" s="530"/>
      <c r="IL32" s="530"/>
      <c r="IM32" s="530"/>
      <c r="IN32" s="530"/>
      <c r="IO32" s="530"/>
      <c r="IP32" s="530"/>
    </row>
    <row r="33" spans="1:250" s="539" customFormat="1" ht="21" hidden="1" customHeight="1">
      <c r="A33" s="532">
        <v>50</v>
      </c>
      <c r="B33" s="540">
        <v>17292</v>
      </c>
      <c r="C33" s="540">
        <v>17292</v>
      </c>
      <c r="D33" s="534">
        <f t="shared" si="0"/>
        <v>0</v>
      </c>
      <c r="E33" s="535">
        <v>1</v>
      </c>
      <c r="F33" s="541">
        <f t="shared" si="1"/>
        <v>0</v>
      </c>
      <c r="G33" s="537"/>
      <c r="H33" s="549">
        <f t="shared" si="2"/>
        <v>0</v>
      </c>
      <c r="I33" s="551"/>
      <c r="J33" s="538" t="s">
        <v>562</v>
      </c>
      <c r="K33" s="538" t="s">
        <v>563</v>
      </c>
      <c r="L33" s="530"/>
      <c r="M33" s="530"/>
      <c r="N33" s="530"/>
      <c r="O33" s="530"/>
      <c r="P33" s="530"/>
      <c r="Q33" s="530"/>
      <c r="R33" s="530"/>
      <c r="S33" s="530"/>
      <c r="T33" s="530"/>
      <c r="U33" s="530"/>
      <c r="V33" s="530"/>
      <c r="W33" s="530"/>
      <c r="X33" s="530"/>
      <c r="Y33" s="530"/>
      <c r="Z33" s="530"/>
      <c r="AA33" s="530"/>
      <c r="AB33" s="530"/>
      <c r="AC33" s="530"/>
      <c r="AD33" s="530"/>
      <c r="AE33" s="530"/>
      <c r="AF33" s="530"/>
      <c r="AG33" s="530"/>
      <c r="AH33" s="530"/>
      <c r="AI33" s="530"/>
      <c r="AJ33" s="530"/>
      <c r="AK33" s="530"/>
      <c r="AL33" s="530"/>
      <c r="AM33" s="530"/>
      <c r="AN33" s="530"/>
      <c r="AO33" s="530"/>
      <c r="AP33" s="530"/>
      <c r="AQ33" s="530"/>
      <c r="AR33" s="530"/>
      <c r="AS33" s="530"/>
      <c r="AT33" s="530"/>
      <c r="AU33" s="530"/>
      <c r="AV33" s="530"/>
      <c r="AW33" s="530"/>
      <c r="AX33" s="530"/>
      <c r="AY33" s="530"/>
      <c r="AZ33" s="530"/>
      <c r="BA33" s="530"/>
      <c r="BB33" s="530"/>
      <c r="BC33" s="530"/>
      <c r="BD33" s="530"/>
      <c r="BE33" s="530"/>
      <c r="BF33" s="530"/>
      <c r="BG33" s="530"/>
      <c r="BH33" s="530"/>
      <c r="BI33" s="530"/>
      <c r="BJ33" s="530"/>
      <c r="BK33" s="530"/>
      <c r="BL33" s="530"/>
      <c r="BM33" s="530"/>
      <c r="BN33" s="530"/>
      <c r="BO33" s="530"/>
      <c r="BP33" s="530"/>
      <c r="BQ33" s="530"/>
      <c r="BR33" s="530"/>
      <c r="BS33" s="530"/>
      <c r="BT33" s="530"/>
      <c r="BU33" s="530"/>
      <c r="BV33" s="530"/>
      <c r="BW33" s="530"/>
      <c r="BX33" s="530"/>
      <c r="BY33" s="530"/>
      <c r="BZ33" s="530"/>
      <c r="CA33" s="530"/>
      <c r="CB33" s="530"/>
      <c r="CC33" s="530"/>
      <c r="CD33" s="530"/>
      <c r="CE33" s="530"/>
      <c r="CF33" s="530"/>
      <c r="CG33" s="530"/>
      <c r="CH33" s="530"/>
      <c r="CI33" s="530"/>
      <c r="CJ33" s="530"/>
      <c r="CK33" s="530"/>
      <c r="CL33" s="530"/>
      <c r="CM33" s="530"/>
      <c r="CN33" s="530"/>
      <c r="CO33" s="530"/>
      <c r="CP33" s="530"/>
      <c r="CQ33" s="530"/>
      <c r="CR33" s="530"/>
      <c r="CS33" s="530"/>
      <c r="CT33" s="530"/>
      <c r="CU33" s="530"/>
      <c r="CV33" s="530"/>
      <c r="CW33" s="530"/>
      <c r="CX33" s="530"/>
      <c r="CY33" s="530"/>
      <c r="CZ33" s="530"/>
      <c r="DA33" s="530"/>
      <c r="DB33" s="530"/>
      <c r="DC33" s="530"/>
      <c r="DD33" s="530"/>
      <c r="DE33" s="530"/>
      <c r="DF33" s="530"/>
      <c r="DG33" s="530"/>
      <c r="DH33" s="530"/>
      <c r="DI33" s="530"/>
      <c r="DJ33" s="530"/>
      <c r="DK33" s="530"/>
      <c r="DL33" s="530"/>
      <c r="DM33" s="530"/>
      <c r="DN33" s="530"/>
      <c r="DO33" s="530"/>
      <c r="DP33" s="530"/>
      <c r="DQ33" s="530"/>
      <c r="DR33" s="530"/>
      <c r="DS33" s="530"/>
      <c r="DT33" s="530"/>
      <c r="DU33" s="530"/>
      <c r="DV33" s="530"/>
      <c r="DW33" s="530"/>
      <c r="DX33" s="530"/>
      <c r="DY33" s="530"/>
      <c r="DZ33" s="530"/>
      <c r="EA33" s="530"/>
      <c r="EB33" s="530"/>
      <c r="EC33" s="530"/>
      <c r="ED33" s="530"/>
      <c r="EE33" s="530"/>
      <c r="EF33" s="530"/>
      <c r="EG33" s="530"/>
      <c r="EH33" s="530"/>
      <c r="EI33" s="530"/>
      <c r="EJ33" s="530"/>
      <c r="EK33" s="530"/>
      <c r="EL33" s="530"/>
      <c r="EM33" s="530"/>
      <c r="EN33" s="530"/>
      <c r="EO33" s="530"/>
      <c r="EP33" s="530"/>
      <c r="EQ33" s="530"/>
      <c r="ER33" s="530"/>
      <c r="ES33" s="530"/>
      <c r="ET33" s="530"/>
      <c r="EU33" s="530"/>
      <c r="EV33" s="530"/>
      <c r="EW33" s="530"/>
      <c r="EX33" s="530"/>
      <c r="EY33" s="530"/>
      <c r="EZ33" s="530"/>
      <c r="FA33" s="530"/>
      <c r="FB33" s="530"/>
      <c r="FC33" s="530"/>
      <c r="FD33" s="530"/>
      <c r="FE33" s="530"/>
      <c r="FF33" s="530"/>
      <c r="FG33" s="530"/>
      <c r="FH33" s="530"/>
      <c r="FI33" s="530"/>
      <c r="FJ33" s="530"/>
      <c r="FK33" s="530"/>
      <c r="FL33" s="530"/>
      <c r="FM33" s="530"/>
      <c r="FN33" s="530"/>
      <c r="FO33" s="530"/>
      <c r="FP33" s="530"/>
      <c r="FQ33" s="530"/>
      <c r="FR33" s="530"/>
      <c r="FS33" s="530"/>
      <c r="FT33" s="530"/>
      <c r="FU33" s="530"/>
      <c r="FV33" s="530"/>
      <c r="FW33" s="530"/>
      <c r="FX33" s="530"/>
      <c r="FY33" s="530"/>
      <c r="FZ33" s="530"/>
      <c r="GA33" s="530"/>
      <c r="GB33" s="530"/>
      <c r="GC33" s="530"/>
      <c r="GD33" s="530"/>
      <c r="GE33" s="530"/>
      <c r="GF33" s="530"/>
      <c r="GG33" s="530"/>
      <c r="GH33" s="530"/>
      <c r="GI33" s="530"/>
      <c r="GJ33" s="530"/>
      <c r="GK33" s="530"/>
      <c r="GL33" s="530"/>
      <c r="GM33" s="530"/>
      <c r="GN33" s="530"/>
      <c r="GO33" s="530"/>
      <c r="GP33" s="530"/>
      <c r="GQ33" s="530"/>
      <c r="GR33" s="530"/>
      <c r="GS33" s="530"/>
      <c r="GT33" s="530"/>
      <c r="GU33" s="530"/>
      <c r="GV33" s="530"/>
      <c r="GW33" s="530"/>
      <c r="GX33" s="530"/>
      <c r="GY33" s="530"/>
      <c r="GZ33" s="530"/>
      <c r="HA33" s="530"/>
      <c r="HB33" s="530"/>
      <c r="HC33" s="530"/>
      <c r="HD33" s="530"/>
      <c r="HE33" s="530"/>
      <c r="HF33" s="530"/>
      <c r="HG33" s="530"/>
      <c r="HH33" s="530"/>
      <c r="HI33" s="530"/>
      <c r="HJ33" s="530"/>
      <c r="HK33" s="530"/>
      <c r="HL33" s="530"/>
      <c r="HM33" s="530"/>
      <c r="HN33" s="530"/>
      <c r="HO33" s="530"/>
      <c r="HP33" s="530"/>
      <c r="HQ33" s="530"/>
      <c r="HR33" s="530"/>
      <c r="HS33" s="530"/>
      <c r="HT33" s="530"/>
      <c r="HU33" s="530"/>
      <c r="HV33" s="530"/>
      <c r="HW33" s="530"/>
      <c r="HX33" s="530"/>
      <c r="HY33" s="530"/>
      <c r="HZ33" s="530"/>
      <c r="IA33" s="530"/>
      <c r="IB33" s="530"/>
      <c r="IC33" s="530"/>
      <c r="ID33" s="530"/>
      <c r="IE33" s="530"/>
      <c r="IF33" s="530"/>
      <c r="IG33" s="530"/>
      <c r="IH33" s="530"/>
      <c r="II33" s="530"/>
      <c r="IJ33" s="530"/>
      <c r="IK33" s="530"/>
      <c r="IL33" s="530"/>
      <c r="IM33" s="530"/>
      <c r="IN33" s="530"/>
      <c r="IO33" s="530"/>
      <c r="IP33" s="530"/>
    </row>
    <row r="34" spans="1:250" s="539" customFormat="1" ht="21" hidden="1" customHeight="1" thickBot="1">
      <c r="A34" s="532">
        <v>49</v>
      </c>
      <c r="B34" s="540">
        <v>29136</v>
      </c>
      <c r="C34" s="540">
        <v>29136</v>
      </c>
      <c r="D34" s="534">
        <f t="shared" si="0"/>
        <v>0</v>
      </c>
      <c r="E34" s="535">
        <v>1</v>
      </c>
      <c r="F34" s="536">
        <f t="shared" si="1"/>
        <v>0</v>
      </c>
      <c r="G34" s="542"/>
      <c r="H34" s="547">
        <f t="shared" si="2"/>
        <v>0</v>
      </c>
      <c r="I34" s="551"/>
      <c r="J34" s="538"/>
      <c r="K34" s="538"/>
      <c r="L34" s="530"/>
      <c r="M34" s="530"/>
      <c r="N34" s="530"/>
      <c r="O34" s="530"/>
      <c r="P34" s="530"/>
      <c r="Q34" s="530"/>
      <c r="R34" s="530"/>
      <c r="S34" s="530"/>
      <c r="T34" s="530"/>
      <c r="U34" s="530"/>
      <c r="V34" s="530"/>
      <c r="W34" s="530"/>
      <c r="X34" s="530"/>
      <c r="Y34" s="530"/>
      <c r="Z34" s="530"/>
      <c r="AA34" s="530"/>
      <c r="AB34" s="530"/>
      <c r="AC34" s="530"/>
      <c r="AD34" s="530"/>
      <c r="AE34" s="530"/>
      <c r="AF34" s="530"/>
      <c r="AG34" s="530"/>
      <c r="AH34" s="530"/>
      <c r="AI34" s="530"/>
      <c r="AJ34" s="530"/>
      <c r="AK34" s="530"/>
      <c r="AL34" s="530"/>
      <c r="AM34" s="530"/>
      <c r="AN34" s="530"/>
      <c r="AO34" s="530"/>
      <c r="AP34" s="530"/>
      <c r="AQ34" s="530"/>
      <c r="AR34" s="530"/>
      <c r="AS34" s="530"/>
      <c r="AT34" s="530"/>
      <c r="AU34" s="530"/>
      <c r="AV34" s="530"/>
      <c r="AW34" s="530"/>
      <c r="AX34" s="530"/>
      <c r="AY34" s="530"/>
      <c r="AZ34" s="530"/>
      <c r="BA34" s="530"/>
      <c r="BB34" s="530"/>
      <c r="BC34" s="530"/>
      <c r="BD34" s="530"/>
      <c r="BE34" s="530"/>
      <c r="BF34" s="530"/>
      <c r="BG34" s="530"/>
      <c r="BH34" s="530"/>
      <c r="BI34" s="530"/>
      <c r="BJ34" s="530"/>
      <c r="BK34" s="530"/>
      <c r="BL34" s="530"/>
      <c r="BM34" s="530"/>
      <c r="BN34" s="530"/>
      <c r="BO34" s="530"/>
      <c r="BP34" s="530"/>
      <c r="BQ34" s="530"/>
      <c r="BR34" s="530"/>
      <c r="BS34" s="530"/>
      <c r="BT34" s="530"/>
      <c r="BU34" s="530"/>
      <c r="BV34" s="530"/>
      <c r="BW34" s="530"/>
      <c r="BX34" s="530"/>
      <c r="BY34" s="530"/>
      <c r="BZ34" s="530"/>
      <c r="CA34" s="530"/>
      <c r="CB34" s="530"/>
      <c r="CC34" s="530"/>
      <c r="CD34" s="530"/>
      <c r="CE34" s="530"/>
      <c r="CF34" s="530"/>
      <c r="CG34" s="530"/>
      <c r="CH34" s="530"/>
      <c r="CI34" s="530"/>
      <c r="CJ34" s="530"/>
      <c r="CK34" s="530"/>
      <c r="CL34" s="530"/>
      <c r="CM34" s="530"/>
      <c r="CN34" s="530"/>
      <c r="CO34" s="530"/>
      <c r="CP34" s="530"/>
      <c r="CQ34" s="530"/>
      <c r="CR34" s="530"/>
      <c r="CS34" s="530"/>
      <c r="CT34" s="530"/>
      <c r="CU34" s="530"/>
      <c r="CV34" s="530"/>
      <c r="CW34" s="530"/>
      <c r="CX34" s="530"/>
      <c r="CY34" s="530"/>
      <c r="CZ34" s="530"/>
      <c r="DA34" s="530"/>
      <c r="DB34" s="530"/>
      <c r="DC34" s="530"/>
      <c r="DD34" s="530"/>
      <c r="DE34" s="530"/>
      <c r="DF34" s="530"/>
      <c r="DG34" s="530"/>
      <c r="DH34" s="530"/>
      <c r="DI34" s="530"/>
      <c r="DJ34" s="530"/>
      <c r="DK34" s="530"/>
      <c r="DL34" s="530"/>
      <c r="DM34" s="530"/>
      <c r="DN34" s="530"/>
      <c r="DO34" s="530"/>
      <c r="DP34" s="530"/>
      <c r="DQ34" s="530"/>
      <c r="DR34" s="530"/>
      <c r="DS34" s="530"/>
      <c r="DT34" s="530"/>
      <c r="DU34" s="530"/>
      <c r="DV34" s="530"/>
      <c r="DW34" s="530"/>
      <c r="DX34" s="530"/>
      <c r="DY34" s="530"/>
      <c r="DZ34" s="530"/>
      <c r="EA34" s="530"/>
      <c r="EB34" s="530"/>
      <c r="EC34" s="530"/>
      <c r="ED34" s="530"/>
      <c r="EE34" s="530"/>
      <c r="EF34" s="530"/>
      <c r="EG34" s="530"/>
      <c r="EH34" s="530"/>
      <c r="EI34" s="530"/>
      <c r="EJ34" s="530"/>
      <c r="EK34" s="530"/>
      <c r="EL34" s="530"/>
      <c r="EM34" s="530"/>
      <c r="EN34" s="530"/>
      <c r="EO34" s="530"/>
      <c r="EP34" s="530"/>
      <c r="EQ34" s="530"/>
      <c r="ER34" s="530"/>
      <c r="ES34" s="530"/>
      <c r="ET34" s="530"/>
      <c r="EU34" s="530"/>
      <c r="EV34" s="530"/>
      <c r="EW34" s="530"/>
      <c r="EX34" s="530"/>
      <c r="EY34" s="530"/>
      <c r="EZ34" s="530"/>
      <c r="FA34" s="530"/>
      <c r="FB34" s="530"/>
      <c r="FC34" s="530"/>
      <c r="FD34" s="530"/>
      <c r="FE34" s="530"/>
      <c r="FF34" s="530"/>
      <c r="FG34" s="530"/>
      <c r="FH34" s="530"/>
      <c r="FI34" s="530"/>
      <c r="FJ34" s="530"/>
      <c r="FK34" s="530"/>
      <c r="FL34" s="530"/>
      <c r="FM34" s="530"/>
      <c r="FN34" s="530"/>
      <c r="FO34" s="530"/>
      <c r="FP34" s="530"/>
      <c r="FQ34" s="530"/>
      <c r="FR34" s="530"/>
      <c r="FS34" s="530"/>
      <c r="FT34" s="530"/>
      <c r="FU34" s="530"/>
      <c r="FV34" s="530"/>
      <c r="FW34" s="530"/>
      <c r="FX34" s="530"/>
      <c r="FY34" s="530"/>
      <c r="FZ34" s="530"/>
      <c r="GA34" s="530"/>
      <c r="GB34" s="530"/>
      <c r="GC34" s="530"/>
      <c r="GD34" s="530"/>
      <c r="GE34" s="530"/>
      <c r="GF34" s="530"/>
      <c r="GG34" s="530"/>
      <c r="GH34" s="530"/>
      <c r="GI34" s="530"/>
      <c r="GJ34" s="530"/>
      <c r="GK34" s="530"/>
      <c r="GL34" s="530"/>
      <c r="GM34" s="530"/>
      <c r="GN34" s="530"/>
      <c r="GO34" s="530"/>
      <c r="GP34" s="530"/>
      <c r="GQ34" s="530"/>
      <c r="GR34" s="530"/>
      <c r="GS34" s="530"/>
      <c r="GT34" s="530"/>
      <c r="GU34" s="530"/>
      <c r="GV34" s="530"/>
      <c r="GW34" s="530"/>
      <c r="GX34" s="530"/>
      <c r="GY34" s="530"/>
      <c r="GZ34" s="530"/>
      <c r="HA34" s="530"/>
      <c r="HB34" s="530"/>
      <c r="HC34" s="530"/>
      <c r="HD34" s="530"/>
      <c r="HE34" s="530"/>
      <c r="HF34" s="530"/>
      <c r="HG34" s="530"/>
      <c r="HH34" s="530"/>
      <c r="HI34" s="530"/>
      <c r="HJ34" s="530"/>
      <c r="HK34" s="530"/>
      <c r="HL34" s="530"/>
      <c r="HM34" s="530"/>
      <c r="HN34" s="530"/>
      <c r="HO34" s="530"/>
      <c r="HP34" s="530"/>
      <c r="HQ34" s="530"/>
      <c r="HR34" s="530"/>
      <c r="HS34" s="530"/>
      <c r="HT34" s="530"/>
      <c r="HU34" s="530"/>
      <c r="HV34" s="530"/>
      <c r="HW34" s="530"/>
      <c r="HX34" s="530"/>
      <c r="HY34" s="530"/>
      <c r="HZ34" s="530"/>
      <c r="IA34" s="530"/>
      <c r="IB34" s="530"/>
      <c r="IC34" s="530"/>
      <c r="ID34" s="530"/>
      <c r="IE34" s="530"/>
      <c r="IF34" s="530"/>
      <c r="IG34" s="530"/>
      <c r="IH34" s="530"/>
      <c r="II34" s="530"/>
      <c r="IJ34" s="530"/>
      <c r="IK34" s="530"/>
      <c r="IL34" s="530"/>
      <c r="IM34" s="530"/>
      <c r="IN34" s="530"/>
      <c r="IO34" s="530"/>
      <c r="IP34" s="530"/>
    </row>
    <row r="35" spans="1:250" s="539" customFormat="1" ht="15.75" thickBot="1">
      <c r="A35" s="1076"/>
      <c r="B35" s="1077"/>
      <c r="C35" s="1077"/>
      <c r="D35" s="1077"/>
      <c r="E35" s="1077"/>
      <c r="F35" s="543">
        <f>SUM(F3:F34)</f>
        <v>9997602</v>
      </c>
      <c r="G35" s="544"/>
      <c r="H35" s="550">
        <f>SUM(H3:H34)</f>
        <v>9997602</v>
      </c>
      <c r="I35" s="552"/>
      <c r="J35" s="538" t="s">
        <v>565</v>
      </c>
      <c r="K35" s="530"/>
      <c r="L35" s="530"/>
      <c r="M35" s="530"/>
      <c r="N35" s="530"/>
      <c r="O35" s="530"/>
      <c r="P35" s="530"/>
      <c r="Q35" s="530"/>
      <c r="R35" s="530"/>
      <c r="S35" s="530"/>
      <c r="T35" s="530"/>
      <c r="U35" s="530"/>
      <c r="V35" s="530"/>
      <c r="W35" s="530"/>
      <c r="X35" s="530"/>
      <c r="Y35" s="530"/>
      <c r="Z35" s="530"/>
      <c r="AA35" s="530"/>
      <c r="AB35" s="530"/>
      <c r="AC35" s="530"/>
      <c r="AD35" s="530"/>
      <c r="AE35" s="530"/>
      <c r="AF35" s="530"/>
      <c r="AG35" s="530"/>
      <c r="AH35" s="530"/>
      <c r="AI35" s="530"/>
      <c r="AJ35" s="530"/>
      <c r="AK35" s="530"/>
      <c r="AL35" s="530"/>
      <c r="AM35" s="530"/>
      <c r="AN35" s="530"/>
      <c r="AO35" s="530"/>
      <c r="AP35" s="530"/>
      <c r="AQ35" s="530"/>
      <c r="AR35" s="530"/>
      <c r="AS35" s="530"/>
      <c r="AT35" s="530"/>
      <c r="AU35" s="530"/>
      <c r="AV35" s="530"/>
      <c r="AW35" s="530"/>
      <c r="AX35" s="530"/>
      <c r="AY35" s="530"/>
      <c r="AZ35" s="530"/>
      <c r="BA35" s="530"/>
      <c r="BB35" s="530"/>
      <c r="BC35" s="530"/>
      <c r="BD35" s="530"/>
      <c r="BE35" s="530"/>
      <c r="BF35" s="530"/>
      <c r="BG35" s="530"/>
      <c r="BH35" s="530"/>
      <c r="BI35" s="530"/>
      <c r="BJ35" s="530"/>
      <c r="BK35" s="530"/>
      <c r="BL35" s="530"/>
      <c r="BM35" s="530"/>
      <c r="BN35" s="530"/>
      <c r="BO35" s="530"/>
      <c r="BP35" s="530"/>
      <c r="BQ35" s="530"/>
      <c r="BR35" s="530"/>
      <c r="BS35" s="530"/>
      <c r="BT35" s="530"/>
      <c r="BU35" s="530"/>
      <c r="BV35" s="530"/>
      <c r="BW35" s="530"/>
      <c r="BX35" s="530"/>
      <c r="BY35" s="530"/>
      <c r="BZ35" s="530"/>
      <c r="CA35" s="530"/>
      <c r="CB35" s="530"/>
      <c r="CC35" s="530"/>
      <c r="CD35" s="530"/>
      <c r="CE35" s="530"/>
      <c r="CF35" s="530"/>
      <c r="CG35" s="530"/>
      <c r="CH35" s="530"/>
      <c r="CI35" s="530"/>
      <c r="CJ35" s="530"/>
      <c r="CK35" s="530"/>
      <c r="CL35" s="530"/>
      <c r="CM35" s="530"/>
      <c r="CN35" s="530"/>
      <c r="CO35" s="530"/>
      <c r="CP35" s="530"/>
      <c r="CQ35" s="530"/>
      <c r="CR35" s="530"/>
      <c r="CS35" s="530"/>
      <c r="CT35" s="530"/>
      <c r="CU35" s="530"/>
      <c r="CV35" s="530"/>
      <c r="CW35" s="530"/>
      <c r="CX35" s="530"/>
      <c r="CY35" s="530"/>
      <c r="CZ35" s="530"/>
      <c r="DA35" s="530"/>
      <c r="DB35" s="530"/>
      <c r="DC35" s="530"/>
      <c r="DD35" s="530"/>
      <c r="DE35" s="530"/>
      <c r="DF35" s="530"/>
      <c r="DG35" s="530"/>
      <c r="DH35" s="530"/>
      <c r="DI35" s="530"/>
      <c r="DJ35" s="530"/>
      <c r="DK35" s="530"/>
      <c r="DL35" s="530"/>
      <c r="DM35" s="530"/>
      <c r="DN35" s="530"/>
      <c r="DO35" s="530"/>
      <c r="DP35" s="530"/>
      <c r="DQ35" s="530"/>
      <c r="DR35" s="530"/>
      <c r="DS35" s="530"/>
      <c r="DT35" s="530"/>
      <c r="DU35" s="530"/>
      <c r="DV35" s="530"/>
      <c r="DW35" s="530"/>
      <c r="DX35" s="530"/>
      <c r="DY35" s="530"/>
      <c r="DZ35" s="530"/>
      <c r="EA35" s="530"/>
      <c r="EB35" s="530"/>
      <c r="EC35" s="530"/>
      <c r="ED35" s="530"/>
      <c r="EE35" s="530"/>
      <c r="EF35" s="530"/>
      <c r="EG35" s="530"/>
      <c r="EH35" s="530"/>
      <c r="EI35" s="530"/>
      <c r="EJ35" s="530"/>
      <c r="EK35" s="530"/>
      <c r="EL35" s="530"/>
      <c r="EM35" s="530"/>
      <c r="EN35" s="530"/>
      <c r="EO35" s="530"/>
      <c r="EP35" s="530"/>
      <c r="EQ35" s="530"/>
      <c r="ER35" s="530"/>
      <c r="ES35" s="530"/>
      <c r="ET35" s="530"/>
      <c r="EU35" s="530"/>
      <c r="EV35" s="530"/>
      <c r="EW35" s="530"/>
      <c r="EX35" s="530"/>
      <c r="EY35" s="530"/>
      <c r="EZ35" s="530"/>
      <c r="FA35" s="530"/>
      <c r="FB35" s="530"/>
      <c r="FC35" s="530"/>
      <c r="FD35" s="530"/>
      <c r="FE35" s="530"/>
      <c r="FF35" s="530"/>
      <c r="FG35" s="530"/>
      <c r="FH35" s="530"/>
      <c r="FI35" s="530"/>
      <c r="FJ35" s="530"/>
      <c r="FK35" s="530"/>
      <c r="FL35" s="530"/>
      <c r="FM35" s="530"/>
      <c r="FN35" s="530"/>
      <c r="FO35" s="530"/>
      <c r="FP35" s="530"/>
      <c r="FQ35" s="530"/>
      <c r="FR35" s="530"/>
      <c r="FS35" s="530"/>
      <c r="FT35" s="530"/>
      <c r="FU35" s="530"/>
      <c r="FV35" s="530"/>
      <c r="FW35" s="530"/>
      <c r="FX35" s="530"/>
      <c r="FY35" s="530"/>
      <c r="FZ35" s="530"/>
      <c r="GA35" s="530"/>
      <c r="GB35" s="530"/>
      <c r="GC35" s="530"/>
      <c r="GD35" s="530"/>
      <c r="GE35" s="530"/>
      <c r="GF35" s="530"/>
      <c r="GG35" s="530"/>
      <c r="GH35" s="530"/>
      <c r="GI35" s="530"/>
      <c r="GJ35" s="530"/>
      <c r="GK35" s="530"/>
      <c r="GL35" s="530"/>
      <c r="GM35" s="530"/>
      <c r="GN35" s="530"/>
      <c r="GO35" s="530"/>
      <c r="GP35" s="530"/>
      <c r="GQ35" s="530"/>
      <c r="GR35" s="530"/>
      <c r="GS35" s="530"/>
      <c r="GT35" s="530"/>
      <c r="GU35" s="530"/>
      <c r="GV35" s="530"/>
      <c r="GW35" s="530"/>
      <c r="GX35" s="530"/>
      <c r="GY35" s="530"/>
      <c r="GZ35" s="530"/>
      <c r="HA35" s="530"/>
      <c r="HB35" s="530"/>
      <c r="HC35" s="530"/>
      <c r="HD35" s="530"/>
      <c r="HE35" s="530"/>
      <c r="HF35" s="530"/>
      <c r="HG35" s="530"/>
      <c r="HH35" s="530"/>
      <c r="HI35" s="530"/>
      <c r="HJ35" s="530"/>
      <c r="HK35" s="530"/>
      <c r="HL35" s="530"/>
      <c r="HM35" s="530"/>
      <c r="HN35" s="530"/>
      <c r="HO35" s="530"/>
      <c r="HP35" s="530"/>
      <c r="HQ35" s="530"/>
      <c r="HR35" s="530"/>
      <c r="HS35" s="530"/>
      <c r="HT35" s="530"/>
      <c r="HU35" s="530"/>
      <c r="HV35" s="530"/>
      <c r="HW35" s="530"/>
      <c r="HX35" s="530"/>
      <c r="HY35" s="530"/>
      <c r="HZ35" s="530"/>
      <c r="IA35" s="530"/>
      <c r="IB35" s="530"/>
      <c r="IC35" s="530"/>
      <c r="ID35" s="530"/>
      <c r="IE35" s="530"/>
      <c r="IF35" s="530"/>
      <c r="IG35" s="530"/>
      <c r="IH35" s="530"/>
      <c r="II35" s="530"/>
      <c r="IJ35" s="530"/>
      <c r="IK35" s="530"/>
      <c r="IL35" s="530"/>
      <c r="IM35" s="530"/>
      <c r="IN35" s="530"/>
      <c r="IO35" s="530"/>
      <c r="IP35" s="530"/>
    </row>
    <row r="36" spans="1:250" s="539" customFormat="1" ht="15.75" thickBot="1">
      <c r="A36" s="545"/>
      <c r="B36" s="545"/>
      <c r="C36" s="545"/>
      <c r="D36" s="545" t="s">
        <v>844</v>
      </c>
      <c r="E36" s="545"/>
      <c r="F36" s="995">
        <v>13644</v>
      </c>
      <c r="G36" s="546"/>
      <c r="H36" s="991">
        <f>H35-'CHECK '!D42</f>
        <v>0</v>
      </c>
      <c r="I36" s="546"/>
      <c r="J36" s="530"/>
      <c r="K36" s="530"/>
      <c r="L36" s="530"/>
      <c r="M36" s="530"/>
      <c r="N36" s="530"/>
      <c r="O36" s="530"/>
      <c r="P36" s="530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530"/>
      <c r="AD36" s="530"/>
      <c r="AE36" s="530"/>
      <c r="AF36" s="530"/>
      <c r="AG36" s="530"/>
      <c r="AH36" s="530"/>
      <c r="AI36" s="530"/>
      <c r="AJ36" s="530"/>
      <c r="AK36" s="530"/>
      <c r="AL36" s="530"/>
      <c r="AM36" s="530"/>
      <c r="AN36" s="530"/>
      <c r="AO36" s="530"/>
      <c r="AP36" s="530"/>
      <c r="AQ36" s="530"/>
      <c r="AR36" s="530"/>
      <c r="AS36" s="530"/>
      <c r="AT36" s="530"/>
      <c r="AU36" s="530"/>
      <c r="AV36" s="530"/>
      <c r="AW36" s="530"/>
      <c r="AX36" s="530"/>
      <c r="AY36" s="530"/>
      <c r="AZ36" s="530"/>
      <c r="BA36" s="530"/>
      <c r="BB36" s="530"/>
      <c r="BC36" s="530"/>
      <c r="BD36" s="530"/>
      <c r="BE36" s="530"/>
      <c r="BF36" s="530"/>
      <c r="BG36" s="530"/>
      <c r="BH36" s="530"/>
      <c r="BI36" s="530"/>
      <c r="BJ36" s="530"/>
      <c r="BK36" s="530"/>
      <c r="BL36" s="530"/>
      <c r="BM36" s="530"/>
      <c r="BN36" s="530"/>
      <c r="BO36" s="530"/>
      <c r="BP36" s="530"/>
      <c r="BQ36" s="530"/>
      <c r="BR36" s="530"/>
      <c r="BS36" s="530"/>
      <c r="BT36" s="530"/>
      <c r="BU36" s="530"/>
      <c r="BV36" s="530"/>
      <c r="BW36" s="530"/>
      <c r="BX36" s="530"/>
      <c r="BY36" s="530"/>
      <c r="BZ36" s="530"/>
      <c r="CA36" s="530"/>
      <c r="CB36" s="530"/>
      <c r="CC36" s="530"/>
      <c r="CD36" s="530"/>
      <c r="CE36" s="530"/>
      <c r="CF36" s="530"/>
      <c r="CG36" s="530"/>
      <c r="CH36" s="530"/>
      <c r="CI36" s="530"/>
      <c r="CJ36" s="530"/>
      <c r="CK36" s="530"/>
      <c r="CL36" s="530"/>
      <c r="CM36" s="530"/>
      <c r="CN36" s="530"/>
      <c r="CO36" s="530"/>
      <c r="CP36" s="530"/>
      <c r="CQ36" s="530"/>
      <c r="CR36" s="530"/>
      <c r="CS36" s="530"/>
      <c r="CT36" s="530"/>
      <c r="CU36" s="530"/>
      <c r="CV36" s="530"/>
      <c r="CW36" s="530"/>
      <c r="CX36" s="530"/>
      <c r="CY36" s="530"/>
      <c r="CZ36" s="530"/>
      <c r="DA36" s="530"/>
      <c r="DB36" s="530"/>
      <c r="DC36" s="530"/>
      <c r="DD36" s="530"/>
      <c r="DE36" s="530"/>
      <c r="DF36" s="530"/>
      <c r="DG36" s="530"/>
      <c r="DH36" s="530"/>
      <c r="DI36" s="530"/>
      <c r="DJ36" s="530"/>
      <c r="DK36" s="530"/>
      <c r="DL36" s="530"/>
      <c r="DM36" s="530"/>
      <c r="DN36" s="530"/>
      <c r="DO36" s="530"/>
      <c r="DP36" s="530"/>
      <c r="DQ36" s="530"/>
      <c r="DR36" s="530"/>
      <c r="DS36" s="530"/>
      <c r="DT36" s="530"/>
      <c r="DU36" s="530"/>
      <c r="DV36" s="530"/>
      <c r="DW36" s="530"/>
      <c r="DX36" s="530"/>
      <c r="DY36" s="530"/>
      <c r="DZ36" s="530"/>
      <c r="EA36" s="530"/>
      <c r="EB36" s="530"/>
      <c r="EC36" s="530"/>
      <c r="ED36" s="530"/>
      <c r="EE36" s="530"/>
      <c r="EF36" s="530"/>
      <c r="EG36" s="530"/>
      <c r="EH36" s="530"/>
      <c r="EI36" s="530"/>
      <c r="EJ36" s="530"/>
      <c r="EK36" s="530"/>
      <c r="EL36" s="530"/>
      <c r="EM36" s="530"/>
      <c r="EN36" s="530"/>
      <c r="EO36" s="530"/>
      <c r="EP36" s="530"/>
      <c r="EQ36" s="530"/>
      <c r="ER36" s="530"/>
      <c r="ES36" s="530"/>
      <c r="ET36" s="530"/>
      <c r="EU36" s="530"/>
      <c r="EV36" s="530"/>
      <c r="EW36" s="530"/>
      <c r="EX36" s="530"/>
      <c r="EY36" s="530"/>
      <c r="EZ36" s="530"/>
      <c r="FA36" s="530"/>
      <c r="FB36" s="530"/>
      <c r="FC36" s="530"/>
      <c r="FD36" s="530"/>
      <c r="FE36" s="530"/>
      <c r="FF36" s="530"/>
      <c r="FG36" s="530"/>
      <c r="FH36" s="530"/>
      <c r="FI36" s="530"/>
      <c r="FJ36" s="530"/>
      <c r="FK36" s="530"/>
      <c r="FL36" s="530"/>
      <c r="FM36" s="530"/>
      <c r="FN36" s="530"/>
      <c r="FO36" s="530"/>
      <c r="FP36" s="530"/>
      <c r="FQ36" s="530"/>
      <c r="FR36" s="530"/>
      <c r="FS36" s="530"/>
      <c r="FT36" s="530"/>
      <c r="FU36" s="530"/>
      <c r="FV36" s="530"/>
      <c r="FW36" s="530"/>
      <c r="FX36" s="530"/>
      <c r="FY36" s="530"/>
      <c r="FZ36" s="530"/>
      <c r="GA36" s="530"/>
      <c r="GB36" s="530"/>
      <c r="GC36" s="530"/>
      <c r="GD36" s="530"/>
      <c r="GE36" s="530"/>
      <c r="GF36" s="530"/>
      <c r="GG36" s="530"/>
      <c r="GH36" s="530"/>
      <c r="GI36" s="530"/>
      <c r="GJ36" s="530"/>
      <c r="GK36" s="530"/>
      <c r="GL36" s="530"/>
      <c r="GM36" s="530"/>
      <c r="GN36" s="530"/>
      <c r="GO36" s="530"/>
      <c r="GP36" s="530"/>
      <c r="GQ36" s="530"/>
      <c r="GR36" s="530"/>
      <c r="GS36" s="530"/>
      <c r="GT36" s="530"/>
      <c r="GU36" s="530"/>
      <c r="GV36" s="530"/>
      <c r="GW36" s="530"/>
      <c r="GX36" s="530"/>
      <c r="GY36" s="530"/>
      <c r="GZ36" s="530"/>
      <c r="HA36" s="530"/>
      <c r="HB36" s="530"/>
      <c r="HC36" s="530"/>
      <c r="HD36" s="530"/>
      <c r="HE36" s="530"/>
      <c r="HF36" s="530"/>
      <c r="HG36" s="530"/>
      <c r="HH36" s="530"/>
      <c r="HI36" s="530"/>
      <c r="HJ36" s="530"/>
      <c r="HK36" s="530"/>
      <c r="HL36" s="530"/>
      <c r="HM36" s="530"/>
      <c r="HN36" s="530"/>
      <c r="HO36" s="530"/>
      <c r="HP36" s="530"/>
      <c r="HQ36" s="530"/>
      <c r="HR36" s="530"/>
      <c r="HS36" s="530"/>
      <c r="HT36" s="530"/>
      <c r="HU36" s="530"/>
      <c r="HV36" s="530"/>
      <c r="HW36" s="530"/>
      <c r="HX36" s="530"/>
      <c r="HY36" s="530"/>
      <c r="HZ36" s="530"/>
      <c r="IA36" s="530"/>
      <c r="IB36" s="530"/>
      <c r="IC36" s="530"/>
      <c r="ID36" s="530"/>
      <c r="IE36" s="530"/>
      <c r="IF36" s="530"/>
      <c r="IG36" s="530"/>
      <c r="IH36" s="530"/>
      <c r="II36" s="530"/>
      <c r="IJ36" s="530"/>
      <c r="IK36" s="530"/>
      <c r="IL36" s="530"/>
      <c r="IM36" s="530"/>
      <c r="IN36" s="530"/>
      <c r="IO36" s="530"/>
      <c r="IP36" s="530"/>
    </row>
    <row r="37" spans="1:250" s="539" customFormat="1">
      <c r="A37" s="545"/>
      <c r="B37" s="545"/>
      <c r="C37" s="545" t="s">
        <v>845</v>
      </c>
      <c r="D37" s="545"/>
      <c r="E37" s="545"/>
      <c r="F37" s="994">
        <f>+F35-F36</f>
        <v>9983958</v>
      </c>
      <c r="G37" s="546"/>
      <c r="H37" s="546"/>
      <c r="I37" s="546"/>
      <c r="J37" s="530"/>
      <c r="K37" s="530"/>
      <c r="L37" s="530"/>
      <c r="M37" s="530"/>
      <c r="N37" s="530"/>
      <c r="O37" s="530"/>
      <c r="P37" s="530"/>
      <c r="Q37" s="530"/>
      <c r="R37" s="530"/>
      <c r="S37" s="530"/>
      <c r="T37" s="530"/>
      <c r="U37" s="530"/>
      <c r="V37" s="530"/>
      <c r="W37" s="530"/>
      <c r="X37" s="530"/>
      <c r="Y37" s="530"/>
      <c r="Z37" s="530"/>
      <c r="AA37" s="530"/>
      <c r="AB37" s="530"/>
      <c r="AC37" s="530"/>
      <c r="AD37" s="530"/>
      <c r="AE37" s="530"/>
      <c r="AF37" s="530"/>
      <c r="AG37" s="530"/>
      <c r="AH37" s="530"/>
      <c r="AI37" s="530"/>
      <c r="AJ37" s="530"/>
      <c r="AK37" s="530"/>
      <c r="AL37" s="530"/>
      <c r="AM37" s="530"/>
      <c r="AN37" s="530"/>
      <c r="AO37" s="530"/>
      <c r="AP37" s="530"/>
      <c r="AQ37" s="530"/>
      <c r="AR37" s="530"/>
      <c r="AS37" s="530"/>
      <c r="AT37" s="530"/>
      <c r="AU37" s="530"/>
      <c r="AV37" s="530"/>
      <c r="AW37" s="530"/>
      <c r="AX37" s="530"/>
      <c r="AY37" s="530"/>
      <c r="AZ37" s="530"/>
      <c r="BA37" s="530"/>
      <c r="BB37" s="530"/>
      <c r="BC37" s="530"/>
      <c r="BD37" s="530"/>
      <c r="BE37" s="530"/>
      <c r="BF37" s="530"/>
      <c r="BG37" s="530"/>
      <c r="BH37" s="530"/>
      <c r="BI37" s="530"/>
      <c r="BJ37" s="530"/>
      <c r="BK37" s="530"/>
      <c r="BL37" s="530"/>
      <c r="BM37" s="530"/>
      <c r="BN37" s="530"/>
      <c r="BO37" s="530"/>
      <c r="BP37" s="530"/>
      <c r="BQ37" s="530"/>
      <c r="BR37" s="530"/>
      <c r="BS37" s="530"/>
      <c r="BT37" s="530"/>
      <c r="BU37" s="530"/>
      <c r="BV37" s="530"/>
      <c r="BW37" s="530"/>
      <c r="BX37" s="530"/>
      <c r="BY37" s="530"/>
      <c r="BZ37" s="530"/>
      <c r="CA37" s="530"/>
      <c r="CB37" s="530"/>
      <c r="CC37" s="530"/>
      <c r="CD37" s="530"/>
      <c r="CE37" s="530"/>
      <c r="CF37" s="530"/>
      <c r="CG37" s="530"/>
      <c r="CH37" s="530"/>
      <c r="CI37" s="530"/>
      <c r="CJ37" s="530"/>
      <c r="CK37" s="530"/>
      <c r="CL37" s="530"/>
      <c r="CM37" s="530"/>
      <c r="CN37" s="530"/>
      <c r="CO37" s="530"/>
      <c r="CP37" s="530"/>
      <c r="CQ37" s="530"/>
      <c r="CR37" s="530"/>
      <c r="CS37" s="530"/>
      <c r="CT37" s="530"/>
      <c r="CU37" s="530"/>
      <c r="CV37" s="530"/>
      <c r="CW37" s="530"/>
      <c r="CX37" s="530"/>
      <c r="CY37" s="530"/>
      <c r="CZ37" s="530"/>
      <c r="DA37" s="530"/>
      <c r="DB37" s="530"/>
      <c r="DC37" s="530"/>
      <c r="DD37" s="530"/>
      <c r="DE37" s="530"/>
      <c r="DF37" s="530"/>
      <c r="DG37" s="530"/>
      <c r="DH37" s="530"/>
      <c r="DI37" s="530"/>
      <c r="DJ37" s="530"/>
      <c r="DK37" s="530"/>
      <c r="DL37" s="530"/>
      <c r="DM37" s="530"/>
      <c r="DN37" s="530"/>
      <c r="DO37" s="530"/>
      <c r="DP37" s="530"/>
      <c r="DQ37" s="530"/>
      <c r="DR37" s="530"/>
      <c r="DS37" s="530"/>
      <c r="DT37" s="530"/>
      <c r="DU37" s="530"/>
      <c r="DV37" s="530"/>
      <c r="DW37" s="530"/>
      <c r="DX37" s="530"/>
      <c r="DY37" s="530"/>
      <c r="DZ37" s="530"/>
      <c r="EA37" s="530"/>
      <c r="EB37" s="530"/>
      <c r="EC37" s="530"/>
      <c r="ED37" s="530"/>
      <c r="EE37" s="530"/>
      <c r="EF37" s="530"/>
      <c r="EG37" s="530"/>
      <c r="EH37" s="530"/>
      <c r="EI37" s="530"/>
      <c r="EJ37" s="530"/>
      <c r="EK37" s="530"/>
      <c r="EL37" s="530"/>
      <c r="EM37" s="530"/>
      <c r="EN37" s="530"/>
      <c r="EO37" s="530"/>
      <c r="EP37" s="530"/>
      <c r="EQ37" s="530"/>
      <c r="ER37" s="530"/>
      <c r="ES37" s="530"/>
      <c r="ET37" s="530"/>
      <c r="EU37" s="530"/>
      <c r="EV37" s="530"/>
      <c r="EW37" s="530"/>
      <c r="EX37" s="530"/>
      <c r="EY37" s="530"/>
      <c r="EZ37" s="530"/>
      <c r="FA37" s="530"/>
      <c r="FB37" s="530"/>
      <c r="FC37" s="530"/>
      <c r="FD37" s="530"/>
      <c r="FE37" s="530"/>
      <c r="FF37" s="530"/>
      <c r="FG37" s="530"/>
      <c r="FH37" s="530"/>
      <c r="FI37" s="530"/>
      <c r="FJ37" s="530"/>
      <c r="FK37" s="530"/>
      <c r="FL37" s="530"/>
      <c r="FM37" s="530"/>
      <c r="FN37" s="530"/>
      <c r="FO37" s="530"/>
      <c r="FP37" s="530"/>
      <c r="FQ37" s="530"/>
      <c r="FR37" s="530"/>
      <c r="FS37" s="530"/>
      <c r="FT37" s="530"/>
      <c r="FU37" s="530"/>
      <c r="FV37" s="530"/>
      <c r="FW37" s="530"/>
      <c r="FX37" s="530"/>
      <c r="FY37" s="530"/>
      <c r="FZ37" s="530"/>
      <c r="GA37" s="530"/>
      <c r="GB37" s="530"/>
      <c r="GC37" s="530"/>
      <c r="GD37" s="530"/>
      <c r="GE37" s="530"/>
      <c r="GF37" s="530"/>
      <c r="GG37" s="530"/>
      <c r="GH37" s="530"/>
      <c r="GI37" s="530"/>
      <c r="GJ37" s="530"/>
      <c r="GK37" s="530"/>
      <c r="GL37" s="530"/>
      <c r="GM37" s="530"/>
      <c r="GN37" s="530"/>
      <c r="GO37" s="530"/>
      <c r="GP37" s="530"/>
      <c r="GQ37" s="530"/>
      <c r="GR37" s="530"/>
      <c r="GS37" s="530"/>
      <c r="GT37" s="530"/>
      <c r="GU37" s="530"/>
      <c r="GV37" s="530"/>
      <c r="GW37" s="530"/>
      <c r="GX37" s="530"/>
      <c r="GY37" s="530"/>
      <c r="GZ37" s="530"/>
      <c r="HA37" s="530"/>
      <c r="HB37" s="530"/>
      <c r="HC37" s="530"/>
      <c r="HD37" s="530"/>
      <c r="HE37" s="530"/>
      <c r="HF37" s="530"/>
      <c r="HG37" s="530"/>
      <c r="HH37" s="530"/>
      <c r="HI37" s="530"/>
      <c r="HJ37" s="530"/>
      <c r="HK37" s="530"/>
      <c r="HL37" s="530"/>
      <c r="HM37" s="530"/>
      <c r="HN37" s="530"/>
      <c r="HO37" s="530"/>
      <c r="HP37" s="530"/>
      <c r="HQ37" s="530"/>
      <c r="HR37" s="530"/>
      <c r="HS37" s="530"/>
      <c r="HT37" s="530"/>
      <c r="HU37" s="530"/>
      <c r="HV37" s="530"/>
      <c r="HW37" s="530"/>
      <c r="HX37" s="530"/>
      <c r="HY37" s="530"/>
      <c r="HZ37" s="530"/>
      <c r="IA37" s="530"/>
      <c r="IB37" s="530"/>
      <c r="IC37" s="530"/>
      <c r="ID37" s="530"/>
      <c r="IE37" s="530"/>
      <c r="IF37" s="530"/>
      <c r="IG37" s="530"/>
      <c r="IH37" s="530"/>
      <c r="II37" s="530"/>
      <c r="IJ37" s="530"/>
      <c r="IK37" s="530"/>
      <c r="IL37" s="530"/>
      <c r="IM37" s="530"/>
      <c r="IN37" s="530"/>
      <c r="IO37" s="530"/>
      <c r="IP37" s="530"/>
    </row>
    <row r="38" spans="1:250" s="539" customFormat="1">
      <c r="A38" s="530"/>
      <c r="B38" s="530"/>
      <c r="C38" s="530"/>
      <c r="D38" s="530"/>
      <c r="E38" s="530"/>
      <c r="F38" s="530"/>
      <c r="G38" s="530"/>
      <c r="H38" s="546"/>
      <c r="I38" s="546"/>
      <c r="J38" s="530"/>
      <c r="K38" s="530"/>
      <c r="L38" s="530"/>
      <c r="M38" s="530"/>
      <c r="N38" s="530"/>
      <c r="O38" s="530"/>
      <c r="P38" s="530"/>
      <c r="Q38" s="530"/>
      <c r="R38" s="530"/>
      <c r="S38" s="530"/>
      <c r="T38" s="530"/>
      <c r="U38" s="530"/>
      <c r="V38" s="530"/>
      <c r="W38" s="530"/>
      <c r="X38" s="530"/>
      <c r="Y38" s="530"/>
      <c r="Z38" s="530"/>
      <c r="AA38" s="530"/>
      <c r="AB38" s="530"/>
      <c r="AC38" s="530"/>
      <c r="AD38" s="530"/>
      <c r="AE38" s="530"/>
      <c r="AF38" s="530"/>
      <c r="AG38" s="530"/>
      <c r="AH38" s="530"/>
      <c r="AI38" s="530"/>
      <c r="AJ38" s="530"/>
      <c r="AK38" s="530"/>
      <c r="AL38" s="530"/>
      <c r="AM38" s="530"/>
      <c r="AN38" s="530"/>
      <c r="AO38" s="530"/>
      <c r="AP38" s="530"/>
      <c r="AQ38" s="530"/>
      <c r="AR38" s="530"/>
      <c r="AS38" s="530"/>
      <c r="AT38" s="530"/>
      <c r="AU38" s="530"/>
      <c r="AV38" s="530"/>
      <c r="AW38" s="530"/>
      <c r="AX38" s="530"/>
      <c r="AY38" s="530"/>
      <c r="AZ38" s="530"/>
      <c r="BA38" s="530"/>
      <c r="BB38" s="530"/>
      <c r="BC38" s="530"/>
      <c r="BD38" s="530"/>
      <c r="BE38" s="530"/>
      <c r="BF38" s="530"/>
      <c r="BG38" s="530"/>
      <c r="BH38" s="530"/>
      <c r="BI38" s="530"/>
      <c r="BJ38" s="530"/>
      <c r="BK38" s="530"/>
      <c r="BL38" s="530"/>
      <c r="BM38" s="530"/>
      <c r="BN38" s="530"/>
      <c r="BO38" s="530"/>
      <c r="BP38" s="530"/>
      <c r="BQ38" s="530"/>
      <c r="BR38" s="530"/>
      <c r="BS38" s="530"/>
      <c r="BT38" s="530"/>
      <c r="BU38" s="530"/>
      <c r="BV38" s="530"/>
      <c r="BW38" s="530"/>
      <c r="BX38" s="530"/>
      <c r="BY38" s="530"/>
      <c r="BZ38" s="530"/>
      <c r="CA38" s="530"/>
      <c r="CB38" s="530"/>
      <c r="CC38" s="530"/>
      <c r="CD38" s="530"/>
      <c r="CE38" s="530"/>
      <c r="CF38" s="530"/>
      <c r="CG38" s="530"/>
      <c r="CH38" s="530"/>
      <c r="CI38" s="530"/>
      <c r="CJ38" s="530"/>
      <c r="CK38" s="530"/>
      <c r="CL38" s="530"/>
      <c r="CM38" s="530"/>
      <c r="CN38" s="530"/>
      <c r="CO38" s="530"/>
      <c r="CP38" s="530"/>
      <c r="CQ38" s="530"/>
      <c r="CR38" s="530"/>
      <c r="CS38" s="530"/>
      <c r="CT38" s="530"/>
      <c r="CU38" s="530"/>
      <c r="CV38" s="530"/>
      <c r="CW38" s="530"/>
      <c r="CX38" s="530"/>
      <c r="CY38" s="530"/>
      <c r="CZ38" s="530"/>
      <c r="DA38" s="530"/>
      <c r="DB38" s="530"/>
      <c r="DC38" s="530"/>
      <c r="DD38" s="530"/>
      <c r="DE38" s="530"/>
      <c r="DF38" s="530"/>
      <c r="DG38" s="530"/>
      <c r="DH38" s="530"/>
      <c r="DI38" s="530"/>
      <c r="DJ38" s="530"/>
      <c r="DK38" s="530"/>
      <c r="DL38" s="530"/>
      <c r="DM38" s="530"/>
      <c r="DN38" s="530"/>
      <c r="DO38" s="530"/>
      <c r="DP38" s="530"/>
      <c r="DQ38" s="530"/>
      <c r="DR38" s="530"/>
      <c r="DS38" s="530"/>
      <c r="DT38" s="530"/>
      <c r="DU38" s="530"/>
      <c r="DV38" s="530"/>
      <c r="DW38" s="530"/>
      <c r="DX38" s="530"/>
      <c r="DY38" s="530"/>
      <c r="DZ38" s="530"/>
      <c r="EA38" s="530"/>
      <c r="EB38" s="530"/>
      <c r="EC38" s="530"/>
      <c r="ED38" s="530"/>
      <c r="EE38" s="530"/>
      <c r="EF38" s="530"/>
      <c r="EG38" s="530"/>
      <c r="EH38" s="530"/>
      <c r="EI38" s="530"/>
      <c r="EJ38" s="530"/>
      <c r="EK38" s="530"/>
      <c r="EL38" s="530"/>
      <c r="EM38" s="530"/>
      <c r="EN38" s="530"/>
      <c r="EO38" s="530"/>
      <c r="EP38" s="530"/>
      <c r="EQ38" s="530"/>
      <c r="ER38" s="530"/>
      <c r="ES38" s="530"/>
      <c r="ET38" s="530"/>
      <c r="EU38" s="530"/>
      <c r="EV38" s="530"/>
      <c r="EW38" s="530"/>
      <c r="EX38" s="530"/>
      <c r="EY38" s="530"/>
      <c r="EZ38" s="530"/>
      <c r="FA38" s="530"/>
      <c r="FB38" s="530"/>
      <c r="FC38" s="530"/>
      <c r="FD38" s="530"/>
      <c r="FE38" s="530"/>
      <c r="FF38" s="530"/>
      <c r="FG38" s="530"/>
      <c r="FH38" s="530"/>
      <c r="FI38" s="530"/>
      <c r="FJ38" s="530"/>
      <c r="FK38" s="530"/>
      <c r="FL38" s="530"/>
      <c r="FM38" s="530"/>
      <c r="FN38" s="530"/>
      <c r="FO38" s="530"/>
      <c r="FP38" s="530"/>
      <c r="FQ38" s="530"/>
      <c r="FR38" s="530"/>
      <c r="FS38" s="530"/>
      <c r="FT38" s="530"/>
      <c r="FU38" s="530"/>
      <c r="FV38" s="530"/>
      <c r="FW38" s="530"/>
      <c r="FX38" s="530"/>
      <c r="FY38" s="530"/>
      <c r="FZ38" s="530"/>
      <c r="GA38" s="530"/>
      <c r="GB38" s="530"/>
      <c r="GC38" s="530"/>
      <c r="GD38" s="530"/>
      <c r="GE38" s="530"/>
      <c r="GF38" s="530"/>
      <c r="GG38" s="530"/>
      <c r="GH38" s="530"/>
      <c r="GI38" s="530"/>
      <c r="GJ38" s="530"/>
      <c r="GK38" s="530"/>
      <c r="GL38" s="530"/>
      <c r="GM38" s="530"/>
      <c r="GN38" s="530"/>
      <c r="GO38" s="530"/>
      <c r="GP38" s="530"/>
      <c r="GQ38" s="530"/>
      <c r="GR38" s="530"/>
      <c r="GS38" s="530"/>
      <c r="GT38" s="530"/>
      <c r="GU38" s="530"/>
      <c r="GV38" s="530"/>
      <c r="GW38" s="530"/>
      <c r="GX38" s="530"/>
      <c r="GY38" s="530"/>
      <c r="GZ38" s="530"/>
      <c r="HA38" s="530"/>
      <c r="HB38" s="530"/>
      <c r="HC38" s="530"/>
      <c r="HD38" s="530"/>
      <c r="HE38" s="530"/>
      <c r="HF38" s="530"/>
      <c r="HG38" s="530"/>
      <c r="HH38" s="530"/>
      <c r="HI38" s="530"/>
      <c r="HJ38" s="530"/>
      <c r="HK38" s="530"/>
      <c r="HL38" s="530"/>
      <c r="HM38" s="530"/>
      <c r="HN38" s="530"/>
      <c r="HO38" s="530"/>
      <c r="HP38" s="530"/>
      <c r="HQ38" s="530"/>
      <c r="HR38" s="530"/>
      <c r="HS38" s="530"/>
      <c r="HT38" s="530"/>
      <c r="HU38" s="530"/>
      <c r="HV38" s="530"/>
      <c r="HW38" s="530"/>
      <c r="HX38" s="530"/>
      <c r="HY38" s="530"/>
      <c r="HZ38" s="530"/>
      <c r="IA38" s="530"/>
      <c r="IB38" s="530"/>
      <c r="IC38" s="530"/>
      <c r="ID38" s="530"/>
      <c r="IE38" s="530"/>
      <c r="IF38" s="530"/>
      <c r="IG38" s="530"/>
      <c r="IH38" s="530"/>
      <c r="II38" s="530"/>
      <c r="IJ38" s="530"/>
      <c r="IK38" s="530"/>
      <c r="IL38" s="530"/>
      <c r="IM38" s="530"/>
      <c r="IN38" s="530"/>
      <c r="IO38" s="530"/>
      <c r="IP38" s="530"/>
    </row>
    <row r="39" spans="1:250" s="539" customFormat="1">
      <c r="A39" s="530"/>
      <c r="B39" s="530"/>
      <c r="C39" s="530"/>
      <c r="D39" s="530"/>
      <c r="E39" s="530"/>
      <c r="F39" s="530"/>
      <c r="G39" s="530"/>
      <c r="H39" s="530"/>
      <c r="I39" s="530"/>
      <c r="J39" s="530"/>
      <c r="K39" s="530"/>
      <c r="L39" s="530"/>
      <c r="M39" s="530"/>
      <c r="N39" s="530"/>
      <c r="O39" s="530"/>
      <c r="P39" s="530"/>
      <c r="Q39" s="530"/>
      <c r="R39" s="530"/>
      <c r="S39" s="530"/>
      <c r="T39" s="530"/>
      <c r="U39" s="530"/>
      <c r="V39" s="530"/>
      <c r="W39" s="530"/>
      <c r="X39" s="530"/>
      <c r="Y39" s="530"/>
      <c r="Z39" s="530"/>
      <c r="AA39" s="530"/>
      <c r="AB39" s="530"/>
      <c r="AC39" s="530"/>
      <c r="AD39" s="530"/>
      <c r="AE39" s="530"/>
      <c r="AF39" s="530"/>
      <c r="AG39" s="530"/>
      <c r="AH39" s="530"/>
      <c r="AI39" s="530"/>
      <c r="AJ39" s="530"/>
      <c r="AK39" s="530"/>
      <c r="AL39" s="530"/>
      <c r="AM39" s="530"/>
      <c r="AN39" s="530"/>
      <c r="AO39" s="530"/>
      <c r="AP39" s="530"/>
      <c r="AQ39" s="530"/>
      <c r="AR39" s="530"/>
      <c r="AS39" s="530"/>
      <c r="AT39" s="530"/>
      <c r="AU39" s="530"/>
      <c r="AV39" s="530"/>
      <c r="AW39" s="530"/>
      <c r="AX39" s="530"/>
      <c r="AY39" s="530"/>
      <c r="AZ39" s="530"/>
      <c r="BA39" s="530"/>
      <c r="BB39" s="530"/>
      <c r="BC39" s="530"/>
      <c r="BD39" s="530"/>
      <c r="BE39" s="530"/>
      <c r="BF39" s="530"/>
      <c r="BG39" s="530"/>
      <c r="BH39" s="530"/>
      <c r="BI39" s="530"/>
      <c r="BJ39" s="530"/>
      <c r="BK39" s="530"/>
      <c r="BL39" s="530"/>
      <c r="BM39" s="530"/>
      <c r="BN39" s="530"/>
      <c r="BO39" s="530"/>
      <c r="BP39" s="530"/>
      <c r="BQ39" s="530"/>
      <c r="BR39" s="530"/>
      <c r="BS39" s="530"/>
      <c r="BT39" s="530"/>
      <c r="BU39" s="530"/>
      <c r="BV39" s="530"/>
      <c r="BW39" s="530"/>
      <c r="BX39" s="530"/>
      <c r="BY39" s="530"/>
      <c r="BZ39" s="530"/>
      <c r="CA39" s="530"/>
      <c r="CB39" s="530"/>
      <c r="CC39" s="530"/>
      <c r="CD39" s="530"/>
      <c r="CE39" s="530"/>
      <c r="CF39" s="530"/>
      <c r="CG39" s="530"/>
      <c r="CH39" s="530"/>
      <c r="CI39" s="530"/>
      <c r="CJ39" s="530"/>
      <c r="CK39" s="530"/>
      <c r="CL39" s="530"/>
      <c r="CM39" s="530"/>
      <c r="CN39" s="530"/>
      <c r="CO39" s="530"/>
      <c r="CP39" s="530"/>
      <c r="CQ39" s="530"/>
      <c r="CR39" s="530"/>
      <c r="CS39" s="530"/>
      <c r="CT39" s="530"/>
      <c r="CU39" s="530"/>
      <c r="CV39" s="530"/>
      <c r="CW39" s="530"/>
      <c r="CX39" s="530"/>
      <c r="CY39" s="530"/>
      <c r="CZ39" s="530"/>
      <c r="DA39" s="530"/>
      <c r="DB39" s="530"/>
      <c r="DC39" s="530"/>
      <c r="DD39" s="530"/>
      <c r="DE39" s="530"/>
      <c r="DF39" s="530"/>
      <c r="DG39" s="530"/>
      <c r="DH39" s="530"/>
      <c r="DI39" s="530"/>
      <c r="DJ39" s="530"/>
      <c r="DK39" s="530"/>
      <c r="DL39" s="530"/>
      <c r="DM39" s="530"/>
      <c r="DN39" s="530"/>
      <c r="DO39" s="530"/>
      <c r="DP39" s="530"/>
      <c r="DQ39" s="530"/>
      <c r="DR39" s="530"/>
      <c r="DS39" s="530"/>
      <c r="DT39" s="530"/>
      <c r="DU39" s="530"/>
      <c r="DV39" s="530"/>
      <c r="DW39" s="530"/>
      <c r="DX39" s="530"/>
      <c r="DY39" s="530"/>
      <c r="DZ39" s="530"/>
      <c r="EA39" s="530"/>
      <c r="EB39" s="530"/>
      <c r="EC39" s="530"/>
      <c r="ED39" s="530"/>
      <c r="EE39" s="530"/>
      <c r="EF39" s="530"/>
      <c r="EG39" s="530"/>
      <c r="EH39" s="530"/>
      <c r="EI39" s="530"/>
      <c r="EJ39" s="530"/>
      <c r="EK39" s="530"/>
      <c r="EL39" s="530"/>
      <c r="EM39" s="530"/>
      <c r="EN39" s="530"/>
      <c r="EO39" s="530"/>
      <c r="EP39" s="530"/>
      <c r="EQ39" s="530"/>
      <c r="ER39" s="530"/>
      <c r="ES39" s="530"/>
      <c r="ET39" s="530"/>
      <c r="EU39" s="530"/>
      <c r="EV39" s="530"/>
      <c r="EW39" s="530"/>
      <c r="EX39" s="530"/>
      <c r="EY39" s="530"/>
      <c r="EZ39" s="530"/>
      <c r="FA39" s="530"/>
      <c r="FB39" s="530"/>
      <c r="FC39" s="530"/>
      <c r="FD39" s="530"/>
      <c r="FE39" s="530"/>
      <c r="FF39" s="530"/>
      <c r="FG39" s="530"/>
      <c r="FH39" s="530"/>
      <c r="FI39" s="530"/>
      <c r="FJ39" s="530"/>
      <c r="FK39" s="530"/>
      <c r="FL39" s="530"/>
      <c r="FM39" s="530"/>
      <c r="FN39" s="530"/>
      <c r="FO39" s="530"/>
      <c r="FP39" s="530"/>
      <c r="FQ39" s="530"/>
      <c r="FR39" s="530"/>
      <c r="FS39" s="530"/>
      <c r="FT39" s="530"/>
      <c r="FU39" s="530"/>
      <c r="FV39" s="530"/>
      <c r="FW39" s="530"/>
      <c r="FX39" s="530"/>
      <c r="FY39" s="530"/>
      <c r="FZ39" s="530"/>
      <c r="GA39" s="530"/>
      <c r="GB39" s="530"/>
      <c r="GC39" s="530"/>
      <c r="GD39" s="530"/>
      <c r="GE39" s="530"/>
      <c r="GF39" s="530"/>
      <c r="GG39" s="530"/>
      <c r="GH39" s="530"/>
      <c r="GI39" s="530"/>
      <c r="GJ39" s="530"/>
      <c r="GK39" s="530"/>
      <c r="GL39" s="530"/>
      <c r="GM39" s="530"/>
      <c r="GN39" s="530"/>
      <c r="GO39" s="530"/>
      <c r="GP39" s="530"/>
      <c r="GQ39" s="530"/>
      <c r="GR39" s="530"/>
      <c r="GS39" s="530"/>
      <c r="GT39" s="530"/>
      <c r="GU39" s="530"/>
      <c r="GV39" s="530"/>
      <c r="GW39" s="530"/>
      <c r="GX39" s="530"/>
      <c r="GY39" s="530"/>
      <c r="GZ39" s="530"/>
      <c r="HA39" s="530"/>
      <c r="HB39" s="530"/>
      <c r="HC39" s="530"/>
      <c r="HD39" s="530"/>
      <c r="HE39" s="530"/>
      <c r="HF39" s="530"/>
      <c r="HG39" s="530"/>
      <c r="HH39" s="530"/>
      <c r="HI39" s="530"/>
      <c r="HJ39" s="530"/>
      <c r="HK39" s="530"/>
      <c r="HL39" s="530"/>
      <c r="HM39" s="530"/>
      <c r="HN39" s="530"/>
      <c r="HO39" s="530"/>
      <c r="HP39" s="530"/>
      <c r="HQ39" s="530"/>
      <c r="HR39" s="530"/>
      <c r="HS39" s="530"/>
      <c r="HT39" s="530"/>
      <c r="HU39" s="530"/>
      <c r="HV39" s="530"/>
      <c r="HW39" s="530"/>
      <c r="HX39" s="530"/>
      <c r="HY39" s="530"/>
      <c r="HZ39" s="530"/>
      <c r="IA39" s="530"/>
      <c r="IB39" s="530"/>
      <c r="IC39" s="530"/>
      <c r="ID39" s="530"/>
      <c r="IE39" s="530"/>
      <c r="IF39" s="530"/>
      <c r="IG39" s="530"/>
      <c r="IH39" s="530"/>
      <c r="II39" s="530"/>
      <c r="IJ39" s="530"/>
      <c r="IK39" s="530"/>
      <c r="IL39" s="530"/>
      <c r="IM39" s="530"/>
      <c r="IN39" s="530"/>
      <c r="IO39" s="530"/>
      <c r="IP39" s="530"/>
    </row>
    <row r="40" spans="1:250" s="539" customFormat="1">
      <c r="A40" s="530"/>
      <c r="B40" s="530"/>
      <c r="C40" s="530"/>
      <c r="D40" s="530"/>
      <c r="E40" s="530"/>
      <c r="F40" s="530"/>
      <c r="G40" s="530"/>
      <c r="H40" s="530"/>
      <c r="I40" s="530"/>
      <c r="J40" s="530"/>
      <c r="K40" s="530"/>
      <c r="L40" s="530"/>
      <c r="M40" s="530"/>
      <c r="N40" s="530"/>
      <c r="O40" s="530"/>
      <c r="P40" s="530"/>
      <c r="Q40" s="530"/>
      <c r="R40" s="530"/>
      <c r="S40" s="530"/>
      <c r="T40" s="530"/>
      <c r="U40" s="530"/>
      <c r="V40" s="530"/>
      <c r="W40" s="530"/>
      <c r="X40" s="530"/>
      <c r="Y40" s="530"/>
      <c r="Z40" s="530"/>
      <c r="AA40" s="530"/>
      <c r="AB40" s="530"/>
      <c r="AC40" s="530"/>
      <c r="AD40" s="530"/>
      <c r="AE40" s="530"/>
      <c r="AF40" s="530"/>
      <c r="AG40" s="530"/>
      <c r="AH40" s="530"/>
      <c r="AI40" s="530"/>
      <c r="AJ40" s="530"/>
      <c r="AK40" s="530"/>
      <c r="AL40" s="530"/>
      <c r="AM40" s="530"/>
      <c r="AN40" s="530"/>
      <c r="AO40" s="530"/>
      <c r="AP40" s="530"/>
      <c r="AQ40" s="530"/>
      <c r="AR40" s="530"/>
      <c r="AS40" s="530"/>
      <c r="AT40" s="530"/>
      <c r="AU40" s="530"/>
      <c r="AV40" s="530"/>
      <c r="AW40" s="530"/>
      <c r="AX40" s="530"/>
      <c r="AY40" s="530"/>
      <c r="AZ40" s="530"/>
      <c r="BA40" s="530"/>
      <c r="BB40" s="530"/>
      <c r="BC40" s="530"/>
      <c r="BD40" s="530"/>
      <c r="BE40" s="530"/>
      <c r="BF40" s="530"/>
      <c r="BG40" s="530"/>
      <c r="BH40" s="530"/>
      <c r="BI40" s="530"/>
      <c r="BJ40" s="530"/>
      <c r="BK40" s="530"/>
      <c r="BL40" s="530"/>
      <c r="BM40" s="530"/>
      <c r="BN40" s="530"/>
      <c r="BO40" s="530"/>
      <c r="BP40" s="530"/>
      <c r="BQ40" s="530"/>
      <c r="BR40" s="530"/>
      <c r="BS40" s="530"/>
      <c r="BT40" s="530"/>
      <c r="BU40" s="530"/>
      <c r="BV40" s="530"/>
      <c r="BW40" s="530"/>
      <c r="BX40" s="530"/>
      <c r="BY40" s="530"/>
      <c r="BZ40" s="530"/>
      <c r="CA40" s="530"/>
      <c r="CB40" s="530"/>
      <c r="CC40" s="530"/>
      <c r="CD40" s="530"/>
      <c r="CE40" s="530"/>
      <c r="CF40" s="530"/>
      <c r="CG40" s="530"/>
      <c r="CH40" s="530"/>
      <c r="CI40" s="530"/>
      <c r="CJ40" s="530"/>
      <c r="CK40" s="530"/>
      <c r="CL40" s="530"/>
      <c r="CM40" s="530"/>
      <c r="CN40" s="530"/>
      <c r="CO40" s="530"/>
      <c r="CP40" s="530"/>
      <c r="CQ40" s="530"/>
      <c r="CR40" s="530"/>
      <c r="CS40" s="530"/>
      <c r="CT40" s="530"/>
      <c r="CU40" s="530"/>
      <c r="CV40" s="530"/>
      <c r="CW40" s="530"/>
      <c r="CX40" s="530"/>
      <c r="CY40" s="530"/>
      <c r="CZ40" s="530"/>
      <c r="DA40" s="530"/>
      <c r="DB40" s="530"/>
      <c r="DC40" s="530"/>
      <c r="DD40" s="530"/>
      <c r="DE40" s="530"/>
      <c r="DF40" s="530"/>
      <c r="DG40" s="530"/>
      <c r="DH40" s="530"/>
      <c r="DI40" s="530"/>
      <c r="DJ40" s="530"/>
      <c r="DK40" s="530"/>
      <c r="DL40" s="530"/>
      <c r="DM40" s="530"/>
      <c r="DN40" s="530"/>
      <c r="DO40" s="530"/>
      <c r="DP40" s="530"/>
      <c r="DQ40" s="530"/>
      <c r="DR40" s="530"/>
      <c r="DS40" s="530"/>
      <c r="DT40" s="530"/>
      <c r="DU40" s="530"/>
      <c r="DV40" s="530"/>
      <c r="DW40" s="530"/>
      <c r="DX40" s="530"/>
      <c r="DY40" s="530"/>
      <c r="DZ40" s="530"/>
      <c r="EA40" s="530"/>
      <c r="EB40" s="530"/>
      <c r="EC40" s="530"/>
      <c r="ED40" s="530"/>
      <c r="EE40" s="530"/>
      <c r="EF40" s="530"/>
      <c r="EG40" s="530"/>
      <c r="EH40" s="530"/>
      <c r="EI40" s="530"/>
      <c r="EJ40" s="530"/>
      <c r="EK40" s="530"/>
      <c r="EL40" s="530"/>
      <c r="EM40" s="530"/>
      <c r="EN40" s="530"/>
      <c r="EO40" s="530"/>
      <c r="EP40" s="530"/>
      <c r="EQ40" s="530"/>
      <c r="ER40" s="530"/>
      <c r="ES40" s="530"/>
      <c r="ET40" s="530"/>
      <c r="EU40" s="530"/>
      <c r="EV40" s="530"/>
      <c r="EW40" s="530"/>
      <c r="EX40" s="530"/>
      <c r="EY40" s="530"/>
      <c r="EZ40" s="530"/>
      <c r="FA40" s="530"/>
      <c r="FB40" s="530"/>
      <c r="FC40" s="530"/>
      <c r="FD40" s="530"/>
      <c r="FE40" s="530"/>
      <c r="FF40" s="530"/>
      <c r="FG40" s="530"/>
      <c r="FH40" s="530"/>
      <c r="FI40" s="530"/>
      <c r="FJ40" s="530"/>
      <c r="FK40" s="530"/>
      <c r="FL40" s="530"/>
      <c r="FM40" s="530"/>
      <c r="FN40" s="530"/>
      <c r="FO40" s="530"/>
      <c r="FP40" s="530"/>
      <c r="FQ40" s="530"/>
      <c r="FR40" s="530"/>
      <c r="FS40" s="530"/>
      <c r="FT40" s="530"/>
      <c r="FU40" s="530"/>
      <c r="FV40" s="530"/>
      <c r="FW40" s="530"/>
      <c r="FX40" s="530"/>
      <c r="FY40" s="530"/>
      <c r="FZ40" s="530"/>
      <c r="GA40" s="530"/>
      <c r="GB40" s="530"/>
      <c r="GC40" s="530"/>
      <c r="GD40" s="530"/>
      <c r="GE40" s="530"/>
      <c r="GF40" s="530"/>
      <c r="GG40" s="530"/>
      <c r="GH40" s="530"/>
      <c r="GI40" s="530"/>
      <c r="GJ40" s="530"/>
      <c r="GK40" s="530"/>
      <c r="GL40" s="530"/>
      <c r="GM40" s="530"/>
      <c r="GN40" s="530"/>
      <c r="GO40" s="530"/>
      <c r="GP40" s="530"/>
      <c r="GQ40" s="530"/>
      <c r="GR40" s="530"/>
      <c r="GS40" s="530"/>
      <c r="GT40" s="530"/>
      <c r="GU40" s="530"/>
      <c r="GV40" s="530"/>
      <c r="GW40" s="530"/>
      <c r="GX40" s="530"/>
      <c r="GY40" s="530"/>
      <c r="GZ40" s="530"/>
      <c r="HA40" s="530"/>
      <c r="HB40" s="530"/>
      <c r="HC40" s="530"/>
      <c r="HD40" s="530"/>
      <c r="HE40" s="530"/>
      <c r="HF40" s="530"/>
      <c r="HG40" s="530"/>
      <c r="HH40" s="530"/>
      <c r="HI40" s="530"/>
      <c r="HJ40" s="530"/>
      <c r="HK40" s="530"/>
      <c r="HL40" s="530"/>
      <c r="HM40" s="530"/>
      <c r="HN40" s="530"/>
      <c r="HO40" s="530"/>
      <c r="HP40" s="530"/>
      <c r="HQ40" s="530"/>
      <c r="HR40" s="530"/>
      <c r="HS40" s="530"/>
      <c r="HT40" s="530"/>
      <c r="HU40" s="530"/>
      <c r="HV40" s="530"/>
      <c r="HW40" s="530"/>
      <c r="HX40" s="530"/>
      <c r="HY40" s="530"/>
      <c r="HZ40" s="530"/>
      <c r="IA40" s="530"/>
      <c r="IB40" s="530"/>
      <c r="IC40" s="530"/>
      <c r="ID40" s="530"/>
      <c r="IE40" s="530"/>
      <c r="IF40" s="530"/>
      <c r="IG40" s="530"/>
      <c r="IH40" s="530"/>
      <c r="II40" s="530"/>
      <c r="IJ40" s="530"/>
      <c r="IK40" s="530"/>
      <c r="IL40" s="530"/>
      <c r="IM40" s="530"/>
      <c r="IN40" s="530"/>
      <c r="IO40" s="530"/>
      <c r="IP40" s="530"/>
    </row>
  </sheetData>
  <mergeCells count="2">
    <mergeCell ref="B1:C1"/>
    <mergeCell ref="A35:E35"/>
  </mergeCells>
  <pageMargins left="0.62812500000000004" right="0.30937500000000001" top="0.48" bottom="0.75" header="0.15" footer="0.3"/>
  <pageSetup orientation="portrait" r:id="rId1"/>
  <headerFooter>
    <oddHeader xml:space="preserve">&amp;CMAS BILLS RESULTS 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26FF-ECE3-4310-8669-2D646B836A24}">
  <sheetPr>
    <tabColor indexed="54"/>
  </sheetPr>
  <dimension ref="A1:BJ96"/>
  <sheetViews>
    <sheetView workbookViewId="0">
      <selection activeCell="B8" sqref="B8"/>
    </sheetView>
  </sheetViews>
  <sheetFormatPr defaultColWidth="11" defaultRowHeight="14.25"/>
  <cols>
    <col min="1" max="1" width="49.28515625" style="1" customWidth="1"/>
    <col min="2" max="2" width="29.5703125" style="2" bestFit="1" customWidth="1"/>
    <col min="3" max="3" width="20.425781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15">
      <c r="A4" s="6" t="s">
        <v>4</v>
      </c>
      <c r="B4" s="10">
        <v>1</v>
      </c>
      <c r="C4" s="9"/>
    </row>
    <row r="5" spans="1:10">
      <c r="B5" s="37" t="s">
        <v>855</v>
      </c>
      <c r="C5" s="9"/>
    </row>
    <row r="6" spans="1:10" ht="23.25">
      <c r="A6" s="11" t="s">
        <v>5</v>
      </c>
      <c r="B6" s="38">
        <v>22</v>
      </c>
      <c r="C6" s="9"/>
      <c r="D6" t="s">
        <v>846</v>
      </c>
    </row>
    <row r="7" spans="1:10" ht="18">
      <c r="A7" s="12" t="s">
        <v>6</v>
      </c>
      <c r="B7" s="507"/>
      <c r="C7" s="9"/>
    </row>
    <row r="8" spans="1:10" ht="23.25">
      <c r="A8" s="40" t="s">
        <v>76</v>
      </c>
      <c r="B8" s="41">
        <v>316750.74</v>
      </c>
      <c r="C8" s="14" t="s">
        <v>857</v>
      </c>
    </row>
    <row r="9" spans="1:10" ht="23.25">
      <c r="A9" s="40" t="s">
        <v>333</v>
      </c>
      <c r="B9" s="41">
        <v>295435.52000000002</v>
      </c>
      <c r="C9" s="14"/>
    </row>
    <row r="10" spans="1:10" ht="23.25">
      <c r="A10" s="40" t="s">
        <v>334</v>
      </c>
      <c r="B10" s="41">
        <f>B9</f>
        <v>295435.52000000002</v>
      </c>
      <c r="C10" s="14"/>
    </row>
    <row r="11" spans="1:10" ht="23.25">
      <c r="A11" s="40" t="s">
        <v>90</v>
      </c>
      <c r="B11" s="41">
        <v>106682</v>
      </c>
      <c r="C11" s="14"/>
    </row>
    <row r="12" spans="1:10" ht="23.25">
      <c r="A12" s="40" t="s">
        <v>335</v>
      </c>
      <c r="B12" s="41">
        <v>0</v>
      </c>
      <c r="C12" s="14"/>
      <c r="E12">
        <v>58</v>
      </c>
    </row>
    <row r="13" spans="1:10" ht="23.25">
      <c r="A13" s="40" t="s">
        <v>336</v>
      </c>
      <c r="B13" s="41">
        <v>22.6</v>
      </c>
      <c r="C13" s="9"/>
      <c r="D13" s="16"/>
      <c r="E13" s="16"/>
      <c r="F13" s="16"/>
      <c r="G13" s="16"/>
    </row>
    <row r="14" spans="1:10" ht="23.25">
      <c r="A14" s="40" t="s">
        <v>337</v>
      </c>
      <c r="B14" s="41">
        <v>22.6</v>
      </c>
      <c r="C14" s="9"/>
      <c r="D14" s="16"/>
      <c r="E14" s="16"/>
      <c r="F14" s="16"/>
      <c r="G14" s="16"/>
    </row>
    <row r="15" spans="1:10" ht="23.25">
      <c r="A15" s="40" t="s">
        <v>338</v>
      </c>
      <c r="B15" s="45">
        <v>419894</v>
      </c>
      <c r="C15" s="9"/>
      <c r="D15" s="16"/>
      <c r="E15" s="16"/>
      <c r="F15" s="16"/>
      <c r="G15" s="16"/>
    </row>
    <row r="16" spans="1:10" ht="23.25">
      <c r="A16" s="40" t="s">
        <v>339</v>
      </c>
      <c r="B16" s="45">
        <v>129782</v>
      </c>
      <c r="C16" s="9"/>
      <c r="D16" s="16"/>
      <c r="E16" s="16"/>
      <c r="F16" s="16"/>
      <c r="G16" s="16"/>
    </row>
    <row r="17" spans="1:7" ht="23.25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3.25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3.25">
      <c r="A19" s="40" t="s">
        <v>342</v>
      </c>
      <c r="B19" s="45">
        <v>0</v>
      </c>
      <c r="C19" s="9"/>
    </row>
    <row r="20" spans="1:7" ht="23.25">
      <c r="A20" s="40" t="s">
        <v>343</v>
      </c>
      <c r="B20" s="45">
        <v>4488</v>
      </c>
      <c r="C20" s="9"/>
    </row>
    <row r="21" spans="1:7" ht="23.25">
      <c r="A21" s="40" t="s">
        <v>72</v>
      </c>
      <c r="B21" s="41">
        <v>0</v>
      </c>
      <c r="C21" s="9"/>
    </row>
    <row r="22" spans="1:7" ht="23.25">
      <c r="A22" s="40" t="s">
        <v>344</v>
      </c>
      <c r="B22" s="41">
        <v>0</v>
      </c>
      <c r="C22" s="9"/>
    </row>
    <row r="23" spans="1:7" ht="23.25">
      <c r="A23" s="158" t="s">
        <v>71</v>
      </c>
      <c r="B23" s="160">
        <v>249121.23</v>
      </c>
      <c r="C23" s="160">
        <f>B23-B41</f>
        <v>142439.23000000001</v>
      </c>
      <c r="F23" s="43">
        <f>+B23-B41</f>
        <v>142439.23000000001</v>
      </c>
    </row>
    <row r="24" spans="1:7" ht="23.25">
      <c r="A24" s="158" t="s">
        <v>81</v>
      </c>
      <c r="B24" s="160">
        <v>227806.01</v>
      </c>
      <c r="C24" s="162"/>
    </row>
    <row r="25" spans="1:7" ht="23.25">
      <c r="A25" s="40" t="s">
        <v>345</v>
      </c>
      <c r="B25" s="41">
        <v>21315.22</v>
      </c>
      <c r="C25" s="9"/>
    </row>
    <row r="26" spans="1:7" ht="23.25">
      <c r="A26" s="40" t="s">
        <v>346</v>
      </c>
      <c r="B26" s="44">
        <v>0.93269999999999997</v>
      </c>
      <c r="C26" s="9"/>
    </row>
    <row r="27" spans="1:7" ht="23.25">
      <c r="A27" s="40" t="s">
        <v>347</v>
      </c>
      <c r="B27" s="44">
        <f>B26</f>
        <v>0.93269999999999997</v>
      </c>
      <c r="C27" s="9"/>
    </row>
    <row r="28" spans="1:7" ht="23.25">
      <c r="A28" s="40" t="s">
        <v>348</v>
      </c>
      <c r="B28" s="45">
        <v>0</v>
      </c>
      <c r="C28" s="20"/>
    </row>
    <row r="29" spans="1:7" ht="23.25">
      <c r="A29" s="40" t="s">
        <v>349</v>
      </c>
      <c r="B29" s="45">
        <v>0</v>
      </c>
      <c r="C29" s="9"/>
    </row>
    <row r="30" spans="1:7" ht="23.25">
      <c r="A30" s="40" t="s">
        <v>350</v>
      </c>
      <c r="B30" s="45">
        <v>0</v>
      </c>
      <c r="C30" s="9"/>
    </row>
    <row r="31" spans="1:7" ht="23.25">
      <c r="A31" s="40" t="s">
        <v>351</v>
      </c>
      <c r="B31" s="45">
        <v>0</v>
      </c>
      <c r="C31" s="24"/>
    </row>
    <row r="32" spans="1:7" ht="23.25">
      <c r="A32" s="40" t="s">
        <v>352</v>
      </c>
      <c r="B32" s="45">
        <v>17</v>
      </c>
      <c r="C32" s="9"/>
    </row>
    <row r="33" spans="1:62" ht="23.25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3.25">
      <c r="A34" s="40" t="s">
        <v>354</v>
      </c>
      <c r="B34" s="45">
        <v>124</v>
      </c>
      <c r="C34" s="27"/>
    </row>
    <row r="35" spans="1:62" ht="23.25">
      <c r="A35" s="40" t="s">
        <v>355</v>
      </c>
      <c r="B35" s="45">
        <f>B34</f>
        <v>124</v>
      </c>
      <c r="C35" s="9"/>
    </row>
    <row r="36" spans="1:62" ht="23.25">
      <c r="A36" s="40" t="s">
        <v>356</v>
      </c>
      <c r="B36" s="45">
        <v>1417</v>
      </c>
      <c r="C36" s="9"/>
    </row>
    <row r="37" spans="1:62" ht="23.25">
      <c r="A37" s="40" t="s">
        <v>357</v>
      </c>
      <c r="B37" s="44">
        <v>0</v>
      </c>
      <c r="C37" s="9"/>
    </row>
    <row r="38" spans="1:62" ht="23.25">
      <c r="A38" s="40" t="s">
        <v>358</v>
      </c>
      <c r="B38" s="41">
        <v>0</v>
      </c>
      <c r="C38" s="9"/>
    </row>
    <row r="39" spans="1:62" ht="23.25">
      <c r="A39" s="40" t="s">
        <v>359</v>
      </c>
      <c r="B39" s="41">
        <v>0</v>
      </c>
      <c r="C39" s="9"/>
    </row>
    <row r="40" spans="1:62" ht="23.25">
      <c r="A40" s="40" t="s">
        <v>360</v>
      </c>
      <c r="B40" s="44">
        <v>0</v>
      </c>
      <c r="C40" s="9"/>
    </row>
    <row r="41" spans="1:62" ht="23.25">
      <c r="A41" s="165" t="s">
        <v>361</v>
      </c>
      <c r="B41" s="166">
        <v>106682</v>
      </c>
      <c r="C41" s="24"/>
    </row>
    <row r="42" spans="1:62" ht="23.25">
      <c r="A42" s="40" t="s">
        <v>362</v>
      </c>
      <c r="B42" s="133">
        <v>2858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3.25">
      <c r="B43" s="167">
        <v>0</v>
      </c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3.25">
      <c r="A44" s="168"/>
      <c r="B44" s="16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168" t="s">
        <v>371</v>
      </c>
      <c r="B45" s="169"/>
    </row>
    <row r="46" spans="1:62" ht="23.25">
      <c r="A46" s="170" t="s">
        <v>372</v>
      </c>
      <c r="B46" s="169" t="s">
        <v>373</v>
      </c>
    </row>
    <row r="47" spans="1:62" ht="23.25">
      <c r="A47" s="40" t="s">
        <v>374</v>
      </c>
      <c r="B47" s="47">
        <v>0</v>
      </c>
    </row>
    <row r="48" spans="1:62" ht="23.25">
      <c r="A48" s="40" t="s">
        <v>375</v>
      </c>
      <c r="B48" s="47">
        <v>0</v>
      </c>
    </row>
    <row r="49" spans="1:3" ht="23.25">
      <c r="A49" s="171" t="s">
        <v>376</v>
      </c>
      <c r="B49" s="47">
        <v>8625.1</v>
      </c>
    </row>
    <row r="50" spans="1:3" ht="23.25">
      <c r="A50" s="40" t="s">
        <v>377</v>
      </c>
      <c r="B50" s="47">
        <v>8000</v>
      </c>
    </row>
    <row r="51" spans="1:3" ht="23.25">
      <c r="A51" s="40" t="s">
        <v>378</v>
      </c>
      <c r="B51" s="47">
        <v>0</v>
      </c>
    </row>
    <row r="52" spans="1:3" ht="23.25">
      <c r="A52" s="40" t="s">
        <v>379</v>
      </c>
      <c r="B52" s="47">
        <v>0</v>
      </c>
      <c r="C52" s="172"/>
    </row>
    <row r="53" spans="1:3" ht="23.25">
      <c r="A53" s="40" t="s">
        <v>380</v>
      </c>
      <c r="B53" s="47">
        <v>0</v>
      </c>
    </row>
    <row r="54" spans="1:3" ht="23.25">
      <c r="A54" s="40" t="s">
        <v>381</v>
      </c>
      <c r="B54" s="47">
        <v>0</v>
      </c>
    </row>
    <row r="55" spans="1:3" ht="23.25">
      <c r="A55" s="40" t="s">
        <v>382</v>
      </c>
      <c r="B55" s="47">
        <v>0</v>
      </c>
    </row>
    <row r="56" spans="1:3" ht="23.25">
      <c r="A56" s="40" t="s">
        <v>383</v>
      </c>
      <c r="B56" s="47">
        <v>0</v>
      </c>
    </row>
    <row r="57" spans="1:3" ht="23.25">
      <c r="A57" s="40" t="s">
        <v>384</v>
      </c>
      <c r="B57" s="47">
        <v>0</v>
      </c>
    </row>
    <row r="58" spans="1:3" ht="23.25">
      <c r="A58" s="173"/>
      <c r="B58" s="46"/>
    </row>
    <row r="59" spans="1:3" ht="23.25">
      <c r="A59" s="170" t="s">
        <v>385</v>
      </c>
      <c r="B59" s="174" t="s">
        <v>386</v>
      </c>
    </row>
    <row r="60" spans="1:3" ht="23.25">
      <c r="A60" s="40" t="s">
        <v>374</v>
      </c>
      <c r="B60" s="47">
        <v>6</v>
      </c>
    </row>
    <row r="61" spans="1:3" ht="23.25">
      <c r="A61" s="40" t="s">
        <v>375</v>
      </c>
      <c r="B61" s="47">
        <v>809.9</v>
      </c>
    </row>
    <row r="62" spans="1:3" ht="23.25">
      <c r="A62" s="171" t="s">
        <v>376</v>
      </c>
      <c r="B62" s="47">
        <v>126.1</v>
      </c>
    </row>
    <row r="63" spans="1:3" ht="23.25">
      <c r="A63" s="40" t="s">
        <v>377</v>
      </c>
      <c r="B63" s="47">
        <v>120</v>
      </c>
    </row>
    <row r="64" spans="1:3" ht="23.25">
      <c r="A64" s="40" t="s">
        <v>378</v>
      </c>
      <c r="B64" s="47">
        <v>0</v>
      </c>
    </row>
    <row r="65" spans="1:2" ht="23.25">
      <c r="A65" s="40" t="s">
        <v>379</v>
      </c>
      <c r="B65" s="47">
        <v>0</v>
      </c>
    </row>
    <row r="66" spans="1:2" ht="23.25">
      <c r="A66" s="40" t="s">
        <v>380</v>
      </c>
      <c r="B66" s="47">
        <v>0</v>
      </c>
    </row>
    <row r="67" spans="1:2" ht="23.25">
      <c r="A67" s="40" t="s">
        <v>381</v>
      </c>
      <c r="B67" s="47">
        <v>0</v>
      </c>
    </row>
    <row r="68" spans="1:2" ht="23.25">
      <c r="A68" s="40" t="s">
        <v>382</v>
      </c>
      <c r="B68" s="47">
        <v>0</v>
      </c>
    </row>
    <row r="69" spans="1:2" ht="23.25">
      <c r="A69" s="40" t="s">
        <v>383</v>
      </c>
      <c r="B69" s="47">
        <v>191.96</v>
      </c>
    </row>
    <row r="70" spans="1:2" ht="23.25">
      <c r="A70" s="40" t="s">
        <v>384</v>
      </c>
      <c r="B70" s="47">
        <v>120.56</v>
      </c>
    </row>
    <row r="71" spans="1:2" ht="23.25">
      <c r="A71" s="173"/>
      <c r="B71" s="46"/>
    </row>
    <row r="72" spans="1:2" ht="23.25">
      <c r="A72" s="170" t="s">
        <v>387</v>
      </c>
      <c r="B72" s="174" t="s">
        <v>388</v>
      </c>
    </row>
    <row r="73" spans="1:2" ht="23.25">
      <c r="A73" s="40" t="s">
        <v>374</v>
      </c>
      <c r="B73" s="47">
        <v>13</v>
      </c>
    </row>
    <row r="74" spans="1:2" ht="23.25">
      <c r="A74" s="40" t="s">
        <v>375</v>
      </c>
      <c r="B74" s="47">
        <v>570.84</v>
      </c>
    </row>
    <row r="75" spans="1:2" ht="23.25">
      <c r="A75" s="171" t="s">
        <v>376</v>
      </c>
      <c r="B75" s="47">
        <v>47.93</v>
      </c>
    </row>
    <row r="76" spans="1:2" ht="23.25">
      <c r="A76" s="40" t="s">
        <v>377</v>
      </c>
      <c r="B76" s="47">
        <v>36</v>
      </c>
    </row>
    <row r="77" spans="1:2" ht="23.25">
      <c r="A77" s="40" t="s">
        <v>378</v>
      </c>
      <c r="B77" s="47">
        <v>0</v>
      </c>
    </row>
    <row r="78" spans="1:2" ht="23.25">
      <c r="A78" s="40" t="s">
        <v>379</v>
      </c>
      <c r="B78" s="47">
        <v>0</v>
      </c>
    </row>
    <row r="79" spans="1:2" ht="23.25">
      <c r="A79" s="40" t="s">
        <v>380</v>
      </c>
      <c r="B79" s="47">
        <v>0</v>
      </c>
    </row>
    <row r="80" spans="1:2" ht="23.25">
      <c r="A80" s="40" t="s">
        <v>381</v>
      </c>
      <c r="B80" s="47">
        <v>0</v>
      </c>
    </row>
    <row r="81" spans="1:2" ht="23.25">
      <c r="A81" s="40" t="s">
        <v>382</v>
      </c>
      <c r="B81" s="47">
        <v>0</v>
      </c>
    </row>
    <row r="82" spans="1:2" ht="23.25">
      <c r="A82" s="40" t="s">
        <v>383</v>
      </c>
      <c r="B82" s="47">
        <v>120</v>
      </c>
    </row>
    <row r="83" spans="1:2" ht="23.25">
      <c r="A83" s="40" t="s">
        <v>384</v>
      </c>
      <c r="B83" s="47">
        <v>36.340000000000003</v>
      </c>
    </row>
    <row r="84" spans="1:2" ht="23.25">
      <c r="A84" s="173"/>
      <c r="B84" s="46"/>
    </row>
    <row r="85" spans="1:2" ht="23.25">
      <c r="A85" s="170" t="s">
        <v>389</v>
      </c>
      <c r="B85" s="174" t="s">
        <v>390</v>
      </c>
    </row>
    <row r="86" spans="1:2" ht="23.25">
      <c r="A86" s="40" t="s">
        <v>374</v>
      </c>
      <c r="B86" s="47">
        <v>35</v>
      </c>
    </row>
    <row r="87" spans="1:2" ht="23.25">
      <c r="A87" s="40" t="s">
        <v>375</v>
      </c>
      <c r="B87" s="47">
        <v>308.74</v>
      </c>
    </row>
    <row r="88" spans="1:2" ht="23.25">
      <c r="A88" s="171" t="s">
        <v>376</v>
      </c>
      <c r="B88" s="47">
        <v>6.01</v>
      </c>
    </row>
    <row r="89" spans="1:2" ht="23.25">
      <c r="A89" s="40" t="s">
        <v>377</v>
      </c>
      <c r="B89" s="47">
        <v>6</v>
      </c>
    </row>
    <row r="90" spans="1:2" ht="23.25">
      <c r="A90" s="40" t="s">
        <v>378</v>
      </c>
      <c r="B90" s="47">
        <v>0</v>
      </c>
    </row>
    <row r="91" spans="1:2" ht="23.25">
      <c r="A91" s="40" t="s">
        <v>379</v>
      </c>
      <c r="B91" s="47">
        <v>0</v>
      </c>
    </row>
    <row r="92" spans="1:2" ht="23.25">
      <c r="A92" s="40" t="s">
        <v>380</v>
      </c>
      <c r="B92" s="47">
        <v>0</v>
      </c>
    </row>
    <row r="93" spans="1:2" ht="23.25">
      <c r="A93" s="40" t="s">
        <v>381</v>
      </c>
      <c r="B93" s="47">
        <v>0</v>
      </c>
    </row>
    <row r="94" spans="1:2" ht="23.25">
      <c r="A94" s="40" t="s">
        <v>382</v>
      </c>
      <c r="B94" s="47">
        <v>0</v>
      </c>
    </row>
    <row r="95" spans="1:2" ht="23.25">
      <c r="A95" s="40" t="s">
        <v>383</v>
      </c>
      <c r="B95" s="47">
        <v>35.9</v>
      </c>
    </row>
    <row r="96" spans="1:2" ht="23.25">
      <c r="A96" s="40" t="s">
        <v>384</v>
      </c>
      <c r="B96" s="47">
        <v>6.06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8D98-8DC6-44DD-9368-E666EA01CDA6}">
  <sheetPr>
    <tabColor indexed="54"/>
  </sheetPr>
  <dimension ref="A1"/>
  <sheetViews>
    <sheetView workbookViewId="0">
      <selection activeCell="O14" sqref="O14"/>
    </sheetView>
  </sheetViews>
  <sheetFormatPr defaultRowHeight="12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0D87-F3B5-47CA-99F0-67ECD15BB85D}">
  <dimension ref="A3:AS46"/>
  <sheetViews>
    <sheetView topLeftCell="A25" workbookViewId="0">
      <selection activeCell="I33" sqref="I33"/>
    </sheetView>
  </sheetViews>
  <sheetFormatPr defaultColWidth="9.140625" defaultRowHeight="12"/>
  <cols>
    <col min="1" max="1" width="30.28515625" style="180" customWidth="1"/>
    <col min="2" max="2" width="15.140625" style="180" customWidth="1"/>
    <col min="3" max="3" width="9.28515625" style="180" customWidth="1"/>
    <col min="4" max="5" width="20.42578125" style="180" hidden="1" customWidth="1"/>
    <col min="6" max="7" width="20.42578125" style="180" customWidth="1"/>
    <col min="8" max="8" width="17" style="180" customWidth="1"/>
    <col min="9" max="9" width="22" style="180" customWidth="1"/>
    <col min="10" max="10" width="19.42578125" style="180" customWidth="1"/>
    <col min="11" max="11" width="11.42578125" style="180" customWidth="1"/>
    <col min="12" max="12" width="18.5703125" style="180" customWidth="1"/>
    <col min="13" max="13" width="18.140625" style="180" customWidth="1"/>
    <col min="14" max="258" width="11.42578125" style="180" customWidth="1"/>
    <col min="259" max="16384" width="9.140625" style="180"/>
  </cols>
  <sheetData>
    <row r="3" spans="1:45" s="187" customFormat="1" ht="26.25" thickBot="1">
      <c r="A3" s="198" t="s">
        <v>410</v>
      </c>
      <c r="B3" s="198" t="s">
        <v>411</v>
      </c>
      <c r="C3" s="198" t="s">
        <v>412</v>
      </c>
      <c r="D3" s="198" t="s">
        <v>417</v>
      </c>
      <c r="E3" s="199" t="s">
        <v>183</v>
      </c>
      <c r="F3" s="199" t="s">
        <v>872</v>
      </c>
      <c r="G3" s="199" t="s">
        <v>44</v>
      </c>
      <c r="H3" s="200" t="s">
        <v>236</v>
      </c>
      <c r="I3" s="200" t="s">
        <v>213</v>
      </c>
      <c r="J3" s="201" t="s">
        <v>421</v>
      </c>
    </row>
    <row r="4" spans="1:45" s="212" customFormat="1">
      <c r="A4" s="183" t="s">
        <v>252</v>
      </c>
      <c r="B4" s="183" t="s">
        <v>111</v>
      </c>
      <c r="C4" s="204">
        <v>12</v>
      </c>
      <c r="D4" s="191">
        <f>'12'!B18</f>
        <v>12817000</v>
      </c>
      <c r="E4" s="185">
        <f>'12'!B19</f>
        <v>8238799</v>
      </c>
      <c r="F4" s="185">
        <f>'12'!B8</f>
        <v>62518685</v>
      </c>
      <c r="G4" s="191"/>
      <c r="H4" s="191"/>
      <c r="I4" s="191">
        <f>'12'!B10</f>
        <v>59552569</v>
      </c>
      <c r="J4" s="191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 spans="1:45">
      <c r="A5" s="183" t="s">
        <v>600</v>
      </c>
      <c r="B5" s="183" t="s">
        <v>111</v>
      </c>
      <c r="C5" s="204">
        <v>13</v>
      </c>
      <c r="D5" s="191">
        <f>'13N'!B18</f>
        <v>52750</v>
      </c>
      <c r="E5" s="185">
        <f>'13N'!B19</f>
        <v>61375</v>
      </c>
      <c r="F5" s="185">
        <f>'13N'!B8</f>
        <v>231711</v>
      </c>
      <c r="G5" s="191"/>
      <c r="H5" s="191"/>
      <c r="I5" s="191">
        <f>'13N'!B9</f>
        <v>227976</v>
      </c>
      <c r="J5" s="191"/>
    </row>
    <row r="6" spans="1:45">
      <c r="A6" s="183" t="s">
        <v>223</v>
      </c>
      <c r="B6" s="183" t="s">
        <v>111</v>
      </c>
      <c r="C6" s="204">
        <v>15</v>
      </c>
      <c r="D6" s="191">
        <f>'15'!B18</f>
        <v>43701000</v>
      </c>
      <c r="E6" s="185">
        <f>'15'!B19</f>
        <v>30956527</v>
      </c>
      <c r="F6" s="185">
        <f>'15'!B8</f>
        <v>259140885</v>
      </c>
      <c r="G6" s="191"/>
      <c r="H6" s="191"/>
      <c r="I6" s="191">
        <f>'15'!B9</f>
        <v>246822753</v>
      </c>
      <c r="J6" s="191"/>
    </row>
    <row r="7" spans="1:45">
      <c r="A7" s="183" t="s">
        <v>867</v>
      </c>
      <c r="B7" s="183" t="s">
        <v>111</v>
      </c>
      <c r="C7" s="204">
        <v>16</v>
      </c>
      <c r="D7" s="185">
        <f>'16N'!B18</f>
        <v>348750</v>
      </c>
      <c r="E7" s="185">
        <f>'16N'!B19</f>
        <v>2272528</v>
      </c>
      <c r="F7" s="185">
        <f>'16N'!B8</f>
        <v>3499758</v>
      </c>
      <c r="G7" s="185"/>
      <c r="H7" s="191"/>
      <c r="I7" s="191">
        <f>'16N'!B9</f>
        <v>3336618</v>
      </c>
      <c r="J7" s="191"/>
    </row>
    <row r="8" spans="1:45">
      <c r="A8" s="183" t="s">
        <v>441</v>
      </c>
      <c r="B8" s="183" t="s">
        <v>111</v>
      </c>
      <c r="C8" s="204">
        <v>18</v>
      </c>
      <c r="D8" s="191">
        <f>'18N'!B29</f>
        <v>283750</v>
      </c>
      <c r="E8" s="185">
        <f>'18N'!B30</f>
        <v>247255</v>
      </c>
      <c r="F8" s="185">
        <f>'18N'!B8</f>
        <v>574309</v>
      </c>
      <c r="G8" s="185"/>
      <c r="H8" s="191"/>
      <c r="I8" s="191">
        <f>'18N'!B10</f>
        <v>532921</v>
      </c>
      <c r="J8" s="191"/>
    </row>
    <row r="9" spans="1:45">
      <c r="A9" s="183" t="s">
        <v>460</v>
      </c>
      <c r="B9" s="183" t="s">
        <v>111</v>
      </c>
      <c r="C9" s="204">
        <v>26</v>
      </c>
      <c r="D9" s="186">
        <f>'26N '!B18</f>
        <v>263000</v>
      </c>
      <c r="E9" s="185">
        <f>'26N '!B19</f>
        <v>315742</v>
      </c>
      <c r="F9" s="185">
        <f>'26N '!B8</f>
        <v>1418908</v>
      </c>
      <c r="G9" s="191"/>
      <c r="H9" s="191"/>
      <c r="I9" s="191">
        <f>'26N '!B9</f>
        <v>1245127</v>
      </c>
      <c r="J9" s="191"/>
    </row>
    <row r="10" spans="1:45">
      <c r="A10" s="183" t="s">
        <v>605</v>
      </c>
      <c r="B10" s="183" t="s">
        <v>111</v>
      </c>
      <c r="C10" s="204">
        <v>27</v>
      </c>
      <c r="D10" s="186">
        <f>'27'!B27</f>
        <v>22538301</v>
      </c>
      <c r="E10" s="185">
        <f>'27'!B30</f>
        <v>7689801</v>
      </c>
      <c r="F10" s="185">
        <f>'27'!B8</f>
        <v>85000551</v>
      </c>
      <c r="G10" s="191"/>
      <c r="H10" s="191"/>
      <c r="I10" s="191">
        <f>'27'!B10</f>
        <v>79303306</v>
      </c>
      <c r="J10" s="191"/>
    </row>
    <row r="11" spans="1:45">
      <c r="A11" s="183" t="s">
        <v>363</v>
      </c>
      <c r="B11" s="183" t="s">
        <v>111</v>
      </c>
      <c r="C11" s="204">
        <v>28</v>
      </c>
      <c r="D11" s="185">
        <f>'28'!B18</f>
        <v>3958300</v>
      </c>
      <c r="E11" s="185">
        <f>'28'!B19</f>
        <v>3490370</v>
      </c>
      <c r="F11" s="185">
        <f>'28'!B8</f>
        <v>18345801</v>
      </c>
      <c r="G11" s="185"/>
      <c r="H11" s="191"/>
      <c r="I11" s="191">
        <f>'28'!B9</f>
        <v>17448191</v>
      </c>
      <c r="J11" s="191"/>
    </row>
    <row r="12" spans="1:45">
      <c r="A12" s="183" t="s">
        <v>838</v>
      </c>
      <c r="B12" s="183" t="s">
        <v>111</v>
      </c>
      <c r="C12" s="204">
        <v>34</v>
      </c>
      <c r="D12" s="185">
        <v>0</v>
      </c>
      <c r="E12" s="185">
        <f>'34'!B43</f>
        <v>458712</v>
      </c>
      <c r="F12" s="185">
        <f>'34'!B28</f>
        <v>2277533</v>
      </c>
      <c r="G12" s="185"/>
      <c r="H12" s="191"/>
      <c r="I12" s="191">
        <f>'34'!B29</f>
        <v>2146067</v>
      </c>
      <c r="J12" s="191"/>
    </row>
    <row r="13" spans="1:45">
      <c r="A13" s="183" t="s">
        <v>838</v>
      </c>
      <c r="B13" s="183" t="s">
        <v>111</v>
      </c>
      <c r="C13" s="204">
        <v>35</v>
      </c>
      <c r="D13" s="186">
        <v>0</v>
      </c>
      <c r="E13" s="185">
        <f>'35'!B43</f>
        <v>222875</v>
      </c>
      <c r="F13" s="185">
        <f>'35'!B28</f>
        <v>1562764</v>
      </c>
      <c r="G13" s="191"/>
      <c r="H13" s="191"/>
      <c r="I13" s="191">
        <f>'35'!B29</f>
        <v>1466807</v>
      </c>
      <c r="J13" s="191"/>
    </row>
    <row r="14" spans="1:45">
      <c r="A14" s="207" t="s">
        <v>606</v>
      </c>
      <c r="B14" s="183" t="s">
        <v>868</v>
      </c>
      <c r="C14" s="204">
        <v>40</v>
      </c>
      <c r="D14" s="185">
        <f>'40'!B26</f>
        <v>3116190</v>
      </c>
      <c r="E14" s="185">
        <f>'40'!B27</f>
        <v>1379111.85</v>
      </c>
      <c r="F14" s="185">
        <f>'40'!B8</f>
        <v>17484784.030000001</v>
      </c>
      <c r="G14" s="191"/>
      <c r="H14" s="191"/>
      <c r="I14" s="191">
        <f>'40'!B13</f>
        <v>16717389.4</v>
      </c>
      <c r="J14" s="191"/>
    </row>
    <row r="15" spans="1:45">
      <c r="A15" s="180" t="s">
        <v>607</v>
      </c>
      <c r="B15" s="183" t="s">
        <v>868</v>
      </c>
      <c r="C15" s="204">
        <v>41</v>
      </c>
      <c r="D15" s="186">
        <f>'41'!B25</f>
        <v>3199850</v>
      </c>
      <c r="E15" s="185">
        <f>'41'!B26</f>
        <v>1285442.1399999999</v>
      </c>
      <c r="F15" s="185">
        <f>'41'!B8</f>
        <v>17527422.949999999</v>
      </c>
      <c r="G15" s="191"/>
      <c r="H15" s="191"/>
      <c r="I15" s="191">
        <f>'41'!B13</f>
        <v>16663022.76</v>
      </c>
      <c r="J15" s="191"/>
    </row>
    <row r="16" spans="1:45">
      <c r="A16" s="183" t="s">
        <v>659</v>
      </c>
      <c r="B16" s="183" t="s">
        <v>1</v>
      </c>
      <c r="C16" s="204">
        <v>42</v>
      </c>
      <c r="D16" s="185">
        <f>'42'!B26</f>
        <v>3713170</v>
      </c>
      <c r="E16" s="185">
        <f>'42'!B27</f>
        <v>1485892.55</v>
      </c>
      <c r="F16" s="185">
        <f>'42'!B8</f>
        <v>19838935.359999999</v>
      </c>
      <c r="G16" s="185"/>
      <c r="H16" s="191"/>
      <c r="I16" s="191">
        <f>'42'!B13</f>
        <v>18973931.57</v>
      </c>
      <c r="J16" s="191"/>
    </row>
    <row r="17" spans="1:10">
      <c r="A17" s="202" t="s">
        <v>607</v>
      </c>
      <c r="B17" s="183" t="s">
        <v>868</v>
      </c>
      <c r="C17" s="204">
        <v>43</v>
      </c>
      <c r="D17" s="185">
        <f>'43'!B26</f>
        <v>3055780</v>
      </c>
      <c r="E17" s="185">
        <f>'43'!B27</f>
        <v>1665674.65</v>
      </c>
      <c r="F17" s="185">
        <f>'43'!B8</f>
        <v>17267146.359999999</v>
      </c>
      <c r="G17" s="191"/>
      <c r="H17" s="191"/>
      <c r="I17" s="191">
        <f>'43'!B13</f>
        <v>16402433.550000001</v>
      </c>
      <c r="J17" s="191"/>
    </row>
    <row r="18" spans="1:10">
      <c r="A18" s="183" t="s">
        <v>861</v>
      </c>
      <c r="B18" s="183" t="s">
        <v>70</v>
      </c>
      <c r="C18" s="204">
        <v>48</v>
      </c>
      <c r="D18" s="191">
        <f>'48N'!B41</f>
        <v>286</v>
      </c>
      <c r="E18" s="185">
        <f>'48N'!C23</f>
        <v>2014.1399999999999</v>
      </c>
      <c r="F18" s="185">
        <f>'48N'!B8</f>
        <v>3248.62</v>
      </c>
      <c r="G18" s="185"/>
      <c r="H18" s="191"/>
      <c r="I18" s="191">
        <f>'48N'!B9</f>
        <v>2914.63</v>
      </c>
      <c r="J18" s="191"/>
    </row>
    <row r="19" spans="1:10">
      <c r="A19" s="183" t="s">
        <v>611</v>
      </c>
      <c r="B19" s="183" t="s">
        <v>70</v>
      </c>
      <c r="C19" s="204">
        <v>49</v>
      </c>
      <c r="D19" s="191">
        <f>'49N'!B41</f>
        <v>35339</v>
      </c>
      <c r="E19" s="185">
        <f>'49N'!C23</f>
        <v>26774.879999999997</v>
      </c>
      <c r="F19" s="185">
        <f>'49N'!B8</f>
        <v>91267.12</v>
      </c>
      <c r="G19" s="185"/>
      <c r="H19" s="191"/>
      <c r="I19" s="191">
        <f>'49N'!B9</f>
        <v>74861.17</v>
      </c>
      <c r="J19" s="191"/>
    </row>
    <row r="20" spans="1:10">
      <c r="A20" s="183" t="s">
        <v>610</v>
      </c>
      <c r="B20" s="183" t="s">
        <v>70</v>
      </c>
      <c r="C20" s="204">
        <v>50</v>
      </c>
      <c r="D20" s="191">
        <f>'50N'!B41</f>
        <v>19031</v>
      </c>
      <c r="E20" s="185">
        <f>'50N'!C23</f>
        <v>32781.64</v>
      </c>
      <c r="F20" s="185">
        <f>'50N'!B8</f>
        <v>64312.98</v>
      </c>
      <c r="G20" s="185"/>
      <c r="H20" s="191"/>
      <c r="I20" s="191">
        <f>'50N'!B9</f>
        <v>62353.25</v>
      </c>
      <c r="J20" s="191"/>
    </row>
    <row r="21" spans="1:10">
      <c r="A21" s="183" t="s">
        <v>448</v>
      </c>
      <c r="B21" s="183" t="s">
        <v>70</v>
      </c>
      <c r="C21" s="204">
        <v>55</v>
      </c>
      <c r="D21" s="191">
        <f>'55N'!B41</f>
        <v>0</v>
      </c>
      <c r="E21" s="185">
        <f>'55N'!C23</f>
        <v>413.58</v>
      </c>
      <c r="F21" s="185">
        <f>'55N'!B8</f>
        <v>254</v>
      </c>
      <c r="G21" s="185"/>
      <c r="H21" s="191"/>
      <c r="I21" s="191">
        <f>'55N'!B10</f>
        <v>142.4</v>
      </c>
      <c r="J21" s="191"/>
    </row>
    <row r="22" spans="1:10">
      <c r="A22" s="180" t="s">
        <v>332</v>
      </c>
      <c r="B22" s="183" t="s">
        <v>70</v>
      </c>
      <c r="C22" s="204">
        <v>57</v>
      </c>
      <c r="D22" s="186">
        <f>'57'!B41</f>
        <v>0</v>
      </c>
      <c r="E22" s="185">
        <f>'57'!C23</f>
        <v>1481.57</v>
      </c>
      <c r="F22" s="185">
        <f>'57'!B8</f>
        <v>1079.78</v>
      </c>
      <c r="G22" s="191"/>
      <c r="H22" s="191"/>
      <c r="I22" s="191">
        <f>'57'!B10</f>
        <v>1008.05</v>
      </c>
      <c r="J22" s="191"/>
    </row>
    <row r="23" spans="1:10">
      <c r="A23" s="183" t="s">
        <v>862</v>
      </c>
      <c r="B23" s="183" t="s">
        <v>70</v>
      </c>
      <c r="C23" s="204">
        <v>58</v>
      </c>
      <c r="D23" s="185">
        <f>'58'!B42</f>
        <v>0</v>
      </c>
      <c r="E23" s="185">
        <f>'58'!C24</f>
        <v>3139.21</v>
      </c>
      <c r="F23" s="185">
        <f>'58'!B8</f>
        <v>8426.18</v>
      </c>
      <c r="G23" s="191"/>
      <c r="H23" s="191"/>
      <c r="I23" s="205">
        <f>'58'!B11</f>
        <v>7826.14</v>
      </c>
      <c r="J23" s="191"/>
    </row>
    <row r="24" spans="1:10">
      <c r="A24" s="183" t="s">
        <v>440</v>
      </c>
      <c r="B24" s="183" t="s">
        <v>70</v>
      </c>
      <c r="C24" s="204">
        <v>59</v>
      </c>
      <c r="D24" s="191">
        <f>'59'!B42</f>
        <v>0</v>
      </c>
      <c r="E24" s="185">
        <f>'59'!C24</f>
        <v>3204.92</v>
      </c>
      <c r="F24" s="185">
        <f>'59'!B8</f>
        <v>3424.44</v>
      </c>
      <c r="G24" s="185"/>
      <c r="H24" s="191"/>
      <c r="I24" s="191">
        <f>'59'!B11</f>
        <v>2920.62</v>
      </c>
      <c r="J24" s="191"/>
    </row>
    <row r="25" spans="1:10">
      <c r="A25" s="183" t="s">
        <v>475</v>
      </c>
      <c r="B25" s="183" t="s">
        <v>70</v>
      </c>
      <c r="C25" s="204">
        <v>60</v>
      </c>
      <c r="D25" s="191">
        <f>'60N'!B41</f>
        <v>0</v>
      </c>
      <c r="E25" s="185">
        <f>'60N'!C23</f>
        <v>904.48</v>
      </c>
      <c r="F25" s="185">
        <f>'60N'!B8</f>
        <v>1016.33</v>
      </c>
      <c r="G25" s="185"/>
      <c r="H25" s="191"/>
      <c r="I25" s="191">
        <f>'60N'!B10</f>
        <v>988.17</v>
      </c>
      <c r="J25" s="191"/>
    </row>
    <row r="26" spans="1:10">
      <c r="A26" s="183" t="s">
        <v>853</v>
      </c>
      <c r="B26" s="183" t="s">
        <v>70</v>
      </c>
      <c r="C26" s="204">
        <v>61</v>
      </c>
      <c r="D26" s="191">
        <f>'61N'!B41</f>
        <v>0</v>
      </c>
      <c r="E26" s="185">
        <f>'61N'!C23</f>
        <v>800.73</v>
      </c>
      <c r="F26" s="185">
        <f>'61N'!B8</f>
        <v>729.21</v>
      </c>
      <c r="G26" s="185"/>
      <c r="H26" s="191"/>
      <c r="I26" s="191">
        <f>'61N'!B10</f>
        <v>881.2</v>
      </c>
      <c r="J26" s="191"/>
    </row>
    <row r="27" spans="1:10">
      <c r="A27" s="202" t="s">
        <v>843</v>
      </c>
      <c r="B27" s="183" t="s">
        <v>829</v>
      </c>
      <c r="C27" s="204">
        <v>91</v>
      </c>
      <c r="D27" s="185">
        <f>'91'!B28</f>
        <v>148748</v>
      </c>
      <c r="E27" s="185">
        <f>'91'!B12</f>
        <v>157813.96</v>
      </c>
      <c r="F27" s="185">
        <f>'91'!B13</f>
        <v>1058066.49</v>
      </c>
      <c r="G27" s="191"/>
      <c r="H27" s="191"/>
      <c r="I27" s="191">
        <f>'91'!B14</f>
        <v>1004415.66</v>
      </c>
      <c r="J27" s="191"/>
    </row>
    <row r="28" spans="1:10">
      <c r="A28" s="180" t="s">
        <v>431</v>
      </c>
      <c r="B28" s="183" t="s">
        <v>829</v>
      </c>
      <c r="C28" s="204">
        <v>92</v>
      </c>
      <c r="D28" s="186">
        <f>'92'!B28</f>
        <v>127211</v>
      </c>
      <c r="E28" s="185">
        <f>'92'!B12</f>
        <v>111154.69</v>
      </c>
      <c r="F28" s="185">
        <f>'92'!B13</f>
        <v>975486.61</v>
      </c>
      <c r="G28" s="191"/>
      <c r="H28" s="191"/>
      <c r="I28" s="191">
        <f>'92'!B14</f>
        <v>919053.12</v>
      </c>
      <c r="J28" s="191"/>
    </row>
    <row r="29" spans="1:10">
      <c r="A29" s="183" t="s">
        <v>870</v>
      </c>
      <c r="B29" s="183" t="s">
        <v>829</v>
      </c>
      <c r="C29" s="204">
        <v>93</v>
      </c>
      <c r="D29" s="191">
        <f>'93'!B28</f>
        <v>16373</v>
      </c>
      <c r="E29" s="185">
        <f>'93'!B12</f>
        <v>8373.77</v>
      </c>
      <c r="F29" s="185">
        <f>'93'!B13</f>
        <v>85250.14</v>
      </c>
      <c r="G29" s="191"/>
      <c r="H29" s="191"/>
      <c r="I29" s="191">
        <f>'93'!B14</f>
        <v>79315.009999999995</v>
      </c>
      <c r="J29" s="191"/>
    </row>
    <row r="30" spans="1:10">
      <c r="A30" s="183" t="s">
        <v>869</v>
      </c>
      <c r="B30" s="183" t="s">
        <v>829</v>
      </c>
      <c r="C30" s="204">
        <v>94</v>
      </c>
      <c r="D30" s="185">
        <f>'94'!B28</f>
        <v>25646</v>
      </c>
      <c r="E30" s="185">
        <f>'94'!B12</f>
        <v>25076.81</v>
      </c>
      <c r="F30" s="185">
        <f>'94'!B13</f>
        <v>147287.92000000001</v>
      </c>
      <c r="G30" s="185"/>
      <c r="H30" s="191"/>
      <c r="I30" s="191">
        <f>'94'!B14</f>
        <v>139870.43</v>
      </c>
      <c r="J30" s="191"/>
    </row>
    <row r="31" spans="1:10">
      <c r="A31" s="180" t="s">
        <v>70</v>
      </c>
      <c r="B31" s="183" t="s">
        <v>829</v>
      </c>
      <c r="C31" s="204">
        <v>95</v>
      </c>
      <c r="D31" s="186">
        <f>'95'!B28</f>
        <v>146458</v>
      </c>
      <c r="E31" s="185">
        <f>'95'!B12</f>
        <v>59733.71</v>
      </c>
      <c r="F31" s="185">
        <f>'95'!B13</f>
        <v>600383.9</v>
      </c>
      <c r="G31" s="191"/>
      <c r="H31" s="191"/>
      <c r="I31" s="191">
        <f>'95'!B14</f>
        <v>561183.48</v>
      </c>
      <c r="J31" s="191"/>
    </row>
    <row r="32" spans="1:10">
      <c r="A32" s="202" t="s">
        <v>752</v>
      </c>
      <c r="B32" s="183" t="s">
        <v>829</v>
      </c>
      <c r="C32" s="204">
        <v>96</v>
      </c>
      <c r="D32" s="185">
        <f>'96'!B28</f>
        <v>87795</v>
      </c>
      <c r="E32" s="185">
        <f>'96'!B12</f>
        <v>137285.75</v>
      </c>
      <c r="F32" s="185">
        <f>'96'!B13</f>
        <v>634558.74</v>
      </c>
      <c r="G32" s="191"/>
      <c r="H32" s="191"/>
      <c r="I32" s="191">
        <f>'96'!B14</f>
        <v>5765873.5300000003</v>
      </c>
      <c r="J32" s="191"/>
    </row>
    <row r="33" spans="1:13">
      <c r="A33" s="202" t="s">
        <v>610</v>
      </c>
      <c r="B33" s="202" t="s">
        <v>70</v>
      </c>
      <c r="C33" s="203">
        <v>101</v>
      </c>
      <c r="D33" s="191">
        <f>'101'!B41</f>
        <v>29577</v>
      </c>
      <c r="E33" s="191">
        <f>'101'!C23</f>
        <v>22107</v>
      </c>
      <c r="F33" s="191">
        <f>'101'!B8</f>
        <v>120157.84</v>
      </c>
      <c r="G33" s="191"/>
      <c r="H33" s="191"/>
      <c r="I33" s="191">
        <f>'101'!B10</f>
        <v>121344.36</v>
      </c>
      <c r="J33" s="191"/>
    </row>
    <row r="34" spans="1:13">
      <c r="A34" s="183" t="s">
        <v>611</v>
      </c>
      <c r="B34" s="183" t="s">
        <v>70</v>
      </c>
      <c r="C34" s="204">
        <v>102</v>
      </c>
      <c r="D34" s="191">
        <f>'102'!B41</f>
        <v>51660</v>
      </c>
      <c r="E34" s="191">
        <f>'102'!C23</f>
        <v>51707.119999999995</v>
      </c>
      <c r="F34" s="191">
        <f>'102'!B8</f>
        <v>262883.34000000003</v>
      </c>
      <c r="G34" s="191"/>
      <c r="H34" s="191"/>
      <c r="I34" s="191">
        <f>'102'!B10</f>
        <v>249557.36</v>
      </c>
      <c r="J34" s="191"/>
    </row>
    <row r="35" spans="1:13">
      <c r="A35" s="183" t="s">
        <v>609</v>
      </c>
      <c r="B35" s="183" t="s">
        <v>70</v>
      </c>
      <c r="C35" s="204">
        <v>103</v>
      </c>
      <c r="D35" s="191">
        <f>'103'!B41</f>
        <v>5111</v>
      </c>
      <c r="E35" s="185">
        <f>'103'!C23</f>
        <v>4243.67</v>
      </c>
      <c r="F35" s="185">
        <f>'103'!B8</f>
        <v>15326.74</v>
      </c>
      <c r="G35" s="185"/>
      <c r="H35" s="191"/>
      <c r="I35" s="191">
        <f>'103'!B10</f>
        <v>13279.5</v>
      </c>
      <c r="J35" s="191"/>
      <c r="K35" s="192"/>
    </row>
    <row r="36" spans="1:13">
      <c r="A36" s="202" t="s">
        <v>863</v>
      </c>
      <c r="B36" s="183" t="s">
        <v>864</v>
      </c>
      <c r="C36" s="204">
        <v>111</v>
      </c>
      <c r="D36" s="185">
        <f>'111'!B30</f>
        <v>1095813</v>
      </c>
      <c r="E36" s="185">
        <f>'111'!B31</f>
        <v>737217.66</v>
      </c>
      <c r="F36" s="185">
        <f>'111'!B8</f>
        <v>7996478.6299999999</v>
      </c>
      <c r="G36" s="191"/>
      <c r="H36" s="191"/>
      <c r="I36" s="191">
        <f>'111'!B13</f>
        <v>7586630.0300000003</v>
      </c>
      <c r="J36" s="191"/>
    </row>
    <row r="37" spans="1:13">
      <c r="A37" s="180" t="s">
        <v>863</v>
      </c>
      <c r="B37" s="183" t="s">
        <v>864</v>
      </c>
      <c r="C37" s="204">
        <v>112</v>
      </c>
      <c r="D37" s="186">
        <f>'112'!B30</f>
        <v>851714</v>
      </c>
      <c r="E37" s="185">
        <f>'112'!B31</f>
        <v>679874.32</v>
      </c>
      <c r="F37" s="185">
        <f>'112'!B8</f>
        <v>6219054.2800000003</v>
      </c>
      <c r="G37" s="191"/>
      <c r="H37" s="191"/>
      <c r="I37" s="191">
        <f>'112'!B13</f>
        <v>5985294.7999999998</v>
      </c>
      <c r="J37" s="191"/>
    </row>
    <row r="38" spans="1:13">
      <c r="A38" s="183" t="s">
        <v>863</v>
      </c>
      <c r="B38" s="183" t="s">
        <v>864</v>
      </c>
      <c r="C38" s="204">
        <v>113</v>
      </c>
      <c r="D38" s="186">
        <f>'113'!B30</f>
        <v>977092</v>
      </c>
      <c r="E38" s="185">
        <f>'113'!B31</f>
        <v>896713.58</v>
      </c>
      <c r="F38" s="185">
        <f>'113'!B8</f>
        <v>6847121.3700000001</v>
      </c>
      <c r="G38" s="191"/>
      <c r="H38" s="191"/>
      <c r="I38" s="191">
        <f>'113'!B13</f>
        <v>6585498.9199999999</v>
      </c>
      <c r="J38" s="191"/>
    </row>
    <row r="39" spans="1:13">
      <c r="A39" s="183" t="s">
        <v>863</v>
      </c>
      <c r="B39" s="183" t="s">
        <v>864</v>
      </c>
      <c r="C39" s="204">
        <v>114</v>
      </c>
      <c r="D39" s="191">
        <f>'114'!B30</f>
        <v>761401</v>
      </c>
      <c r="E39" s="185">
        <f>'114'!B31</f>
        <v>347483.23</v>
      </c>
      <c r="F39" s="185">
        <f>'114'!B8</f>
        <v>4952057.51</v>
      </c>
      <c r="G39" s="185"/>
      <c r="H39" s="191"/>
      <c r="I39" s="191">
        <f>'114'!B13</f>
        <v>4706171.3</v>
      </c>
      <c r="J39" s="191"/>
      <c r="K39" s="192"/>
      <c r="M39" s="193"/>
    </row>
    <row r="40" spans="1:13">
      <c r="A40" s="183" t="s">
        <v>863</v>
      </c>
      <c r="B40" s="183" t="s">
        <v>864</v>
      </c>
      <c r="C40" s="204">
        <v>115</v>
      </c>
      <c r="D40" s="191">
        <f>'115'!B30</f>
        <v>577867</v>
      </c>
      <c r="E40" s="185">
        <f>'115'!B31</f>
        <v>433033.96</v>
      </c>
      <c r="F40" s="185">
        <f>'115'!B8</f>
        <v>4340601.2300000004</v>
      </c>
      <c r="G40" s="185"/>
      <c r="H40" s="191"/>
      <c r="I40" s="191">
        <f>'115'!B13</f>
        <v>4223551.3600000003</v>
      </c>
      <c r="J40" s="191"/>
      <c r="L40" s="206">
        <f>+E44+D44</f>
        <v>942388.09000000008</v>
      </c>
    </row>
    <row r="41" spans="1:13">
      <c r="A41" s="202" t="s">
        <v>863</v>
      </c>
      <c r="B41" s="183" t="s">
        <v>865</v>
      </c>
      <c r="C41" s="204">
        <v>116</v>
      </c>
      <c r="D41" s="185">
        <f>'116'!B30</f>
        <v>1482958</v>
      </c>
      <c r="E41" s="185">
        <f>'116'!B31</f>
        <v>1007751.87</v>
      </c>
      <c r="F41" s="185">
        <f>'116'!B8</f>
        <v>9854928</v>
      </c>
      <c r="G41" s="191"/>
      <c r="H41" s="191"/>
      <c r="I41" s="191">
        <f>'116'!B13</f>
        <v>9520465.4299999997</v>
      </c>
      <c r="J41" s="191"/>
    </row>
    <row r="42" spans="1:13">
      <c r="A42" s="180" t="s">
        <v>863</v>
      </c>
      <c r="B42" s="183" t="s">
        <v>865</v>
      </c>
      <c r="C42" s="204">
        <v>117</v>
      </c>
      <c r="D42" s="186">
        <f>'117'!B30</f>
        <v>1118490</v>
      </c>
      <c r="E42" s="185">
        <f>'117'!B31</f>
        <v>820756.05</v>
      </c>
      <c r="F42" s="185">
        <f>'117'!B8</f>
        <v>8023840.3899999997</v>
      </c>
      <c r="G42" s="191"/>
      <c r="H42" s="191"/>
      <c r="I42" s="191">
        <f>'117'!B13</f>
        <v>7709411.79</v>
      </c>
      <c r="J42" s="191"/>
    </row>
    <row r="43" spans="1:13">
      <c r="A43" s="180" t="s">
        <v>863</v>
      </c>
      <c r="B43" s="183" t="s">
        <v>865</v>
      </c>
      <c r="C43" s="204">
        <v>118</v>
      </c>
      <c r="D43" s="186">
        <f>'118'!B30</f>
        <v>787854</v>
      </c>
      <c r="E43" s="185">
        <f>'118'!B31</f>
        <v>526712.81000000006</v>
      </c>
      <c r="F43" s="185">
        <f>'118'!B8</f>
        <v>5415067.96</v>
      </c>
      <c r="G43" s="191"/>
      <c r="H43" s="191"/>
      <c r="I43" s="191">
        <f>'118'!B13</f>
        <v>5252998.47</v>
      </c>
      <c r="J43" s="191"/>
    </row>
    <row r="44" spans="1:13">
      <c r="A44" s="183" t="s">
        <v>863</v>
      </c>
      <c r="B44" s="183" t="s">
        <v>865</v>
      </c>
      <c r="C44" s="204">
        <v>119</v>
      </c>
      <c r="D44" s="191">
        <f>'119'!B30</f>
        <v>583315</v>
      </c>
      <c r="E44" s="185">
        <f>'119'!B31</f>
        <v>359073.09</v>
      </c>
      <c r="F44" s="185">
        <f>'119'!B8</f>
        <v>4047293.49</v>
      </c>
      <c r="G44" s="185"/>
      <c r="H44" s="191"/>
      <c r="I44" s="191">
        <f>'119'!B13</f>
        <v>3888867.39</v>
      </c>
      <c r="J44" s="191"/>
    </row>
    <row r="45" spans="1:13">
      <c r="A45" s="183" t="s">
        <v>863</v>
      </c>
      <c r="B45" s="183" t="s">
        <v>865</v>
      </c>
      <c r="C45" s="204">
        <v>120</v>
      </c>
      <c r="D45" s="191">
        <f>'120'!B30</f>
        <v>687432</v>
      </c>
      <c r="E45" s="185">
        <f>'120'!B31</f>
        <v>391278.05</v>
      </c>
      <c r="F45" s="185">
        <f>'120'!B8</f>
        <v>4530329.7699999996</v>
      </c>
      <c r="G45" s="185"/>
      <c r="H45" s="191"/>
      <c r="I45" s="191">
        <f>'120'!B13</f>
        <v>4347075.08</v>
      </c>
      <c r="J45" s="191"/>
      <c r="K45" s="192"/>
    </row>
    <row r="46" spans="1:13">
      <c r="I46" s="1069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47"/>
  <sheetViews>
    <sheetView zoomScaleSheetLayoutView="100" workbookViewId="0">
      <selection activeCell="C24" sqref="C24"/>
    </sheetView>
  </sheetViews>
  <sheetFormatPr defaultColWidth="10.85546875" defaultRowHeight="12"/>
  <cols>
    <col min="1" max="1" width="2" style="465" customWidth="1"/>
    <col min="2" max="2" width="65.7109375" style="465" customWidth="1"/>
    <col min="3" max="3" width="21" style="465" customWidth="1"/>
    <col min="4" max="4" width="18.85546875" style="465" customWidth="1"/>
    <col min="5" max="16384" width="10.85546875" style="465"/>
  </cols>
  <sheetData>
    <row r="1" spans="1:8" ht="21">
      <c r="A1" s="566"/>
      <c r="B1" s="1078">
        <f>'ACE BILLS NEW'!B1:C1</f>
        <v>44680</v>
      </c>
      <c r="C1" s="1078"/>
      <c r="D1" s="1079"/>
    </row>
    <row r="2" spans="1:8" ht="20.45" customHeight="1">
      <c r="A2" s="567"/>
      <c r="B2" s="467" t="s">
        <v>615</v>
      </c>
      <c r="C2" s="468"/>
      <c r="D2" s="568"/>
    </row>
    <row r="3" spans="1:8" ht="20.45" customHeight="1">
      <c r="A3" s="567"/>
      <c r="B3" s="469" t="s">
        <v>328</v>
      </c>
      <c r="C3" s="982">
        <f>'CHECK '!D42</f>
        <v>9997602</v>
      </c>
      <c r="D3" s="983"/>
    </row>
    <row r="4" spans="1:8" ht="20.45" customHeight="1">
      <c r="A4" s="567"/>
      <c r="B4" s="469" t="s">
        <v>616</v>
      </c>
      <c r="C4" s="982">
        <f>'CHECK '!E42</f>
        <v>6117789.5599999996</v>
      </c>
      <c r="D4" s="983"/>
    </row>
    <row r="5" spans="1:8" ht="20.45" customHeight="1">
      <c r="A5" s="567"/>
      <c r="B5" s="469" t="s">
        <v>617</v>
      </c>
      <c r="C5" s="982">
        <f>'CHECK '!F42</f>
        <v>12722071.359999998</v>
      </c>
      <c r="D5" s="983"/>
    </row>
    <row r="6" spans="1:8" ht="20.45" customHeight="1">
      <c r="A6" s="569"/>
      <c r="B6" s="469" t="s">
        <v>618</v>
      </c>
      <c r="C6" s="982">
        <f>'CHECK '!I42</f>
        <v>558686.14</v>
      </c>
      <c r="D6" s="983"/>
    </row>
    <row r="7" spans="1:8" ht="20.45" customHeight="1">
      <c r="A7" s="569"/>
      <c r="B7" s="469" t="s">
        <v>619</v>
      </c>
      <c r="C7" s="982">
        <f>'CHECK '!H42</f>
        <v>0</v>
      </c>
      <c r="D7" s="984">
        <v>0</v>
      </c>
    </row>
    <row r="8" spans="1:8" ht="20.45" customHeight="1">
      <c r="A8" s="569"/>
      <c r="B8" s="469" t="s">
        <v>620</v>
      </c>
      <c r="C8" s="982">
        <f>'CHECK '!G42</f>
        <v>7611.1699999999983</v>
      </c>
      <c r="D8" s="983"/>
    </row>
    <row r="9" spans="1:8" ht="20.45" customHeight="1">
      <c r="A9" s="569"/>
      <c r="B9" s="471" t="s">
        <v>621</v>
      </c>
      <c r="C9" s="985">
        <f>C3+C4-C5-C6-C7-C8</f>
        <v>2827022.8900000011</v>
      </c>
      <c r="D9" s="983"/>
    </row>
    <row r="10" spans="1:8" ht="20.45" customHeight="1">
      <c r="A10" s="567"/>
      <c r="C10" s="470"/>
      <c r="D10" s="568" t="s">
        <v>36</v>
      </c>
    </row>
    <row r="11" spans="1:8" ht="20.45" customHeight="1">
      <c r="A11" s="567"/>
      <c r="C11" s="588" t="s">
        <v>622</v>
      </c>
      <c r="D11" s="570" t="s">
        <v>623</v>
      </c>
      <c r="H11" s="465">
        <v>0</v>
      </c>
    </row>
    <row r="12" spans="1:8" ht="20.45" customHeight="1">
      <c r="A12" s="567"/>
      <c r="B12" s="571" t="s">
        <v>624</v>
      </c>
      <c r="C12" s="986">
        <f>IF(C9&gt;0,(C9),(0))</f>
        <v>2827022.8900000011</v>
      </c>
      <c r="D12" s="987">
        <f>IF(C9&lt;0,(C9),(0))</f>
        <v>0</v>
      </c>
    </row>
    <row r="13" spans="1:8" ht="20.45" customHeight="1">
      <c r="A13" s="567"/>
      <c r="D13" s="568"/>
    </row>
    <row r="14" spans="1:8" ht="23.1" customHeight="1">
      <c r="A14" s="567"/>
      <c r="C14" s="465" t="s">
        <v>625</v>
      </c>
      <c r="D14" s="568"/>
    </row>
    <row r="15" spans="1:8" ht="23.1" customHeight="1">
      <c r="A15" s="567"/>
      <c r="B15" s="582" t="s">
        <v>626</v>
      </c>
      <c r="C15" s="584"/>
      <c r="D15" s="583">
        <v>0</v>
      </c>
    </row>
    <row r="16" spans="1:8" ht="23.1" customHeight="1">
      <c r="A16" s="567"/>
      <c r="B16" s="582" t="s">
        <v>627</v>
      </c>
      <c r="C16" s="988">
        <v>0</v>
      </c>
      <c r="D16" s="572">
        <v>0</v>
      </c>
    </row>
    <row r="17" spans="1:6" ht="23.1" customHeight="1">
      <c r="A17" s="567"/>
      <c r="B17" s="582" t="s">
        <v>628</v>
      </c>
      <c r="C17" s="585"/>
      <c r="D17" s="583">
        <v>-500</v>
      </c>
    </row>
    <row r="18" spans="1:6" ht="23.1" customHeight="1">
      <c r="A18" s="567"/>
      <c r="B18" s="582" t="s">
        <v>629</v>
      </c>
      <c r="C18" s="989">
        <v>0</v>
      </c>
      <c r="D18" s="573"/>
    </row>
    <row r="19" spans="1:6" ht="23.1" customHeight="1">
      <c r="A19" s="567"/>
      <c r="B19" s="582"/>
      <c r="C19" s="586"/>
      <c r="D19" s="583"/>
    </row>
    <row r="20" spans="1:6" ht="23.1" customHeight="1">
      <c r="A20" s="567"/>
      <c r="B20" s="582" t="s">
        <v>630</v>
      </c>
      <c r="C20" s="587">
        <f>C12+D12+D15+D17</f>
        <v>2826522.8900000011</v>
      </c>
      <c r="D20" s="583">
        <f>D15+D16+D17+D18</f>
        <v>-500</v>
      </c>
    </row>
    <row r="21" spans="1:6" ht="23.1" customHeight="1">
      <c r="A21" s="567"/>
      <c r="C21" s="586"/>
      <c r="D21" s="574"/>
    </row>
    <row r="22" spans="1:6" ht="23.1" customHeight="1" thickBot="1">
      <c r="A22" s="567"/>
      <c r="B22" s="582" t="s">
        <v>631</v>
      </c>
      <c r="C22" s="992">
        <f>C17+C18+C19+C20</f>
        <v>2826522.8900000011</v>
      </c>
      <c r="D22" s="568"/>
    </row>
    <row r="23" spans="1:6" ht="30.75" customHeight="1" thickBot="1">
      <c r="A23" s="567"/>
      <c r="B23" s="575" t="s">
        <v>632</v>
      </c>
      <c r="C23" s="993">
        <v>0</v>
      </c>
      <c r="D23" s="576"/>
    </row>
    <row r="24" spans="1:6" ht="26.25" customHeight="1">
      <c r="A24" s="569"/>
      <c r="B24" s="575" t="s">
        <v>633</v>
      </c>
      <c r="C24" s="577">
        <f>C22-C23</f>
        <v>2826522.8900000011</v>
      </c>
      <c r="D24" s="578" t="s">
        <v>836</v>
      </c>
    </row>
    <row r="25" spans="1:6" ht="31.5" customHeight="1">
      <c r="A25" s="569"/>
      <c r="D25" s="568"/>
    </row>
    <row r="26" spans="1:6" ht="31.5" customHeight="1">
      <c r="A26" s="569"/>
      <c r="D26" s="568"/>
      <c r="F26" s="466"/>
    </row>
    <row r="27" spans="1:6" ht="31.5" customHeight="1">
      <c r="A27" s="569"/>
      <c r="B27" s="465" t="s">
        <v>635</v>
      </c>
      <c r="D27" s="568"/>
    </row>
    <row r="28" spans="1:6" ht="40.35" customHeight="1">
      <c r="A28" s="569"/>
      <c r="D28" s="568"/>
    </row>
    <row r="29" spans="1:6" ht="31.5" customHeight="1">
      <c r="A29" s="569"/>
      <c r="D29" s="568"/>
    </row>
    <row r="30" spans="1:6" ht="31.5" customHeight="1" thickBot="1">
      <c r="A30" s="579"/>
      <c r="B30" s="580"/>
      <c r="C30" s="580"/>
      <c r="D30" s="581"/>
    </row>
    <row r="31" spans="1:6" ht="31.5" customHeight="1"/>
    <row r="32" spans="1:6" ht="31.5" customHeight="1"/>
    <row r="33" spans="2:3" ht="31.5" customHeight="1"/>
    <row r="37" spans="2:3" ht="15.75">
      <c r="B37" s="473"/>
      <c r="C37" s="473"/>
    </row>
    <row r="38" spans="2:3" ht="15.75">
      <c r="B38" s="469" t="s">
        <v>816</v>
      </c>
      <c r="C38" s="470"/>
    </row>
    <row r="39" spans="2:3" ht="15.75">
      <c r="B39" s="474" t="s">
        <v>817</v>
      </c>
      <c r="C39" s="472">
        <f>C9-C38</f>
        <v>2827022.8900000011</v>
      </c>
    </row>
    <row r="40" spans="2:3" ht="15.75">
      <c r="B40" s="474" t="s">
        <v>818</v>
      </c>
      <c r="C40" s="475">
        <v>0</v>
      </c>
    </row>
    <row r="41" spans="2:3" ht="15.75">
      <c r="B41" s="474" t="s">
        <v>819</v>
      </c>
      <c r="C41" s="475">
        <v>0</v>
      </c>
    </row>
    <row r="42" spans="2:3" ht="15.75">
      <c r="B42" s="474" t="s">
        <v>820</v>
      </c>
      <c r="C42" s="475">
        <v>0</v>
      </c>
    </row>
    <row r="43" spans="2:3" ht="16.5" thickBot="1">
      <c r="B43" s="476"/>
      <c r="C43" s="477"/>
    </row>
    <row r="44" spans="2:3" ht="17.25" thickTop="1" thickBot="1">
      <c r="B44" s="478" t="s">
        <v>821</v>
      </c>
      <c r="C44" s="479">
        <f>C40+C41+C42</f>
        <v>0</v>
      </c>
    </row>
    <row r="45" spans="2:3" ht="17.25" thickTop="1" thickBot="1">
      <c r="B45" s="480"/>
      <c r="C45" s="481"/>
    </row>
    <row r="46" spans="2:3" ht="17.25" thickTop="1" thickBot="1">
      <c r="B46" s="478" t="s">
        <v>822</v>
      </c>
      <c r="C46" s="482">
        <f>C39-C44</f>
        <v>2827022.8900000011</v>
      </c>
    </row>
    <row r="47" spans="2:3" ht="12.75" thickTop="1">
      <c r="B47" s="483"/>
      <c r="C47" s="483"/>
    </row>
  </sheetData>
  <mergeCells count="1">
    <mergeCell ref="B1:D1"/>
  </mergeCells>
  <printOptions horizontalCentered="1"/>
  <pageMargins left="0.70826771653543297" right="0.70826771653543297" top="0.93228346456692901" bottom="1.14173228346457" header="0.41" footer="0.74803149606299202"/>
  <pageSetup scale="80" fitToWidth="0" fitToHeight="0" orientation="portrait" horizontalDpi="360" verticalDpi="360" r:id="rId1"/>
  <headerFooter alignWithMargins="0">
    <oddHeader xml:space="preserve">&amp;C&amp;18&amp;EOVERAL SLOTS RESULT </oddHeader>
  </headerFooter>
  <rowBreaks count="1" manualBreakCount="1">
    <brk id="48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FF00"/>
  </sheetPr>
  <dimension ref="A1:GV82"/>
  <sheetViews>
    <sheetView workbookViewId="0">
      <pane xSplit="8" ySplit="41" topLeftCell="I104" activePane="bottomRight" state="frozen"/>
      <selection activeCell="F26" sqref="F26"/>
      <selection pane="topRight" activeCell="F26" sqref="F26"/>
      <selection pane="bottomLeft" activeCell="F26" sqref="F26"/>
      <selection pane="bottomRight" activeCell="I1" sqref="H1:I1048576"/>
    </sheetView>
  </sheetViews>
  <sheetFormatPr defaultColWidth="3" defaultRowHeight="16.5"/>
  <cols>
    <col min="1" max="1" width="52.42578125" style="629" customWidth="1"/>
    <col min="2" max="2" width="22.28515625" style="673" bestFit="1" customWidth="1"/>
    <col min="3" max="3" width="4.5703125" style="629" customWidth="1"/>
    <col min="4" max="4" width="3.7109375" style="629" customWidth="1"/>
    <col min="5" max="5" width="52" style="629" customWidth="1"/>
    <col min="6" max="6" width="22.28515625" style="673" bestFit="1" customWidth="1"/>
    <col min="7" max="7" width="4.5703125" style="629" customWidth="1"/>
    <col min="8" max="8" width="22.140625" style="630" customWidth="1"/>
    <col min="9" max="9" width="22.14062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/>
    <col min="223" max="223" width="0.42578125" style="629" customWidth="1"/>
    <col min="224" max="231" width="3" style="629"/>
    <col min="232" max="232" width="0.42578125" style="629" customWidth="1"/>
    <col min="233" max="238" width="3" style="629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/>
    <col min="249" max="249" width="0.42578125" style="629" customWidth="1"/>
    <col min="250" max="16384" width="3" style="629"/>
  </cols>
  <sheetData>
    <row r="1" spans="1:10">
      <c r="A1" s="626" t="s">
        <v>749</v>
      </c>
      <c r="B1" s="670"/>
      <c r="C1" s="628"/>
      <c r="E1" s="626" t="s">
        <v>748</v>
      </c>
      <c r="F1" s="670"/>
      <c r="G1" s="628"/>
    </row>
    <row r="2" spans="1:10">
      <c r="A2" s="631" t="s">
        <v>0</v>
      </c>
      <c r="B2" s="671" t="s">
        <v>1</v>
      </c>
      <c r="C2" s="632" t="s">
        <v>2</v>
      </c>
      <c r="E2" s="631" t="s">
        <v>0</v>
      </c>
      <c r="F2" s="671" t="s">
        <v>1</v>
      </c>
      <c r="G2" s="632" t="s">
        <v>2</v>
      </c>
    </row>
    <row r="3" spans="1:10">
      <c r="A3" s="631"/>
      <c r="B3" s="671" t="s">
        <v>3</v>
      </c>
      <c r="C3" s="633"/>
      <c r="E3" s="631"/>
      <c r="F3" s="671" t="s">
        <v>3</v>
      </c>
      <c r="G3" s="633"/>
    </row>
    <row r="4" spans="1:10">
      <c r="A4" s="631" t="s">
        <v>4</v>
      </c>
      <c r="B4" s="672">
        <v>1</v>
      </c>
      <c r="C4" s="633"/>
      <c r="E4" s="631" t="s">
        <v>4</v>
      </c>
      <c r="F4" s="672">
        <v>1</v>
      </c>
      <c r="G4" s="633"/>
    </row>
    <row r="5" spans="1:10" ht="12.75" hidden="1" customHeight="1">
      <c r="C5" s="633"/>
      <c r="G5" s="633"/>
    </row>
    <row r="6" spans="1:10" ht="17.25" thickBot="1">
      <c r="A6" s="635" t="s">
        <v>5</v>
      </c>
      <c r="B6" s="636">
        <v>116</v>
      </c>
      <c r="C6" s="633"/>
      <c r="E6" s="635" t="s">
        <v>5</v>
      </c>
      <c r="F6" s="636">
        <f>+B6</f>
        <v>116</v>
      </c>
      <c r="G6" s="633"/>
    </row>
    <row r="7" spans="1:10" ht="24" customHeight="1">
      <c r="A7" s="637" t="s">
        <v>6</v>
      </c>
      <c r="B7" s="638" t="s">
        <v>7</v>
      </c>
      <c r="C7" s="633"/>
      <c r="E7" s="637" t="s">
        <v>6</v>
      </c>
      <c r="F7" s="638" t="s">
        <v>7</v>
      </c>
      <c r="G7" s="639"/>
      <c r="H7" s="640" t="s">
        <v>750</v>
      </c>
    </row>
    <row r="8" spans="1:10" ht="24" hidden="1" customHeight="1">
      <c r="A8" s="633" t="s">
        <v>8</v>
      </c>
      <c r="B8" s="674"/>
      <c r="C8" s="633"/>
      <c r="E8" s="633" t="s">
        <v>8</v>
      </c>
      <c r="F8" s="674"/>
      <c r="G8" s="639"/>
      <c r="H8" s="642"/>
    </row>
    <row r="9" spans="1:10" ht="24" hidden="1" customHeight="1">
      <c r="A9" s="633" t="s">
        <v>9</v>
      </c>
      <c r="B9" s="674"/>
      <c r="C9" s="633"/>
      <c r="E9" s="633" t="s">
        <v>9</v>
      </c>
      <c r="F9" s="674"/>
      <c r="G9" s="639"/>
      <c r="H9" s="642"/>
    </row>
    <row r="10" spans="1:10" ht="24" hidden="1" customHeight="1">
      <c r="A10" s="633" t="s">
        <v>93</v>
      </c>
      <c r="B10" s="674"/>
      <c r="C10" s="633"/>
      <c r="E10" s="633" t="s">
        <v>93</v>
      </c>
      <c r="F10" s="674"/>
      <c r="G10" s="639"/>
      <c r="H10" s="642"/>
    </row>
    <row r="11" spans="1:10" ht="24" hidden="1" customHeight="1">
      <c r="A11" s="633" t="s">
        <v>95</v>
      </c>
      <c r="B11" s="674"/>
      <c r="C11" s="633"/>
      <c r="E11" s="633" t="s">
        <v>95</v>
      </c>
      <c r="F11" s="674"/>
      <c r="G11" s="639"/>
      <c r="H11" s="642"/>
    </row>
    <row r="12" spans="1:10" ht="24" hidden="1" customHeight="1">
      <c r="A12" s="633"/>
      <c r="B12" s="674"/>
      <c r="C12" s="633"/>
      <c r="E12" s="633"/>
      <c r="F12" s="674"/>
      <c r="G12" s="639"/>
      <c r="H12" s="642"/>
    </row>
    <row r="13" spans="1:10" ht="24" hidden="1" customHeight="1">
      <c r="A13" s="643" t="s">
        <v>12</v>
      </c>
      <c r="B13" s="675"/>
      <c r="C13" s="643"/>
      <c r="D13" s="645"/>
      <c r="E13" s="643" t="s">
        <v>12</v>
      </c>
      <c r="F13" s="675"/>
      <c r="G13" s="639"/>
      <c r="H13" s="646"/>
      <c r="I13" s="647"/>
      <c r="J13" s="647"/>
    </row>
    <row r="14" spans="1:10" ht="24" hidden="1" customHeight="1">
      <c r="A14" s="643" t="s">
        <v>13</v>
      </c>
      <c r="B14" s="675"/>
      <c r="C14" s="643"/>
      <c r="D14" s="645"/>
      <c r="E14" s="643" t="s">
        <v>13</v>
      </c>
      <c r="F14" s="675"/>
      <c r="G14" s="639"/>
      <c r="H14" s="646"/>
      <c r="I14" s="647"/>
      <c r="J14" s="647"/>
    </row>
    <row r="15" spans="1:10" ht="24" hidden="1" customHeight="1">
      <c r="A15" s="643" t="s">
        <v>96</v>
      </c>
      <c r="B15" s="675"/>
      <c r="C15" s="643"/>
      <c r="D15" s="645"/>
      <c r="E15" s="643" t="s">
        <v>96</v>
      </c>
      <c r="F15" s="675"/>
      <c r="G15" s="639"/>
      <c r="H15" s="646"/>
      <c r="I15" s="647"/>
      <c r="J15" s="647"/>
    </row>
    <row r="16" spans="1:10" ht="24" hidden="1" customHeight="1">
      <c r="A16" s="633" t="s">
        <v>15</v>
      </c>
      <c r="B16" s="676">
        <v>0</v>
      </c>
      <c r="C16" s="633"/>
      <c r="D16" s="647"/>
      <c r="E16" s="633" t="s">
        <v>15</v>
      </c>
      <c r="F16" s="676">
        <v>0</v>
      </c>
      <c r="G16" s="639"/>
      <c r="H16" s="646"/>
      <c r="I16" s="647"/>
      <c r="J16" s="647"/>
    </row>
    <row r="17" spans="1:65" ht="24" hidden="1" customHeight="1">
      <c r="A17" s="633" t="s">
        <v>16</v>
      </c>
      <c r="B17" s="676">
        <v>0</v>
      </c>
      <c r="C17" s="633"/>
      <c r="D17" s="647"/>
      <c r="E17" s="633" t="s">
        <v>16</v>
      </c>
      <c r="F17" s="676">
        <v>0</v>
      </c>
      <c r="G17" s="639"/>
      <c r="H17" s="646"/>
      <c r="I17" s="647"/>
      <c r="J17" s="647"/>
    </row>
    <row r="18" spans="1:65" ht="24" hidden="1" customHeight="1">
      <c r="A18" s="633" t="s">
        <v>17</v>
      </c>
      <c r="B18" s="676"/>
      <c r="C18" s="633"/>
      <c r="D18" s="647"/>
      <c r="E18" s="633" t="s">
        <v>17</v>
      </c>
      <c r="F18" s="676"/>
      <c r="G18" s="639"/>
      <c r="H18" s="646"/>
      <c r="I18" s="647"/>
      <c r="J18" s="647"/>
    </row>
    <row r="19" spans="1:65" ht="24" hidden="1" customHeight="1">
      <c r="A19" s="633" t="s">
        <v>97</v>
      </c>
      <c r="B19" s="676"/>
      <c r="C19" s="633"/>
      <c r="E19" s="633" t="s">
        <v>97</v>
      </c>
      <c r="F19" s="676"/>
      <c r="G19" s="639"/>
      <c r="H19" s="642"/>
    </row>
    <row r="20" spans="1:65" ht="24" hidden="1" customHeight="1">
      <c r="A20" s="633" t="s">
        <v>19</v>
      </c>
      <c r="B20" s="676">
        <v>0</v>
      </c>
      <c r="C20" s="633"/>
      <c r="E20" s="633" t="s">
        <v>19</v>
      </c>
      <c r="F20" s="676">
        <v>0</v>
      </c>
      <c r="G20" s="639"/>
      <c r="H20" s="642"/>
    </row>
    <row r="21" spans="1:65" ht="24" hidden="1" customHeight="1">
      <c r="A21" s="633" t="s">
        <v>20</v>
      </c>
      <c r="B21" s="676">
        <v>0</v>
      </c>
      <c r="C21" s="633"/>
      <c r="E21" s="633" t="s">
        <v>20</v>
      </c>
      <c r="F21" s="676">
        <v>0</v>
      </c>
      <c r="G21" s="639"/>
      <c r="H21" s="642"/>
    </row>
    <row r="22" spans="1:65" ht="24" hidden="1" customHeight="1">
      <c r="A22" s="633"/>
      <c r="B22" s="676"/>
      <c r="C22" s="633"/>
      <c r="E22" s="633"/>
      <c r="F22" s="676"/>
      <c r="G22" s="639"/>
      <c r="H22" s="642"/>
    </row>
    <row r="23" spans="1:65" ht="8.25" hidden="1" customHeight="1">
      <c r="A23" s="643"/>
      <c r="B23" s="677"/>
      <c r="C23" s="650"/>
      <c r="D23" s="651"/>
      <c r="E23" s="643"/>
      <c r="F23" s="677"/>
      <c r="G23" s="650"/>
      <c r="H23" s="642"/>
    </row>
    <row r="24" spans="1:65" ht="16.5" hidden="1" customHeight="1">
      <c r="A24" s="643" t="s">
        <v>24</v>
      </c>
      <c r="B24" s="677"/>
      <c r="C24" s="633"/>
      <c r="D24" s="651"/>
      <c r="E24" s="643" t="s">
        <v>24</v>
      </c>
      <c r="F24" s="677"/>
      <c r="G24" s="639"/>
      <c r="H24" s="642"/>
    </row>
    <row r="25" spans="1:65" ht="24" hidden="1" customHeight="1">
      <c r="A25" s="633" t="s">
        <v>25</v>
      </c>
      <c r="B25" s="676">
        <v>0</v>
      </c>
      <c r="C25" s="633"/>
      <c r="D25" s="651"/>
      <c r="E25" s="633" t="s">
        <v>25</v>
      </c>
      <c r="F25" s="676">
        <v>0</v>
      </c>
      <c r="G25" s="639"/>
      <c r="H25" s="642"/>
    </row>
    <row r="26" spans="1:65" ht="24" customHeight="1">
      <c r="A26" s="652" t="s">
        <v>26</v>
      </c>
      <c r="B26" s="725">
        <v>88889</v>
      </c>
      <c r="C26" s="653"/>
      <c r="E26" s="652" t="s">
        <v>26</v>
      </c>
      <c r="F26" s="725">
        <f>'116'!$B$30</f>
        <v>1482958</v>
      </c>
      <c r="G26" s="654"/>
      <c r="H26" s="655">
        <f>F26-B26</f>
        <v>1394069</v>
      </c>
    </row>
    <row r="27" spans="1:65" ht="24" customHeight="1">
      <c r="A27" s="656" t="s">
        <v>27</v>
      </c>
      <c r="B27" s="725">
        <v>173443.65</v>
      </c>
      <c r="C27" s="633"/>
      <c r="E27" s="656" t="s">
        <v>27</v>
      </c>
      <c r="F27" s="725">
        <f>'116'!$B$31</f>
        <v>1007751.87</v>
      </c>
      <c r="G27" s="639"/>
      <c r="H27" s="655">
        <f>F27-B27</f>
        <v>834308.22</v>
      </c>
    </row>
    <row r="28" spans="1:65" ht="24" hidden="1" customHeight="1">
      <c r="A28" s="651"/>
      <c r="B28" s="974">
        <v>173443.65</v>
      </c>
      <c r="C28" s="657"/>
      <c r="E28" s="651" t="s">
        <v>28</v>
      </c>
      <c r="F28" s="974">
        <f>F27</f>
        <v>1007751.87</v>
      </c>
      <c r="G28" s="658"/>
      <c r="H28" s="642"/>
      <c r="BE28" s="659"/>
      <c r="BF28" s="647"/>
      <c r="BG28" s="647"/>
      <c r="BH28" s="647"/>
      <c r="BI28" s="647"/>
      <c r="BJ28" s="647"/>
      <c r="BK28" s="647"/>
      <c r="BL28" s="647"/>
      <c r="BM28" s="647"/>
    </row>
    <row r="29" spans="1:65" ht="24" hidden="1" customHeight="1">
      <c r="A29" s="633" t="s">
        <v>29</v>
      </c>
      <c r="B29" s="975"/>
      <c r="C29" s="657"/>
      <c r="E29" s="633" t="s">
        <v>29</v>
      </c>
      <c r="F29" s="975"/>
      <c r="G29" s="658"/>
      <c r="H29" s="642"/>
    </row>
    <row r="30" spans="1:65" ht="24" hidden="1" customHeight="1">
      <c r="A30" s="633" t="s">
        <v>30</v>
      </c>
      <c r="B30" s="975">
        <v>0</v>
      </c>
      <c r="C30" s="633"/>
      <c r="E30" s="633" t="s">
        <v>30</v>
      </c>
      <c r="F30" s="975">
        <v>0</v>
      </c>
      <c r="G30" s="639"/>
      <c r="H30" s="642"/>
    </row>
    <row r="31" spans="1:65" ht="24" hidden="1" customHeight="1">
      <c r="A31" s="633" t="s">
        <v>35</v>
      </c>
      <c r="B31" s="975">
        <v>0</v>
      </c>
      <c r="C31" s="633"/>
      <c r="E31" s="633" t="s">
        <v>35</v>
      </c>
      <c r="F31" s="975">
        <v>0</v>
      </c>
      <c r="G31" s="639"/>
      <c r="H31" s="642"/>
    </row>
    <row r="32" spans="1:65" ht="24" hidden="1" customHeight="1">
      <c r="A32" s="633" t="s">
        <v>36</v>
      </c>
      <c r="B32" s="975">
        <v>0</v>
      </c>
      <c r="C32" s="633"/>
      <c r="E32" s="633" t="s">
        <v>36</v>
      </c>
      <c r="F32" s="975">
        <v>0</v>
      </c>
      <c r="G32" s="639"/>
      <c r="H32" s="642">
        <f>+H26+H27-H40</f>
        <v>398808.80999999982</v>
      </c>
    </row>
    <row r="33" spans="1:65" ht="19.5" customHeight="1">
      <c r="A33" s="643" t="s">
        <v>37</v>
      </c>
      <c r="B33" s="976"/>
      <c r="C33" s="633"/>
      <c r="D33" s="651"/>
      <c r="E33" s="643" t="s">
        <v>37</v>
      </c>
      <c r="F33" s="976"/>
      <c r="G33" s="639"/>
      <c r="H33" s="642">
        <f>+H26+H27-H36-H40</f>
        <v>398505.36999999988</v>
      </c>
    </row>
    <row r="34" spans="1:65" ht="19.5" customHeight="1">
      <c r="A34" s="633" t="s">
        <v>38</v>
      </c>
      <c r="B34" s="977">
        <v>0</v>
      </c>
      <c r="C34" s="653"/>
      <c r="E34" s="633" t="s">
        <v>38</v>
      </c>
      <c r="F34" s="977">
        <v>0</v>
      </c>
      <c r="G34" s="654"/>
      <c r="H34" s="642"/>
    </row>
    <row r="35" spans="1:65" ht="24" customHeight="1">
      <c r="A35" s="660" t="s">
        <v>39</v>
      </c>
      <c r="B35" s="725">
        <v>45616</v>
      </c>
      <c r="C35" s="633"/>
      <c r="E35" s="660" t="s">
        <v>39</v>
      </c>
      <c r="F35" s="725">
        <f>'116'!$B$43</f>
        <v>138284.6</v>
      </c>
      <c r="G35" s="639"/>
      <c r="H35" s="655">
        <f>F35-B35</f>
        <v>92668.6</v>
      </c>
      <c r="BE35" s="659"/>
      <c r="BF35" s="647"/>
      <c r="BG35" s="647"/>
      <c r="BH35" s="647"/>
      <c r="BI35" s="647"/>
      <c r="BJ35" s="647"/>
      <c r="BK35" s="647"/>
      <c r="BL35" s="647"/>
      <c r="BM35" s="647"/>
    </row>
    <row r="36" spans="1:65" ht="24" customHeight="1">
      <c r="A36" s="656" t="s">
        <v>40</v>
      </c>
      <c r="B36" s="725">
        <v>0</v>
      </c>
      <c r="C36" s="633"/>
      <c r="E36" s="656" t="s">
        <v>40</v>
      </c>
      <c r="F36" s="725">
        <f>'116'!$B$44</f>
        <v>303.44</v>
      </c>
      <c r="G36" s="639"/>
      <c r="H36" s="655">
        <f>F36-B36</f>
        <v>303.44</v>
      </c>
      <c r="BE36" s="647"/>
      <c r="BF36" s="647"/>
      <c r="BG36" s="647"/>
      <c r="BH36" s="647"/>
      <c r="BI36" s="647"/>
      <c r="BJ36" s="647"/>
      <c r="BK36" s="647"/>
      <c r="BL36" s="647"/>
      <c r="BM36" s="647"/>
    </row>
    <row r="37" spans="1:65">
      <c r="A37" s="661" t="s">
        <v>41</v>
      </c>
      <c r="B37" s="978">
        <v>0</v>
      </c>
      <c r="C37" s="662"/>
      <c r="E37" s="661" t="s">
        <v>41</v>
      </c>
      <c r="F37" s="978">
        <v>0</v>
      </c>
      <c r="G37" s="663"/>
      <c r="H37" s="642"/>
    </row>
    <row r="38" spans="1:65" ht="24" hidden="1" customHeight="1">
      <c r="A38" s="633" t="s">
        <v>42</v>
      </c>
      <c r="B38" s="979">
        <v>0</v>
      </c>
      <c r="C38" s="633"/>
      <c r="E38" s="633" t="s">
        <v>42</v>
      </c>
      <c r="F38" s="979">
        <v>0</v>
      </c>
      <c r="G38" s="639"/>
      <c r="H38" s="642"/>
    </row>
    <row r="39" spans="1:65" ht="15" customHeight="1">
      <c r="A39" s="633" t="s">
        <v>43</v>
      </c>
      <c r="B39" s="979">
        <v>0</v>
      </c>
      <c r="C39" s="633"/>
      <c r="E39" s="633" t="s">
        <v>43</v>
      </c>
      <c r="F39" s="979">
        <v>0</v>
      </c>
      <c r="G39" s="639"/>
      <c r="H39" s="642"/>
    </row>
    <row r="40" spans="1:65" ht="24" customHeight="1">
      <c r="A40" s="656" t="s">
        <v>44</v>
      </c>
      <c r="B40" s="838">
        <v>188090.85</v>
      </c>
      <c r="C40" s="633"/>
      <c r="E40" s="656" t="s">
        <v>44</v>
      </c>
      <c r="F40" s="838">
        <f>'116'!$B$48</f>
        <v>2017659.26</v>
      </c>
      <c r="G40" s="639"/>
      <c r="H40" s="655">
        <f>F40-B40</f>
        <v>1829568.41</v>
      </c>
    </row>
    <row r="41" spans="1:65" ht="24" customHeight="1" thickBot="1">
      <c r="A41" s="664" t="s">
        <v>45</v>
      </c>
      <c r="B41" s="838">
        <v>188090.85</v>
      </c>
      <c r="C41" s="664"/>
      <c r="D41" s="665"/>
      <c r="E41" s="664" t="s">
        <v>45</v>
      </c>
      <c r="F41" s="838">
        <f>F40</f>
        <v>2017659.26</v>
      </c>
      <c r="G41" s="666"/>
      <c r="H41" s="667"/>
    </row>
    <row r="42" spans="1:65" ht="24" customHeight="1">
      <c r="A42" s="633" t="s">
        <v>46</v>
      </c>
      <c r="B42" s="980">
        <v>0</v>
      </c>
      <c r="C42" s="633"/>
      <c r="E42" s="633" t="s">
        <v>46</v>
      </c>
      <c r="F42" s="981">
        <v>0</v>
      </c>
      <c r="G42" s="633"/>
    </row>
    <row r="43" spans="1:65" ht="24" hidden="1" customHeight="1">
      <c r="A43" s="633" t="s">
        <v>47</v>
      </c>
      <c r="B43" s="676">
        <v>0</v>
      </c>
      <c r="C43" s="633"/>
      <c r="E43" s="633" t="s">
        <v>47</v>
      </c>
      <c r="F43" s="676">
        <v>0</v>
      </c>
      <c r="G43" s="633"/>
    </row>
    <row r="44" spans="1:65" ht="8.25" hidden="1" customHeight="1">
      <c r="A44" s="643"/>
      <c r="B44" s="677">
        <v>0</v>
      </c>
      <c r="C44" s="650"/>
      <c r="D44" s="651"/>
      <c r="E44" s="643"/>
      <c r="F44" s="677">
        <v>0</v>
      </c>
      <c r="G44" s="650"/>
    </row>
    <row r="45" spans="1:65" ht="24" hidden="1" customHeight="1">
      <c r="A45" s="643" t="s">
        <v>48</v>
      </c>
      <c r="B45" s="675"/>
      <c r="C45" s="633"/>
      <c r="E45" s="643" t="s">
        <v>48</v>
      </c>
      <c r="F45" s="675"/>
      <c r="G45" s="633"/>
    </row>
    <row r="46" spans="1:65" ht="24" hidden="1" customHeight="1">
      <c r="A46" s="633"/>
      <c r="B46" s="676">
        <v>0</v>
      </c>
      <c r="C46" s="633"/>
      <c r="E46" s="633"/>
      <c r="F46" s="676">
        <v>0</v>
      </c>
      <c r="G46" s="633"/>
    </row>
    <row r="47" spans="1:65" ht="24" hidden="1" customHeight="1">
      <c r="A47" s="633" t="s">
        <v>49</v>
      </c>
      <c r="B47" s="676">
        <v>0</v>
      </c>
      <c r="C47" s="633"/>
      <c r="E47" s="633" t="s">
        <v>49</v>
      </c>
      <c r="F47" s="676">
        <f>F50</f>
        <v>0</v>
      </c>
      <c r="G47" s="633"/>
    </row>
    <row r="48" spans="1:65" ht="24" hidden="1" customHeight="1">
      <c r="A48" s="633" t="s">
        <v>50</v>
      </c>
      <c r="B48" s="676">
        <v>0</v>
      </c>
      <c r="C48" s="633"/>
      <c r="E48" s="633" t="s">
        <v>50</v>
      </c>
      <c r="F48" s="676">
        <v>0</v>
      </c>
      <c r="G48" s="633"/>
    </row>
    <row r="49" spans="1:7" ht="24" hidden="1" customHeight="1">
      <c r="A49" s="633" t="s">
        <v>51</v>
      </c>
      <c r="B49" s="676">
        <v>0</v>
      </c>
      <c r="C49" s="633"/>
      <c r="E49" s="633" t="s">
        <v>51</v>
      </c>
      <c r="F49" s="676">
        <v>0</v>
      </c>
      <c r="G49" s="633"/>
    </row>
    <row r="50" spans="1:7" ht="24" hidden="1" customHeight="1">
      <c r="A50" s="633"/>
      <c r="B50" s="676">
        <v>0</v>
      </c>
      <c r="C50" s="633"/>
      <c r="E50" s="633"/>
      <c r="F50" s="676">
        <v>0</v>
      </c>
      <c r="G50" s="633"/>
    </row>
    <row r="51" spans="1:7" ht="24" hidden="1" customHeight="1">
      <c r="A51" s="633" t="s">
        <v>52</v>
      </c>
      <c r="B51" s="676">
        <v>0</v>
      </c>
      <c r="C51" s="633"/>
      <c r="E51" s="633" t="s">
        <v>52</v>
      </c>
      <c r="F51" s="676">
        <v>0</v>
      </c>
      <c r="G51" s="633"/>
    </row>
    <row r="52" spans="1:7" ht="24" hidden="1" customHeight="1">
      <c r="A52" s="633" t="s">
        <v>53</v>
      </c>
      <c r="B52" s="676">
        <v>0</v>
      </c>
      <c r="C52" s="633"/>
      <c r="E52" s="633" t="s">
        <v>53</v>
      </c>
      <c r="F52" s="676">
        <v>0</v>
      </c>
      <c r="G52" s="633"/>
    </row>
    <row r="53" spans="1:7" ht="24" hidden="1" customHeight="1">
      <c r="A53" s="633" t="s">
        <v>54</v>
      </c>
      <c r="B53" s="676">
        <v>0</v>
      </c>
      <c r="C53" s="633"/>
      <c r="E53" s="633" t="s">
        <v>54</v>
      </c>
      <c r="F53" s="676">
        <v>0</v>
      </c>
      <c r="G53" s="633"/>
    </row>
    <row r="54" spans="1:7" ht="24" hidden="1" customHeight="1">
      <c r="A54" s="633" t="s">
        <v>55</v>
      </c>
      <c r="B54" s="676">
        <v>0</v>
      </c>
      <c r="C54" s="633"/>
      <c r="E54" s="633" t="s">
        <v>55</v>
      </c>
      <c r="F54" s="676">
        <v>0</v>
      </c>
      <c r="G54" s="633"/>
    </row>
    <row r="55" spans="1:7" ht="24" hidden="1" customHeight="1">
      <c r="A55" s="633" t="s">
        <v>56</v>
      </c>
      <c r="B55" s="676">
        <v>0</v>
      </c>
      <c r="C55" s="633"/>
      <c r="E55" s="633" t="s">
        <v>56</v>
      </c>
      <c r="F55" s="676">
        <v>0</v>
      </c>
      <c r="G55" s="633"/>
    </row>
    <row r="56" spans="1:7" ht="24" hidden="1" customHeight="1">
      <c r="A56" s="633" t="s">
        <v>57</v>
      </c>
      <c r="B56" s="676">
        <v>0</v>
      </c>
      <c r="C56" s="633"/>
      <c r="E56" s="633" t="s">
        <v>57</v>
      </c>
      <c r="F56" s="676">
        <v>0</v>
      </c>
      <c r="G56" s="633"/>
    </row>
    <row r="57" spans="1:7" ht="24" hidden="1" customHeight="1">
      <c r="A57" s="633"/>
      <c r="B57" s="676">
        <v>0</v>
      </c>
      <c r="C57" s="633"/>
      <c r="E57" s="633"/>
      <c r="F57" s="676">
        <v>0</v>
      </c>
      <c r="G57" s="633"/>
    </row>
    <row r="58" spans="1:7" ht="24" hidden="1" customHeight="1">
      <c r="A58" s="633" t="s">
        <v>58</v>
      </c>
      <c r="B58" s="676">
        <v>0</v>
      </c>
      <c r="C58" s="633"/>
      <c r="E58" s="633" t="s">
        <v>58</v>
      </c>
      <c r="F58" s="676">
        <v>0</v>
      </c>
      <c r="G58" s="633"/>
    </row>
    <row r="59" spans="1:7" ht="24" hidden="1" customHeight="1">
      <c r="A59" s="633" t="s">
        <v>59</v>
      </c>
      <c r="B59" s="686"/>
      <c r="C59" s="633"/>
      <c r="E59" s="633" t="s">
        <v>59</v>
      </c>
      <c r="F59" s="686"/>
      <c r="G59" s="633"/>
    </row>
    <row r="60" spans="1:7" ht="24" hidden="1" customHeight="1">
      <c r="A60" s="633" t="s">
        <v>60</v>
      </c>
      <c r="B60" s="686"/>
      <c r="C60" s="633"/>
      <c r="E60" s="633" t="s">
        <v>60</v>
      </c>
      <c r="F60" s="686"/>
      <c r="G60" s="633"/>
    </row>
    <row r="61" spans="1:7" ht="24" hidden="1" customHeight="1">
      <c r="A61" s="633" t="s">
        <v>61</v>
      </c>
      <c r="B61" s="686"/>
      <c r="C61" s="633"/>
      <c r="E61" s="633" t="s">
        <v>61</v>
      </c>
      <c r="F61" s="686"/>
      <c r="G61" s="633"/>
    </row>
    <row r="62" spans="1:7" ht="24" hidden="1" customHeight="1">
      <c r="A62" s="633" t="s">
        <v>103</v>
      </c>
      <c r="B62" s="686"/>
      <c r="C62" s="633"/>
      <c r="E62" s="633" t="s">
        <v>103</v>
      </c>
      <c r="F62" s="686"/>
      <c r="G62" s="633"/>
    </row>
    <row r="63" spans="1:7" ht="24" hidden="1" customHeight="1">
      <c r="A63" s="633"/>
      <c r="B63" s="686"/>
      <c r="C63" s="633"/>
      <c r="E63" s="633"/>
      <c r="F63" s="686"/>
      <c r="G63" s="633"/>
    </row>
    <row r="64" spans="1:7" ht="24" hidden="1" customHeight="1">
      <c r="A64" s="633"/>
      <c r="B64" s="676"/>
      <c r="C64" s="633"/>
      <c r="E64" s="633"/>
      <c r="F64" s="676"/>
      <c r="G64" s="633"/>
    </row>
    <row r="65" spans="1:7" ht="24" hidden="1" customHeight="1">
      <c r="A65" s="633"/>
      <c r="B65" s="676"/>
      <c r="C65" s="633"/>
      <c r="E65" s="633"/>
      <c r="F65" s="676"/>
      <c r="G65" s="633"/>
    </row>
    <row r="66" spans="1:7" ht="24" hidden="1" customHeight="1">
      <c r="A66" s="633"/>
      <c r="B66" s="676"/>
      <c r="C66" s="633"/>
      <c r="E66" s="633"/>
      <c r="F66" s="676"/>
      <c r="G66" s="633"/>
    </row>
    <row r="67" spans="1:7" ht="24" hidden="1" customHeight="1">
      <c r="A67" s="633"/>
      <c r="B67" s="676"/>
      <c r="C67" s="633"/>
      <c r="E67" s="633"/>
      <c r="F67" s="676"/>
      <c r="G67" s="633"/>
    </row>
    <row r="68" spans="1:7" ht="24" hidden="1" customHeight="1">
      <c r="A68" s="633"/>
      <c r="B68" s="676"/>
      <c r="C68" s="633"/>
      <c r="E68" s="633"/>
      <c r="F68" s="676"/>
      <c r="G68" s="633"/>
    </row>
    <row r="69" spans="1:7" ht="24" hidden="1" customHeight="1">
      <c r="A69" s="633"/>
      <c r="B69" s="676"/>
      <c r="C69" s="633"/>
      <c r="E69" s="633"/>
      <c r="F69" s="676"/>
      <c r="G69" s="633"/>
    </row>
    <row r="70" spans="1:7" ht="15.75" hidden="1" customHeight="1"/>
    <row r="71" spans="1:7" hidden="1"/>
    <row r="72" spans="1:7" hidden="1"/>
    <row r="73" spans="1:7" hidden="1"/>
    <row r="74" spans="1:7" hidden="1"/>
    <row r="75" spans="1:7" hidden="1"/>
    <row r="76" spans="1:7" hidden="1"/>
    <row r="77" spans="1:7" hidden="1"/>
    <row r="78" spans="1:7" hidden="1"/>
    <row r="79" spans="1:7" hidden="1"/>
    <row r="80" spans="1:7" hidden="1"/>
    <row r="81" hidden="1"/>
    <row r="82" hidden="1"/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FF00"/>
  </sheetPr>
  <dimension ref="A1:GU37"/>
  <sheetViews>
    <sheetView zoomScale="90" zoomScaleNormal="90" workbookViewId="0">
      <pane xSplit="8" ySplit="31" topLeftCell="I32" activePane="bottomRight" state="frozen"/>
      <selection activeCell="F26" sqref="F26"/>
      <selection pane="topRight" activeCell="F26" sqref="F26"/>
      <selection pane="bottomLeft" activeCell="F26" sqref="F26"/>
      <selection pane="bottomRight" activeCell="D34" sqref="D34"/>
    </sheetView>
  </sheetViews>
  <sheetFormatPr defaultColWidth="3" defaultRowHeight="16.5"/>
  <cols>
    <col min="1" max="1" width="53.85546875" style="629" customWidth="1"/>
    <col min="2" max="2" width="24.5703125" style="673" customWidth="1"/>
    <col min="3" max="3" width="4.5703125" style="629" customWidth="1"/>
    <col min="4" max="4" width="53.85546875" style="629" customWidth="1"/>
    <col min="5" max="5" width="24.5703125" style="673" customWidth="1"/>
    <col min="6" max="6" width="4.5703125" style="629" customWidth="1"/>
    <col min="7" max="7" width="16.7109375" style="629" bestFit="1" customWidth="1"/>
    <col min="8" max="8" width="11.5703125" style="629" customWidth="1"/>
    <col min="9" max="194" width="8.7109375" style="629" customWidth="1"/>
    <col min="195" max="195" width="30.140625" style="629" customWidth="1"/>
    <col min="196" max="196" width="28.7109375" style="629" customWidth="1"/>
    <col min="197" max="197" width="4.5703125" style="629" customWidth="1"/>
    <col min="198" max="198" width="2.140625" style="629" customWidth="1"/>
    <col min="199" max="203" width="12.28515625" style="629" hidden="1" customWidth="1"/>
    <col min="204" max="204" width="0.42578125" style="629" customWidth="1"/>
    <col min="205" max="212" width="3.7109375" style="629" customWidth="1"/>
    <col min="213" max="213" width="0.42578125" style="629" customWidth="1"/>
    <col min="214" max="214" width="2.85546875" style="629" customWidth="1"/>
    <col min="215" max="221" width="3" style="629" customWidth="1"/>
    <col min="222" max="222" width="0.42578125" style="629" customWidth="1"/>
    <col min="223" max="230" width="3" style="629" customWidth="1"/>
    <col min="231" max="231" width="0.42578125" style="629" customWidth="1"/>
    <col min="232" max="237" width="3" style="629" customWidth="1"/>
    <col min="238" max="238" width="3.140625" style="629" customWidth="1"/>
    <col min="239" max="239" width="3.5703125" style="629" customWidth="1"/>
    <col min="240" max="240" width="0.85546875" style="629" customWidth="1"/>
    <col min="241" max="247" width="3" style="629" customWidth="1"/>
    <col min="248" max="248" width="0.42578125" style="629" customWidth="1"/>
    <col min="249" max="16384" width="3" style="629"/>
  </cols>
  <sheetData>
    <row r="1" spans="1:12">
      <c r="A1" s="626" t="s">
        <v>749</v>
      </c>
      <c r="B1" s="670"/>
      <c r="C1" s="628"/>
      <c r="D1" s="626" t="s">
        <v>748</v>
      </c>
      <c r="E1" s="670"/>
      <c r="F1" s="628"/>
      <c r="L1" s="629" t="s">
        <v>69</v>
      </c>
    </row>
    <row r="2" spans="1:12">
      <c r="A2" s="631" t="s">
        <v>0</v>
      </c>
      <c r="B2" s="671" t="s">
        <v>751</v>
      </c>
      <c r="C2" s="632" t="s">
        <v>2</v>
      </c>
      <c r="D2" s="631" t="s">
        <v>0</v>
      </c>
      <c r="E2" s="671" t="s">
        <v>751</v>
      </c>
      <c r="F2" s="632" t="s">
        <v>2</v>
      </c>
    </row>
    <row r="3" spans="1:12">
      <c r="A3" s="631"/>
      <c r="B3" s="671"/>
      <c r="C3" s="633"/>
      <c r="D3" s="631"/>
      <c r="E3" s="671"/>
      <c r="F3" s="633"/>
    </row>
    <row r="4" spans="1:12" ht="24" customHeight="1">
      <c r="A4" s="631" t="s">
        <v>4</v>
      </c>
      <c r="B4" s="672">
        <v>1</v>
      </c>
      <c r="C4" s="633"/>
      <c r="D4" s="631" t="s">
        <v>4</v>
      </c>
      <c r="E4" s="672">
        <v>1</v>
      </c>
      <c r="F4" s="633"/>
    </row>
    <row r="5" spans="1:12" ht="24" hidden="1" customHeight="1">
      <c r="C5" s="633"/>
      <c r="F5" s="633"/>
    </row>
    <row r="6" spans="1:12" ht="24" customHeight="1" thickBot="1">
      <c r="A6" s="635" t="s">
        <v>5</v>
      </c>
      <c r="B6" s="636">
        <v>96</v>
      </c>
      <c r="C6" s="633"/>
      <c r="D6" s="635" t="s">
        <v>5</v>
      </c>
      <c r="E6" s="636">
        <v>96</v>
      </c>
      <c r="F6" s="633"/>
    </row>
    <row r="7" spans="1:12" ht="24" customHeight="1" thickBot="1">
      <c r="A7" s="637" t="s">
        <v>6</v>
      </c>
      <c r="B7" s="638" t="s">
        <v>752</v>
      </c>
      <c r="C7" s="633"/>
      <c r="D7" s="637" t="s">
        <v>6</v>
      </c>
      <c r="E7" s="638" t="s">
        <v>752</v>
      </c>
      <c r="F7" s="639"/>
      <c r="G7" s="701" t="s">
        <v>779</v>
      </c>
    </row>
    <row r="8" spans="1:12" ht="24" customHeight="1">
      <c r="A8" s="652" t="s">
        <v>71</v>
      </c>
      <c r="B8" s="678">
        <v>65141.4</v>
      </c>
      <c r="C8" s="633"/>
      <c r="D8" s="652" t="s">
        <v>71</v>
      </c>
      <c r="E8" s="678">
        <f>'96'!$B$8</f>
        <v>225080.75</v>
      </c>
      <c r="F8" s="639"/>
      <c r="G8" s="655">
        <f>E8-B8</f>
        <v>159939.35</v>
      </c>
      <c r="H8" s="687" t="s">
        <v>753</v>
      </c>
    </row>
    <row r="9" spans="1:12" ht="24" hidden="1" customHeight="1">
      <c r="A9" s="633" t="s">
        <v>754</v>
      </c>
      <c r="B9" s="692"/>
      <c r="C9" s="633"/>
      <c r="D9" s="633" t="s">
        <v>754</v>
      </c>
      <c r="E9" s="692"/>
      <c r="F9" s="639"/>
      <c r="G9" s="642"/>
    </row>
    <row r="10" spans="1:12" ht="24" hidden="1" customHeight="1">
      <c r="A10" s="633" t="s">
        <v>755</v>
      </c>
      <c r="B10" s="692"/>
      <c r="C10" s="633"/>
      <c r="D10" s="633" t="s">
        <v>755</v>
      </c>
      <c r="E10" s="692"/>
      <c r="F10" s="639"/>
      <c r="G10" s="642"/>
    </row>
    <row r="11" spans="1:12" ht="24" hidden="1" customHeight="1">
      <c r="A11" s="633" t="s">
        <v>756</v>
      </c>
      <c r="B11" s="692"/>
      <c r="C11" s="633"/>
      <c r="D11" s="633" t="s">
        <v>756</v>
      </c>
      <c r="E11" s="692"/>
      <c r="F11" s="639"/>
      <c r="G11" s="642"/>
    </row>
    <row r="12" spans="1:12" ht="24" hidden="1" customHeight="1">
      <c r="A12" s="633" t="s">
        <v>757</v>
      </c>
      <c r="B12" s="692">
        <v>0</v>
      </c>
      <c r="C12" s="633"/>
      <c r="D12" s="633" t="s">
        <v>757</v>
      </c>
      <c r="E12" s="692">
        <v>0</v>
      </c>
      <c r="F12" s="639"/>
      <c r="G12" s="642"/>
    </row>
    <row r="13" spans="1:12" ht="24" hidden="1" customHeight="1">
      <c r="A13" s="633" t="s">
        <v>758</v>
      </c>
      <c r="B13" s="692"/>
      <c r="C13" s="633"/>
      <c r="D13" s="633" t="s">
        <v>758</v>
      </c>
      <c r="E13" s="692"/>
      <c r="F13" s="639"/>
      <c r="G13" s="646"/>
      <c r="H13" s="647"/>
      <c r="I13" s="647"/>
    </row>
    <row r="14" spans="1:12" ht="24" hidden="1" customHeight="1">
      <c r="A14" s="633" t="s">
        <v>337</v>
      </c>
      <c r="B14" s="692"/>
      <c r="C14" s="633"/>
      <c r="D14" s="633" t="s">
        <v>337</v>
      </c>
      <c r="E14" s="692"/>
      <c r="F14" s="639"/>
      <c r="G14" s="646"/>
      <c r="H14" s="647"/>
      <c r="I14" s="647"/>
    </row>
    <row r="15" spans="1:12" ht="24" hidden="1" customHeight="1">
      <c r="A15" s="633" t="s">
        <v>759</v>
      </c>
      <c r="B15" s="692"/>
      <c r="C15" s="633"/>
      <c r="D15" s="633" t="s">
        <v>759</v>
      </c>
      <c r="E15" s="692"/>
      <c r="F15" s="639"/>
      <c r="G15" s="646"/>
      <c r="H15" s="647"/>
      <c r="I15" s="647"/>
    </row>
    <row r="16" spans="1:12" ht="24" hidden="1" customHeight="1">
      <c r="A16" s="633" t="s">
        <v>760</v>
      </c>
      <c r="B16" s="692"/>
      <c r="C16" s="633"/>
      <c r="D16" s="633" t="s">
        <v>760</v>
      </c>
      <c r="E16" s="692"/>
      <c r="F16" s="639"/>
      <c r="G16" s="646"/>
      <c r="H16" s="647"/>
      <c r="I16" s="647"/>
    </row>
    <row r="17" spans="1:11" ht="24" hidden="1" customHeight="1">
      <c r="A17" s="633" t="s">
        <v>761</v>
      </c>
      <c r="B17" s="692">
        <v>0</v>
      </c>
      <c r="C17" s="633"/>
      <c r="D17" s="633" t="s">
        <v>761</v>
      </c>
      <c r="E17" s="692">
        <v>0</v>
      </c>
      <c r="F17" s="639"/>
      <c r="G17" s="646"/>
      <c r="H17" s="647"/>
      <c r="I17" s="647"/>
    </row>
    <row r="18" spans="1:11" ht="24" hidden="1" customHeight="1">
      <c r="A18" s="633" t="s">
        <v>762</v>
      </c>
      <c r="B18" s="692">
        <v>0</v>
      </c>
      <c r="C18" s="633"/>
      <c r="D18" s="633" t="s">
        <v>762</v>
      </c>
      <c r="E18" s="692">
        <v>0</v>
      </c>
      <c r="F18" s="639"/>
      <c r="G18" s="646"/>
      <c r="H18" s="647"/>
      <c r="I18" s="647"/>
    </row>
    <row r="19" spans="1:11" ht="24" hidden="1" customHeight="1">
      <c r="A19" s="633" t="s">
        <v>763</v>
      </c>
      <c r="B19" s="692"/>
      <c r="C19" s="633"/>
      <c r="D19" s="633" t="s">
        <v>763</v>
      </c>
      <c r="E19" s="692"/>
      <c r="F19" s="639"/>
      <c r="G19" s="642"/>
    </row>
    <row r="20" spans="1:11" ht="24" customHeight="1">
      <c r="A20" s="633" t="s">
        <v>764</v>
      </c>
      <c r="B20" s="692"/>
      <c r="C20" s="633"/>
      <c r="D20" s="633" t="s">
        <v>764</v>
      </c>
      <c r="E20" s="692"/>
      <c r="F20" s="639"/>
      <c r="G20" s="642"/>
    </row>
    <row r="21" spans="1:11" ht="24" customHeight="1">
      <c r="A21" s="633" t="s">
        <v>765</v>
      </c>
      <c r="B21" s="692">
        <v>0</v>
      </c>
      <c r="C21" s="633"/>
      <c r="D21" s="633" t="s">
        <v>765</v>
      </c>
      <c r="E21" s="692">
        <v>0</v>
      </c>
      <c r="F21" s="639"/>
      <c r="G21" s="642"/>
    </row>
    <row r="22" spans="1:11" ht="24" customHeight="1">
      <c r="A22" s="652" t="s">
        <v>766</v>
      </c>
      <c r="B22" s="678">
        <v>33649</v>
      </c>
      <c r="C22" s="653"/>
      <c r="D22" s="652" t="s">
        <v>766</v>
      </c>
      <c r="E22" s="678">
        <f>'96'!$B$28</f>
        <v>87795</v>
      </c>
      <c r="F22" s="654"/>
      <c r="G22" s="655">
        <f>E22-B22</f>
        <v>54146</v>
      </c>
      <c r="H22" s="687" t="s">
        <v>573</v>
      </c>
    </row>
    <row r="23" spans="1:11" ht="24" customHeight="1">
      <c r="A23" s="652" t="s">
        <v>767</v>
      </c>
      <c r="B23" s="678">
        <v>31492.400000000001</v>
      </c>
      <c r="C23" s="633"/>
      <c r="D23" s="652" t="s">
        <v>767</v>
      </c>
      <c r="E23" s="678">
        <f>'96'!$B$12</f>
        <v>137285.75</v>
      </c>
      <c r="F23" s="639"/>
      <c r="G23" s="655">
        <f>E23-B23</f>
        <v>105793.35</v>
      </c>
      <c r="H23" s="687" t="s">
        <v>768</v>
      </c>
    </row>
    <row r="24" spans="1:11" ht="24" customHeight="1">
      <c r="A24" s="633" t="s">
        <v>769</v>
      </c>
      <c r="B24" s="692">
        <v>0</v>
      </c>
      <c r="C24" s="633"/>
      <c r="D24" s="633" t="s">
        <v>769</v>
      </c>
      <c r="E24" s="692">
        <v>0</v>
      </c>
      <c r="F24" s="639"/>
      <c r="G24" s="655">
        <f>E24-B24</f>
        <v>0</v>
      </c>
      <c r="H24" s="687" t="s">
        <v>769</v>
      </c>
      <c r="J24" s="687"/>
      <c r="K24" s="689"/>
    </row>
    <row r="25" spans="1:11" ht="24" customHeight="1">
      <c r="A25" s="652" t="s">
        <v>770</v>
      </c>
      <c r="B25" s="678">
        <v>50278.66</v>
      </c>
      <c r="C25" s="633"/>
      <c r="D25" s="652" t="s">
        <v>770</v>
      </c>
      <c r="E25" s="678">
        <f>'96'!$B$21</f>
        <v>180401.48</v>
      </c>
      <c r="F25" s="639"/>
      <c r="G25" s="655">
        <f>E25-B25</f>
        <v>130122.82</v>
      </c>
      <c r="H25" s="687" t="s">
        <v>771</v>
      </c>
    </row>
    <row r="26" spans="1:11" ht="24" hidden="1" customHeight="1">
      <c r="A26" s="633" t="s">
        <v>772</v>
      </c>
      <c r="B26" s="692">
        <v>0</v>
      </c>
      <c r="C26" s="633"/>
      <c r="D26" s="633" t="s">
        <v>772</v>
      </c>
      <c r="E26" s="692">
        <v>0</v>
      </c>
      <c r="F26" s="639"/>
      <c r="G26" s="698"/>
    </row>
    <row r="27" spans="1:11" ht="24" hidden="1" customHeight="1">
      <c r="A27" s="633" t="s">
        <v>773</v>
      </c>
      <c r="B27" s="692">
        <v>0</v>
      </c>
      <c r="C27" s="633"/>
      <c r="D27" s="633" t="s">
        <v>773</v>
      </c>
      <c r="E27" s="692">
        <v>0</v>
      </c>
      <c r="F27" s="639"/>
      <c r="G27" s="698"/>
    </row>
    <row r="28" spans="1:11" ht="24" hidden="1" customHeight="1">
      <c r="A28" s="633" t="s">
        <v>774</v>
      </c>
      <c r="B28" s="692">
        <v>0</v>
      </c>
      <c r="C28" s="633"/>
      <c r="D28" s="633" t="s">
        <v>774</v>
      </c>
      <c r="E28" s="692">
        <v>0</v>
      </c>
      <c r="F28" s="639"/>
      <c r="G28" s="699"/>
    </row>
    <row r="29" spans="1:11" ht="24" hidden="1" customHeight="1">
      <c r="A29" s="633" t="s">
        <v>775</v>
      </c>
      <c r="B29" s="692">
        <v>0</v>
      </c>
      <c r="C29" s="633"/>
      <c r="D29" s="633" t="s">
        <v>775</v>
      </c>
      <c r="E29" s="692">
        <v>0</v>
      </c>
      <c r="F29" s="639"/>
      <c r="G29" s="699"/>
    </row>
    <row r="30" spans="1:11" ht="24" hidden="1" customHeight="1">
      <c r="A30" s="633" t="s">
        <v>776</v>
      </c>
      <c r="B30" s="692">
        <v>0</v>
      </c>
      <c r="C30" s="650"/>
      <c r="D30" s="633" t="s">
        <v>776</v>
      </c>
      <c r="E30" s="692">
        <v>0</v>
      </c>
      <c r="F30" s="650"/>
      <c r="G30" s="699"/>
    </row>
    <row r="31" spans="1:11" ht="24" customHeight="1" thickBot="1">
      <c r="A31" s="633" t="s">
        <v>777</v>
      </c>
      <c r="B31" s="692">
        <v>0</v>
      </c>
      <c r="C31" s="633"/>
      <c r="D31" s="633" t="s">
        <v>777</v>
      </c>
      <c r="E31" s="692">
        <v>0</v>
      </c>
      <c r="F31" s="639"/>
      <c r="G31" s="700"/>
      <c r="H31" s="691"/>
    </row>
    <row r="32" spans="1:11">
      <c r="B32" s="673" t="s">
        <v>778</v>
      </c>
      <c r="E32" s="673" t="s">
        <v>778</v>
      </c>
      <c r="G32" s="690"/>
    </row>
    <row r="33" spans="7:7">
      <c r="G33" s="690"/>
    </row>
    <row r="34" spans="7:7">
      <c r="G34" s="690"/>
    </row>
    <row r="35" spans="7:7">
      <c r="G35" s="690"/>
    </row>
    <row r="36" spans="7:7">
      <c r="G36" s="690"/>
    </row>
    <row r="37" spans="7:7">
      <c r="G37" s="690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FF00"/>
  </sheetPr>
  <dimension ref="A1:GK79"/>
  <sheetViews>
    <sheetView zoomScaleNormal="90" workbookViewId="0">
      <pane xSplit="8" ySplit="44" topLeftCell="GA45" activePane="bottomRight" state="frozen"/>
      <selection activeCell="F26" sqref="F26"/>
      <selection pane="topRight" activeCell="F26" sqref="F26"/>
      <selection pane="bottomLeft" activeCell="F26" sqref="F26"/>
      <selection pane="bottomRight" activeCell="B40" sqref="B40"/>
    </sheetView>
  </sheetViews>
  <sheetFormatPr defaultColWidth="8.7109375" defaultRowHeight="16.5"/>
  <cols>
    <col min="1" max="1" width="37.7109375" style="629" customWidth="1"/>
    <col min="2" max="2" width="28.7109375" style="706" customWidth="1"/>
    <col min="3" max="3" width="4.5703125" style="629" customWidth="1"/>
    <col min="4" max="4" width="4.140625" style="629" customWidth="1"/>
    <col min="5" max="5" width="36.5703125" style="629" customWidth="1"/>
    <col min="6" max="6" width="28.7109375" style="706" customWidth="1"/>
    <col min="7" max="7" width="4.5703125" style="629" customWidth="1"/>
    <col min="8" max="8" width="13.5703125" style="629" bestFit="1" customWidth="1"/>
    <col min="9" max="9" width="10.28515625" style="629" customWidth="1"/>
    <col min="10" max="184" width="8.7109375" style="629" customWidth="1"/>
    <col min="185" max="185" width="30.140625" style="629" customWidth="1"/>
    <col min="186" max="186" width="28.7109375" style="629" customWidth="1"/>
    <col min="187" max="187" width="4.5703125" style="629" customWidth="1"/>
    <col min="188" max="188" width="2.140625" style="629" customWidth="1"/>
    <col min="189" max="193" width="12.28515625" style="629" hidden="1" customWidth="1"/>
    <col min="194" max="194" width="0.42578125" style="629" customWidth="1"/>
    <col min="195" max="202" width="3.7109375" style="629" customWidth="1"/>
    <col min="203" max="203" width="0.42578125" style="629" customWidth="1"/>
    <col min="204" max="204" width="2.85546875" style="629" customWidth="1"/>
    <col min="205" max="211" width="3" style="629" customWidth="1"/>
    <col min="212" max="212" width="0.42578125" style="629" customWidth="1"/>
    <col min="213" max="220" width="3" style="629" customWidth="1"/>
    <col min="221" max="221" width="0.42578125" style="629" customWidth="1"/>
    <col min="222" max="227" width="3" style="629" customWidth="1"/>
    <col min="228" max="228" width="3.140625" style="629" customWidth="1"/>
    <col min="229" max="229" width="3.5703125" style="629" customWidth="1"/>
    <col min="230" max="230" width="0.85546875" style="629" customWidth="1"/>
    <col min="231" max="237" width="3" style="629" customWidth="1"/>
    <col min="238" max="238" width="0.42578125" style="629" customWidth="1"/>
    <col min="239" max="246" width="3" style="629" customWidth="1"/>
    <col min="247" max="247" width="0.28515625" style="629" customWidth="1"/>
    <col min="248" max="16384" width="8.7109375" style="629"/>
  </cols>
  <sheetData>
    <row r="1" spans="1:11">
      <c r="A1" s="629" t="s">
        <v>749</v>
      </c>
      <c r="E1" s="629" t="s">
        <v>748</v>
      </c>
    </row>
    <row r="2" spans="1:11">
      <c r="A2" s="628"/>
      <c r="B2" s="670"/>
      <c r="C2" s="628"/>
      <c r="E2" s="628"/>
      <c r="F2" s="670"/>
      <c r="G2" s="628"/>
    </row>
    <row r="3" spans="1:11">
      <c r="A3" s="631" t="s">
        <v>0</v>
      </c>
      <c r="B3" s="671" t="s">
        <v>1</v>
      </c>
      <c r="C3" s="632" t="s">
        <v>2</v>
      </c>
      <c r="D3" s="689"/>
      <c r="E3" s="631" t="s">
        <v>0</v>
      </c>
      <c r="F3" s="671" t="s">
        <v>1</v>
      </c>
      <c r="G3" s="632" t="s">
        <v>2</v>
      </c>
      <c r="H3" s="651"/>
    </row>
    <row r="4" spans="1:11">
      <c r="A4" s="631"/>
      <c r="B4" s="671" t="s">
        <v>3</v>
      </c>
      <c r="C4" s="633"/>
      <c r="E4" s="631"/>
      <c r="F4" s="671" t="s">
        <v>3</v>
      </c>
      <c r="G4" s="633"/>
      <c r="H4" s="651"/>
    </row>
    <row r="5" spans="1:11">
      <c r="A5" s="631" t="s">
        <v>4</v>
      </c>
      <c r="B5" s="672">
        <v>1</v>
      </c>
      <c r="C5" s="633"/>
      <c r="E5" s="631" t="s">
        <v>4</v>
      </c>
      <c r="F5" s="672">
        <v>1</v>
      </c>
      <c r="G5" s="633"/>
      <c r="H5" s="651"/>
    </row>
    <row r="6" spans="1:11" ht="12.75" hidden="1" customHeight="1">
      <c r="B6" s="673"/>
      <c r="C6" s="633"/>
      <c r="F6" s="673"/>
      <c r="G6" s="633"/>
      <c r="H6" s="651"/>
    </row>
    <row r="7" spans="1:11">
      <c r="A7" s="635" t="s">
        <v>5</v>
      </c>
      <c r="B7" s="636">
        <v>43</v>
      </c>
      <c r="C7" s="633"/>
      <c r="E7" s="635" t="s">
        <v>5</v>
      </c>
      <c r="F7" s="636">
        <v>43</v>
      </c>
      <c r="G7" s="633"/>
      <c r="H7" s="651"/>
    </row>
    <row r="8" spans="1:11" ht="24" customHeight="1">
      <c r="A8" s="637" t="s">
        <v>6</v>
      </c>
      <c r="B8" s="638" t="s">
        <v>7</v>
      </c>
      <c r="C8" s="633"/>
      <c r="E8" s="637" t="s">
        <v>6</v>
      </c>
      <c r="F8" s="638" t="s">
        <v>7</v>
      </c>
      <c r="G8" s="633"/>
      <c r="H8" s="714" t="s">
        <v>779</v>
      </c>
    </row>
    <row r="9" spans="1:11" ht="24" hidden="1" customHeight="1">
      <c r="A9" s="643" t="s">
        <v>8</v>
      </c>
      <c r="B9" s="677"/>
      <c r="C9" s="643"/>
      <c r="E9" s="643" t="s">
        <v>8</v>
      </c>
      <c r="F9" s="677"/>
      <c r="G9" s="643"/>
      <c r="H9" s="707"/>
    </row>
    <row r="10" spans="1:11" ht="24" hidden="1" customHeight="1">
      <c r="A10" s="643" t="s">
        <v>9</v>
      </c>
      <c r="B10" s="677"/>
      <c r="C10" s="643"/>
      <c r="E10" s="643" t="s">
        <v>9</v>
      </c>
      <c r="F10" s="677"/>
      <c r="G10" s="643"/>
      <c r="H10" s="707"/>
    </row>
    <row r="11" spans="1:11" ht="24" hidden="1" customHeight="1">
      <c r="A11" s="643" t="s">
        <v>93</v>
      </c>
      <c r="B11" s="677"/>
      <c r="C11" s="643"/>
      <c r="E11" s="643" t="s">
        <v>93</v>
      </c>
      <c r="F11" s="677"/>
      <c r="G11" s="643"/>
      <c r="H11" s="714"/>
    </row>
    <row r="12" spans="1:11" ht="24" hidden="1" customHeight="1">
      <c r="A12" s="643" t="s">
        <v>95</v>
      </c>
      <c r="B12" s="677"/>
      <c r="C12" s="643"/>
      <c r="E12" s="643" t="s">
        <v>95</v>
      </c>
      <c r="F12" s="677"/>
      <c r="G12" s="643"/>
      <c r="H12" s="714"/>
      <c r="K12" s="651"/>
    </row>
    <row r="13" spans="1:11" ht="24" hidden="1" customHeight="1">
      <c r="A13" s="643"/>
      <c r="B13" s="677"/>
      <c r="C13" s="643"/>
      <c r="E13" s="643"/>
      <c r="F13" s="677"/>
      <c r="G13" s="643"/>
      <c r="H13" s="714"/>
    </row>
    <row r="14" spans="1:11" ht="24" hidden="1" customHeight="1">
      <c r="A14" s="643" t="s">
        <v>12</v>
      </c>
      <c r="B14" s="677"/>
      <c r="C14" s="643"/>
      <c r="D14" s="647"/>
      <c r="E14" s="643" t="s">
        <v>12</v>
      </c>
      <c r="F14" s="677"/>
      <c r="G14" s="643"/>
      <c r="H14" s="707"/>
    </row>
    <row r="15" spans="1:11" ht="24" hidden="1" customHeight="1">
      <c r="A15" s="643" t="s">
        <v>13</v>
      </c>
      <c r="B15" s="677"/>
      <c r="C15" s="643"/>
      <c r="D15" s="647"/>
      <c r="E15" s="643" t="s">
        <v>13</v>
      </c>
      <c r="F15" s="677"/>
      <c r="G15" s="643"/>
      <c r="H15" s="707"/>
    </row>
    <row r="16" spans="1:11" ht="24" hidden="1" customHeight="1">
      <c r="A16" s="643" t="s">
        <v>96</v>
      </c>
      <c r="B16" s="677"/>
      <c r="C16" s="643"/>
      <c r="D16" s="647"/>
      <c r="E16" s="643" t="s">
        <v>96</v>
      </c>
      <c r="F16" s="677"/>
      <c r="G16" s="643"/>
      <c r="H16" s="707"/>
    </row>
    <row r="17" spans="1:54" ht="24" hidden="1" customHeight="1">
      <c r="A17" s="633" t="s">
        <v>15</v>
      </c>
      <c r="B17" s="676"/>
      <c r="C17" s="643"/>
      <c r="D17" s="647"/>
      <c r="E17" s="633" t="s">
        <v>15</v>
      </c>
      <c r="F17" s="676"/>
      <c r="G17" s="643"/>
      <c r="H17" s="714"/>
    </row>
    <row r="18" spans="1:54" ht="24" hidden="1" customHeight="1">
      <c r="A18" s="633" t="s">
        <v>16</v>
      </c>
      <c r="B18" s="676"/>
      <c r="C18" s="643"/>
      <c r="D18" s="647"/>
      <c r="E18" s="633" t="s">
        <v>16</v>
      </c>
      <c r="F18" s="676"/>
      <c r="G18" s="643"/>
      <c r="H18" s="714"/>
    </row>
    <row r="19" spans="1:54" ht="24" hidden="1" customHeight="1">
      <c r="A19" s="633" t="s">
        <v>17</v>
      </c>
      <c r="B19" s="676"/>
      <c r="C19" s="643"/>
      <c r="D19" s="647"/>
      <c r="E19" s="633" t="s">
        <v>17</v>
      </c>
      <c r="F19" s="676"/>
      <c r="G19" s="643"/>
      <c r="H19" s="707"/>
    </row>
    <row r="20" spans="1:54" ht="24" hidden="1" customHeight="1">
      <c r="A20" s="633" t="s">
        <v>97</v>
      </c>
      <c r="B20" s="676"/>
      <c r="C20" s="643"/>
      <c r="E20" s="633" t="s">
        <v>97</v>
      </c>
      <c r="F20" s="676"/>
      <c r="G20" s="643"/>
      <c r="H20" s="706">
        <v>22.02</v>
      </c>
    </row>
    <row r="21" spans="1:54" ht="24" hidden="1" customHeight="1">
      <c r="A21" s="633" t="s">
        <v>19</v>
      </c>
      <c r="B21" s="676"/>
      <c r="C21" s="643"/>
      <c r="E21" s="633" t="s">
        <v>19</v>
      </c>
      <c r="F21" s="676"/>
      <c r="G21" s="643"/>
      <c r="H21" s="706">
        <v>22</v>
      </c>
    </row>
    <row r="22" spans="1:54" ht="24" hidden="1" customHeight="1">
      <c r="A22" s="633" t="s">
        <v>20</v>
      </c>
      <c r="B22" s="676"/>
      <c r="C22" s="643"/>
      <c r="E22" s="633" t="s">
        <v>20</v>
      </c>
      <c r="F22" s="676"/>
      <c r="G22" s="643"/>
      <c r="H22" s="706"/>
    </row>
    <row r="23" spans="1:54" ht="8.25" hidden="1" customHeight="1">
      <c r="A23" s="643"/>
      <c r="B23" s="677"/>
      <c r="C23" s="650"/>
      <c r="E23" s="643"/>
      <c r="F23" s="677"/>
      <c r="G23" s="650"/>
      <c r="H23" s="706"/>
    </row>
    <row r="24" spans="1:54" ht="16.5" hidden="1" customHeight="1">
      <c r="A24" s="643" t="s">
        <v>24</v>
      </c>
      <c r="B24" s="677"/>
      <c r="C24" s="643"/>
      <c r="E24" s="643" t="s">
        <v>24</v>
      </c>
      <c r="F24" s="677"/>
      <c r="G24" s="643"/>
      <c r="H24" s="707"/>
    </row>
    <row r="25" spans="1:54" hidden="1">
      <c r="A25" s="643" t="s">
        <v>25</v>
      </c>
      <c r="B25" s="707"/>
      <c r="C25" s="643"/>
      <c r="E25" s="643" t="s">
        <v>25</v>
      </c>
      <c r="F25" s="707"/>
      <c r="G25" s="643"/>
      <c r="H25" s="706"/>
    </row>
    <row r="26" spans="1:54" ht="24" customHeight="1">
      <c r="A26" s="652" t="s">
        <v>26</v>
      </c>
      <c r="B26" s="678">
        <v>2754360</v>
      </c>
      <c r="C26" s="703"/>
      <c r="E26" s="652" t="s">
        <v>26</v>
      </c>
      <c r="F26" s="678">
        <f>'43'!$B$26</f>
        <v>3055780</v>
      </c>
      <c r="G26" s="703"/>
      <c r="H26" s="710">
        <f>F26-B26</f>
        <v>301420</v>
      </c>
      <c r="I26" s="634">
        <f>F26-B26</f>
        <v>301420</v>
      </c>
    </row>
    <row r="27" spans="1:54" ht="24" customHeight="1">
      <c r="A27" s="652" t="s">
        <v>27</v>
      </c>
      <c r="B27" s="678">
        <v>1506929.43</v>
      </c>
      <c r="C27" s="643"/>
      <c r="E27" s="652" t="s">
        <v>27</v>
      </c>
      <c r="F27" s="678">
        <f>'43'!$B$27</f>
        <v>1665674.65</v>
      </c>
      <c r="G27" s="643"/>
      <c r="H27" s="710">
        <f>F27-B27</f>
        <v>158745.21999999997</v>
      </c>
    </row>
    <row r="28" spans="1:54" ht="15" customHeight="1">
      <c r="A28" s="651" t="s">
        <v>28</v>
      </c>
      <c r="B28" s="679"/>
      <c r="C28" s="643"/>
      <c r="E28" s="651" t="s">
        <v>28</v>
      </c>
      <c r="F28" s="679"/>
      <c r="G28" s="643"/>
      <c r="H28" s="711"/>
      <c r="AT28" s="659"/>
      <c r="AU28" s="647"/>
      <c r="AV28" s="647"/>
      <c r="AW28" s="647"/>
      <c r="AX28" s="647"/>
      <c r="AY28" s="647"/>
      <c r="AZ28" s="647"/>
      <c r="BA28" s="647"/>
      <c r="BB28" s="647"/>
    </row>
    <row r="29" spans="1:54" ht="24" hidden="1" customHeight="1">
      <c r="A29" s="633" t="s">
        <v>29</v>
      </c>
      <c r="B29" s="680"/>
      <c r="C29" s="704"/>
      <c r="E29" s="633" t="s">
        <v>29</v>
      </c>
      <c r="F29" s="680"/>
      <c r="G29" s="704"/>
      <c r="H29" s="712"/>
    </row>
    <row r="30" spans="1:54" ht="24" hidden="1" customHeight="1">
      <c r="A30" s="633" t="s">
        <v>30</v>
      </c>
      <c r="B30" s="680"/>
      <c r="C30" s="643"/>
      <c r="E30" s="633" t="s">
        <v>30</v>
      </c>
      <c r="F30" s="680"/>
      <c r="G30" s="643"/>
      <c r="H30" s="712"/>
    </row>
    <row r="31" spans="1:54" ht="24" hidden="1" customHeight="1">
      <c r="A31" s="633" t="s">
        <v>98</v>
      </c>
      <c r="B31" s="680"/>
      <c r="C31" s="643"/>
      <c r="E31" s="633" t="s">
        <v>98</v>
      </c>
      <c r="F31" s="680"/>
      <c r="G31" s="643"/>
      <c r="H31" s="712"/>
    </row>
    <row r="32" spans="1:54" ht="24" hidden="1" customHeight="1">
      <c r="A32" s="633" t="s">
        <v>99</v>
      </c>
      <c r="B32" s="684"/>
      <c r="C32" s="643"/>
      <c r="E32" s="633" t="s">
        <v>99</v>
      </c>
      <c r="F32" s="684"/>
      <c r="G32" s="643"/>
      <c r="H32" s="712"/>
    </row>
    <row r="33" spans="1:54" ht="24" hidden="1" customHeight="1">
      <c r="A33" s="633" t="s">
        <v>100</v>
      </c>
      <c r="B33" s="684"/>
      <c r="C33" s="643"/>
      <c r="E33" s="633" t="s">
        <v>100</v>
      </c>
      <c r="F33" s="684"/>
      <c r="G33" s="643"/>
      <c r="H33" s="712"/>
    </row>
    <row r="34" spans="1:54" ht="24" hidden="1" customHeight="1">
      <c r="A34" s="633" t="s">
        <v>101</v>
      </c>
      <c r="B34" s="684"/>
      <c r="C34" s="643"/>
      <c r="E34" s="633" t="s">
        <v>101</v>
      </c>
      <c r="F34" s="684"/>
      <c r="G34" s="643"/>
      <c r="H34" s="712"/>
    </row>
    <row r="35" spans="1:54" ht="24" hidden="1" customHeight="1">
      <c r="A35" s="633" t="s">
        <v>102</v>
      </c>
      <c r="B35" s="684"/>
      <c r="C35" s="643"/>
      <c r="E35" s="633" t="s">
        <v>102</v>
      </c>
      <c r="F35" s="684"/>
      <c r="G35" s="643"/>
      <c r="H35" s="712"/>
    </row>
    <row r="36" spans="1:54" ht="24" hidden="1" customHeight="1">
      <c r="B36" s="708"/>
      <c r="C36" s="643"/>
      <c r="F36" s="708"/>
      <c r="G36" s="643"/>
      <c r="H36" s="712"/>
    </row>
    <row r="37" spans="1:54" ht="24" hidden="1" customHeight="1">
      <c r="A37" s="643" t="s">
        <v>37</v>
      </c>
      <c r="B37" s="681"/>
      <c r="C37" s="643"/>
      <c r="D37" s="651"/>
      <c r="E37" s="643" t="s">
        <v>37</v>
      </c>
      <c r="F37" s="681"/>
      <c r="G37" s="643"/>
      <c r="H37" s="711"/>
      <c r="I37" s="702"/>
    </row>
    <row r="38" spans="1:54" ht="15" customHeight="1">
      <c r="A38" s="633" t="s">
        <v>38</v>
      </c>
      <c r="B38" s="682"/>
      <c r="C38" s="703"/>
      <c r="E38" s="633" t="s">
        <v>38</v>
      </c>
      <c r="F38" s="682"/>
      <c r="G38" s="703"/>
      <c r="H38" s="712"/>
    </row>
    <row r="39" spans="1:54" ht="24" customHeight="1">
      <c r="A39" s="652" t="s">
        <v>39</v>
      </c>
      <c r="B39" s="678">
        <v>121350</v>
      </c>
      <c r="C39" s="643"/>
      <c r="E39" s="652" t="s">
        <v>39</v>
      </c>
      <c r="F39" s="678">
        <f>'43'!$B$39</f>
        <v>128850</v>
      </c>
      <c r="G39" s="643"/>
      <c r="H39" s="710">
        <f>+F39-B39</f>
        <v>7500</v>
      </c>
      <c r="AT39" s="659"/>
      <c r="AU39" s="647"/>
      <c r="AV39" s="647"/>
      <c r="AW39" s="647"/>
      <c r="AX39" s="647"/>
      <c r="AY39" s="647"/>
      <c r="AZ39" s="647"/>
      <c r="BA39" s="647"/>
      <c r="BB39" s="647"/>
    </row>
    <row r="40" spans="1:54" ht="24" customHeight="1">
      <c r="A40" s="652" t="s">
        <v>40</v>
      </c>
      <c r="B40" s="678">
        <v>1634.18</v>
      </c>
      <c r="C40" s="643"/>
      <c r="E40" s="652" t="s">
        <v>40</v>
      </c>
      <c r="F40" s="678">
        <f>'43'!$B$40</f>
        <v>2188.06</v>
      </c>
      <c r="G40" s="643"/>
      <c r="H40" s="710">
        <f>+F40-B40</f>
        <v>553.87999999999988</v>
      </c>
      <c r="AT40" s="647"/>
      <c r="AU40" s="647"/>
      <c r="AV40" s="647"/>
      <c r="AW40" s="647"/>
      <c r="AX40" s="647"/>
      <c r="AY40" s="647"/>
      <c r="AZ40" s="647"/>
      <c r="BA40" s="647"/>
      <c r="BB40" s="647"/>
    </row>
    <row r="41" spans="1:54">
      <c r="A41" s="661" t="s">
        <v>41</v>
      </c>
      <c r="B41" s="683">
        <v>0</v>
      </c>
      <c r="C41" s="705"/>
      <c r="E41" s="661" t="s">
        <v>41</v>
      </c>
      <c r="F41" s="683">
        <v>0</v>
      </c>
      <c r="G41" s="705"/>
      <c r="H41" s="712"/>
    </row>
    <row r="42" spans="1:54" ht="24" hidden="1" customHeight="1">
      <c r="A42" s="633" t="s">
        <v>42</v>
      </c>
      <c r="B42" s="708"/>
      <c r="C42" s="643"/>
      <c r="E42" s="633" t="s">
        <v>42</v>
      </c>
      <c r="F42" s="708"/>
      <c r="G42" s="643"/>
      <c r="H42" s="712"/>
    </row>
    <row r="43" spans="1:54" ht="17.25" customHeight="1">
      <c r="A43" s="633" t="s">
        <v>43</v>
      </c>
      <c r="B43" s="684">
        <v>0</v>
      </c>
      <c r="C43" s="643"/>
      <c r="D43" s="651"/>
      <c r="E43" s="633" t="s">
        <v>43</v>
      </c>
      <c r="F43" s="684">
        <v>0</v>
      </c>
      <c r="G43" s="643"/>
      <c r="H43" s="712"/>
    </row>
    <row r="44" spans="1:54" ht="24" customHeight="1">
      <c r="A44" s="652" t="s">
        <v>44</v>
      </c>
      <c r="B44" s="678">
        <v>3366201.22</v>
      </c>
      <c r="C44" s="643"/>
      <c r="E44" s="652" t="s">
        <v>44</v>
      </c>
      <c r="F44" s="678">
        <f>'43'!$B$44</f>
        <v>3725703.78</v>
      </c>
      <c r="G44" s="643"/>
      <c r="H44" s="710">
        <f>+F44-B44</f>
        <v>359502.55999999959</v>
      </c>
    </row>
    <row r="45" spans="1:54" ht="24" customHeight="1">
      <c r="A45" s="633" t="s">
        <v>45</v>
      </c>
      <c r="B45" s="678">
        <v>3366201.22</v>
      </c>
      <c r="C45" s="633"/>
      <c r="E45" s="633" t="s">
        <v>45</v>
      </c>
      <c r="F45" s="678">
        <f>$F$44</f>
        <v>3725703.78</v>
      </c>
      <c r="G45" s="664"/>
      <c r="H45" s="713"/>
    </row>
    <row r="46" spans="1:54" ht="24" hidden="1" customHeight="1">
      <c r="A46" s="633" t="s">
        <v>46</v>
      </c>
      <c r="B46" s="676">
        <v>0</v>
      </c>
      <c r="C46" s="643"/>
      <c r="E46" s="633" t="s">
        <v>46</v>
      </c>
      <c r="F46" s="676">
        <v>0</v>
      </c>
      <c r="G46" s="643"/>
    </row>
    <row r="47" spans="1:54" ht="24" hidden="1" customHeight="1">
      <c r="A47" s="633" t="s">
        <v>47</v>
      </c>
      <c r="B47" s="676">
        <v>0</v>
      </c>
      <c r="C47" s="643"/>
      <c r="E47" s="633" t="s">
        <v>47</v>
      </c>
      <c r="F47" s="676">
        <v>0</v>
      </c>
      <c r="G47" s="643"/>
    </row>
    <row r="48" spans="1:54" ht="8.25" hidden="1" customHeight="1">
      <c r="A48" s="643"/>
      <c r="B48" s="677"/>
      <c r="C48" s="650"/>
      <c r="E48" s="643"/>
      <c r="F48" s="677"/>
      <c r="G48" s="650"/>
    </row>
    <row r="49" spans="1:9" ht="24" hidden="1" customHeight="1">
      <c r="A49" s="643" t="s">
        <v>48</v>
      </c>
      <c r="B49" s="677"/>
      <c r="C49" s="643"/>
      <c r="D49" s="651"/>
      <c r="E49" s="643" t="s">
        <v>48</v>
      </c>
      <c r="F49" s="677"/>
      <c r="G49" s="643"/>
      <c r="H49" s="702"/>
      <c r="I49" s="702"/>
    </row>
    <row r="50" spans="1:9" ht="24" hidden="1" customHeight="1">
      <c r="A50" s="633"/>
      <c r="B50" s="676">
        <v>0</v>
      </c>
      <c r="C50" s="643"/>
      <c r="E50" s="633"/>
      <c r="F50" s="676">
        <v>0</v>
      </c>
      <c r="G50" s="643"/>
    </row>
    <row r="51" spans="1:9" ht="24" hidden="1" customHeight="1">
      <c r="A51" s="633" t="s">
        <v>49</v>
      </c>
      <c r="B51" s="676">
        <v>0</v>
      </c>
      <c r="C51" s="643"/>
      <c r="E51" s="633" t="s">
        <v>49</v>
      </c>
      <c r="F51" s="676">
        <v>0</v>
      </c>
      <c r="G51" s="643"/>
    </row>
    <row r="52" spans="1:9" ht="24" hidden="1" customHeight="1">
      <c r="A52" s="633" t="s">
        <v>50</v>
      </c>
      <c r="B52" s="676">
        <v>0</v>
      </c>
      <c r="C52" s="643"/>
      <c r="E52" s="633" t="s">
        <v>50</v>
      </c>
      <c r="F52" s="676">
        <v>0</v>
      </c>
      <c r="G52" s="643"/>
    </row>
    <row r="53" spans="1:9" ht="24" hidden="1" customHeight="1">
      <c r="A53" s="633" t="s">
        <v>51</v>
      </c>
      <c r="B53" s="676">
        <v>0</v>
      </c>
      <c r="C53" s="643"/>
      <c r="E53" s="633" t="s">
        <v>51</v>
      </c>
      <c r="F53" s="676">
        <v>0</v>
      </c>
      <c r="G53" s="643"/>
    </row>
    <row r="54" spans="1:9" ht="24" hidden="1" customHeight="1">
      <c r="A54" s="633"/>
      <c r="B54" s="676"/>
      <c r="C54" s="643"/>
      <c r="E54" s="633"/>
      <c r="F54" s="676"/>
      <c r="G54" s="643"/>
    </row>
    <row r="55" spans="1:9" ht="24" hidden="1" customHeight="1">
      <c r="A55" s="633" t="s">
        <v>52</v>
      </c>
      <c r="B55" s="676">
        <v>0</v>
      </c>
      <c r="C55" s="643"/>
      <c r="E55" s="633" t="s">
        <v>52</v>
      </c>
      <c r="F55" s="676">
        <v>0</v>
      </c>
      <c r="G55" s="643"/>
    </row>
    <row r="56" spans="1:9" ht="24" hidden="1" customHeight="1">
      <c r="A56" s="633" t="s">
        <v>53</v>
      </c>
      <c r="B56" s="676">
        <v>0</v>
      </c>
      <c r="C56" s="643"/>
      <c r="E56" s="633" t="s">
        <v>53</v>
      </c>
      <c r="F56" s="676">
        <v>0</v>
      </c>
      <c r="G56" s="643"/>
    </row>
    <row r="57" spans="1:9" ht="24" hidden="1" customHeight="1">
      <c r="A57" s="633" t="s">
        <v>54</v>
      </c>
      <c r="B57" s="676">
        <v>0</v>
      </c>
      <c r="C57" s="643"/>
      <c r="E57" s="633" t="s">
        <v>54</v>
      </c>
      <c r="F57" s="676">
        <v>0</v>
      </c>
      <c r="G57" s="643"/>
    </row>
    <row r="58" spans="1:9" ht="24" hidden="1" customHeight="1">
      <c r="A58" s="633" t="s">
        <v>55</v>
      </c>
      <c r="B58" s="676">
        <v>0</v>
      </c>
      <c r="C58" s="643"/>
      <c r="E58" s="633" t="s">
        <v>55</v>
      </c>
      <c r="F58" s="676">
        <v>0</v>
      </c>
      <c r="G58" s="643"/>
    </row>
    <row r="59" spans="1:9" ht="24" hidden="1" customHeight="1">
      <c r="A59" s="633" t="s">
        <v>56</v>
      </c>
      <c r="B59" s="676">
        <v>0</v>
      </c>
      <c r="C59" s="643"/>
      <c r="E59" s="633" t="s">
        <v>56</v>
      </c>
      <c r="F59" s="676">
        <v>0</v>
      </c>
      <c r="G59" s="643"/>
    </row>
    <row r="60" spans="1:9" ht="24" hidden="1" customHeight="1">
      <c r="A60" s="633" t="s">
        <v>57</v>
      </c>
      <c r="B60" s="676">
        <v>0</v>
      </c>
      <c r="C60" s="643"/>
      <c r="E60" s="633" t="s">
        <v>57</v>
      </c>
      <c r="F60" s="676">
        <v>0</v>
      </c>
      <c r="G60" s="643"/>
    </row>
    <row r="61" spans="1:9" ht="24" hidden="1" customHeight="1">
      <c r="A61" s="633"/>
      <c r="B61" s="676"/>
      <c r="C61" s="643"/>
      <c r="E61" s="633"/>
      <c r="F61" s="676"/>
      <c r="G61" s="643"/>
    </row>
    <row r="62" spans="1:9" ht="24" hidden="1" customHeight="1">
      <c r="A62" s="643" t="s">
        <v>58</v>
      </c>
      <c r="B62" s="709"/>
      <c r="C62" s="643"/>
      <c r="E62" s="643" t="s">
        <v>58</v>
      </c>
      <c r="F62" s="709"/>
      <c r="G62" s="643"/>
    </row>
    <row r="63" spans="1:9" ht="24" hidden="1" customHeight="1">
      <c r="A63" s="643" t="s">
        <v>59</v>
      </c>
      <c r="B63" s="709"/>
      <c r="C63" s="643"/>
      <c r="E63" s="643" t="s">
        <v>59</v>
      </c>
      <c r="F63" s="709"/>
      <c r="G63" s="643"/>
    </row>
    <row r="64" spans="1:9" ht="24" hidden="1" customHeight="1">
      <c r="A64" s="643" t="s">
        <v>60</v>
      </c>
      <c r="B64" s="709"/>
      <c r="C64" s="643"/>
      <c r="E64" s="643" t="s">
        <v>60</v>
      </c>
      <c r="F64" s="709"/>
      <c r="G64" s="643"/>
    </row>
    <row r="65" spans="1:7" ht="24" hidden="1" customHeight="1">
      <c r="A65" s="643" t="s">
        <v>61</v>
      </c>
      <c r="B65" s="709"/>
      <c r="C65" s="643"/>
      <c r="E65" s="643" t="s">
        <v>61</v>
      </c>
      <c r="F65" s="709"/>
      <c r="G65" s="643"/>
    </row>
    <row r="66" spans="1:7" ht="24" hidden="1" customHeight="1">
      <c r="A66" s="633" t="s">
        <v>103</v>
      </c>
      <c r="B66" s="686"/>
      <c r="C66" s="643"/>
      <c r="E66" s="633" t="s">
        <v>103</v>
      </c>
      <c r="F66" s="686"/>
      <c r="G66" s="643"/>
    </row>
    <row r="67" spans="1:7" ht="24" hidden="1" customHeight="1">
      <c r="A67" s="633"/>
      <c r="B67" s="676"/>
      <c r="C67" s="643"/>
      <c r="E67" s="633"/>
      <c r="F67" s="676"/>
      <c r="G67" s="643"/>
    </row>
    <row r="68" spans="1:7" ht="24" hidden="1" customHeight="1">
      <c r="A68" s="633"/>
      <c r="B68" s="676"/>
      <c r="C68" s="643"/>
      <c r="E68" s="633"/>
      <c r="F68" s="676"/>
      <c r="G68" s="643"/>
    </row>
    <row r="69" spans="1:7" ht="24" hidden="1" customHeight="1">
      <c r="A69" s="633"/>
      <c r="B69" s="676"/>
      <c r="C69" s="643"/>
      <c r="E69" s="633"/>
      <c r="F69" s="676"/>
      <c r="G69" s="643"/>
    </row>
    <row r="70" spans="1:7" ht="24" hidden="1" customHeight="1">
      <c r="A70" s="633"/>
      <c r="B70" s="676"/>
      <c r="C70" s="643"/>
      <c r="E70" s="633"/>
      <c r="F70" s="676"/>
      <c r="G70" s="643"/>
    </row>
    <row r="71" spans="1:7" ht="24" hidden="1" customHeight="1">
      <c r="A71" s="633"/>
      <c r="B71" s="676"/>
      <c r="C71" s="643"/>
      <c r="E71" s="633"/>
      <c r="F71" s="676"/>
      <c r="G71" s="643"/>
    </row>
    <row r="72" spans="1:7" ht="24" hidden="1" customHeight="1">
      <c r="A72" s="633"/>
      <c r="B72" s="676"/>
      <c r="C72" s="643"/>
      <c r="E72" s="633"/>
      <c r="F72" s="676"/>
      <c r="G72" s="643"/>
    </row>
    <row r="73" spans="1:7" ht="24" hidden="1" customHeight="1">
      <c r="A73" s="633"/>
      <c r="B73" s="676"/>
      <c r="C73" s="643"/>
      <c r="E73" s="633"/>
      <c r="F73" s="676"/>
      <c r="G73" s="643"/>
    </row>
    <row r="74" spans="1:7" ht="15.75" customHeight="1">
      <c r="C74" s="651"/>
      <c r="G74" s="651"/>
    </row>
    <row r="75" spans="1:7">
      <c r="C75" s="651"/>
      <c r="G75" s="651"/>
    </row>
    <row r="76" spans="1:7">
      <c r="C76" s="651"/>
      <c r="G76" s="651"/>
    </row>
    <row r="77" spans="1:7">
      <c r="C77" s="651"/>
      <c r="G77" s="651"/>
    </row>
    <row r="78" spans="1:7">
      <c r="C78" s="651"/>
      <c r="G78" s="651"/>
    </row>
    <row r="79" spans="1:7">
      <c r="C79" s="651"/>
      <c r="G79" s="651"/>
    </row>
  </sheetData>
  <pageMargins left="0.70000000000000007" right="0.70000000000000007" top="1.1437007874015745" bottom="1.1437007874015745" header="0.74999999999999989" footer="0.74999999999999989"/>
  <pageSetup fitToWidth="0" fitToHeight="0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FF00"/>
  </sheetPr>
  <dimension ref="A1:GV41"/>
  <sheetViews>
    <sheetView workbookViewId="0">
      <selection activeCell="B26" sqref="B26:B41"/>
    </sheetView>
  </sheetViews>
  <sheetFormatPr defaultColWidth="3" defaultRowHeight="16.5"/>
  <cols>
    <col min="1" max="1" width="45.7109375" style="629" bestFit="1" customWidth="1"/>
    <col min="2" max="2" width="24" style="673" customWidth="1"/>
    <col min="3" max="3" width="4.5703125" style="629" customWidth="1"/>
    <col min="4" max="4" width="3.28515625" style="629" customWidth="1"/>
    <col min="5" max="5" width="45.7109375" style="629" bestFit="1" customWidth="1"/>
    <col min="6" max="6" width="26.28515625" style="673" bestFit="1" customWidth="1"/>
    <col min="7" max="7" width="4.5703125" style="629" customWidth="1"/>
    <col min="8" max="8" width="15.28515625" style="629" customWidth="1"/>
    <col min="9" max="9" width="27.710937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/>
    <col min="223" max="223" width="0.42578125" style="629" customWidth="1"/>
    <col min="224" max="231" width="3" style="629"/>
    <col min="232" max="232" width="0.42578125" style="629" customWidth="1"/>
    <col min="233" max="238" width="3" style="629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/>
    <col min="249" max="249" width="0.42578125" style="629" customWidth="1"/>
    <col min="250" max="16384" width="3" style="629"/>
  </cols>
  <sheetData>
    <row r="1" spans="1:10">
      <c r="A1" s="626" t="s">
        <v>749</v>
      </c>
      <c r="B1" s="670"/>
      <c r="C1" s="628"/>
      <c r="E1" s="626" t="s">
        <v>748</v>
      </c>
      <c r="F1" s="670"/>
      <c r="G1" s="628"/>
    </row>
    <row r="2" spans="1:10">
      <c r="A2" s="631" t="s">
        <v>0</v>
      </c>
      <c r="B2" s="671" t="s">
        <v>1</v>
      </c>
      <c r="C2" s="632" t="s">
        <v>2</v>
      </c>
      <c r="E2" s="631" t="s">
        <v>0</v>
      </c>
      <c r="F2" s="671" t="s">
        <v>1</v>
      </c>
      <c r="G2" s="632" t="s">
        <v>2</v>
      </c>
    </row>
    <row r="3" spans="1:10">
      <c r="A3" s="631"/>
      <c r="B3" s="671" t="s">
        <v>3</v>
      </c>
      <c r="C3" s="633"/>
      <c r="E3" s="631"/>
      <c r="F3" s="671" t="s">
        <v>3</v>
      </c>
      <c r="G3" s="633"/>
    </row>
    <row r="4" spans="1:10">
      <c r="A4" s="631" t="s">
        <v>4</v>
      </c>
      <c r="B4" s="672">
        <v>1</v>
      </c>
      <c r="C4" s="633"/>
      <c r="E4" s="631" t="s">
        <v>4</v>
      </c>
      <c r="F4" s="672">
        <v>1</v>
      </c>
      <c r="G4" s="633"/>
    </row>
    <row r="5" spans="1:10" ht="12.75" hidden="1" customHeight="1">
      <c r="C5" s="633"/>
      <c r="G5" s="633"/>
    </row>
    <row r="6" spans="1:10" ht="17.25" thickBot="1">
      <c r="A6" s="635" t="s">
        <v>5</v>
      </c>
      <c r="B6" s="636">
        <v>111</v>
      </c>
      <c r="C6" s="633"/>
      <c r="E6" s="635" t="s">
        <v>5</v>
      </c>
      <c r="F6" s="636">
        <f>+B6</f>
        <v>111</v>
      </c>
      <c r="G6" s="633"/>
    </row>
    <row r="7" spans="1:10" ht="24" customHeight="1">
      <c r="A7" s="637" t="s">
        <v>6</v>
      </c>
      <c r="B7" s="638" t="s">
        <v>7</v>
      </c>
      <c r="C7" s="633"/>
      <c r="E7" s="637" t="s">
        <v>6</v>
      </c>
      <c r="F7" s="638" t="s">
        <v>7</v>
      </c>
      <c r="G7" s="639"/>
      <c r="H7" s="697" t="s">
        <v>779</v>
      </c>
    </row>
    <row r="8" spans="1:10" ht="24" hidden="1" customHeight="1">
      <c r="A8" s="633" t="s">
        <v>8</v>
      </c>
      <c r="B8" s="674"/>
      <c r="C8" s="633"/>
      <c r="E8" s="633" t="s">
        <v>8</v>
      </c>
      <c r="F8" s="674"/>
      <c r="G8" s="639"/>
      <c r="H8" s="698"/>
    </row>
    <row r="9" spans="1:10" ht="24" hidden="1" customHeight="1">
      <c r="A9" s="633" t="s">
        <v>9</v>
      </c>
      <c r="B9" s="674"/>
      <c r="C9" s="633"/>
      <c r="E9" s="633" t="s">
        <v>9</v>
      </c>
      <c r="F9" s="674"/>
      <c r="G9" s="639"/>
      <c r="H9" s="698"/>
    </row>
    <row r="10" spans="1:10" ht="24" hidden="1" customHeight="1">
      <c r="A10" s="633" t="s">
        <v>93</v>
      </c>
      <c r="B10" s="674"/>
      <c r="C10" s="633"/>
      <c r="E10" s="633" t="s">
        <v>93</v>
      </c>
      <c r="F10" s="674"/>
      <c r="G10" s="639"/>
      <c r="H10" s="698"/>
    </row>
    <row r="11" spans="1:10" ht="24" hidden="1" customHeight="1">
      <c r="A11" s="633" t="s">
        <v>95</v>
      </c>
      <c r="B11" s="674"/>
      <c r="C11" s="633"/>
      <c r="E11" s="633" t="s">
        <v>95</v>
      </c>
      <c r="F11" s="674"/>
      <c r="G11" s="639"/>
      <c r="H11" s="698"/>
    </row>
    <row r="12" spans="1:10" ht="24" hidden="1" customHeight="1">
      <c r="A12" s="633"/>
      <c r="B12" s="674"/>
      <c r="C12" s="633"/>
      <c r="E12" s="633"/>
      <c r="F12" s="674"/>
      <c r="G12" s="639"/>
      <c r="H12" s="698"/>
    </row>
    <row r="13" spans="1:10" ht="24" hidden="1" customHeight="1">
      <c r="A13" s="643" t="s">
        <v>12</v>
      </c>
      <c r="B13" s="675"/>
      <c r="C13" s="643"/>
      <c r="D13" s="645"/>
      <c r="E13" s="643" t="s">
        <v>12</v>
      </c>
      <c r="F13" s="675"/>
      <c r="G13" s="639"/>
      <c r="H13" s="715"/>
      <c r="I13" s="647"/>
      <c r="J13" s="647"/>
    </row>
    <row r="14" spans="1:10" ht="24" hidden="1" customHeight="1">
      <c r="A14" s="643" t="s">
        <v>13</v>
      </c>
      <c r="B14" s="675"/>
      <c r="C14" s="643"/>
      <c r="D14" s="645"/>
      <c r="E14" s="643" t="s">
        <v>13</v>
      </c>
      <c r="F14" s="675"/>
      <c r="G14" s="639"/>
      <c r="H14" s="715"/>
      <c r="I14" s="647"/>
      <c r="J14" s="647"/>
    </row>
    <row r="15" spans="1:10" ht="24" hidden="1" customHeight="1">
      <c r="A15" s="643" t="s">
        <v>96</v>
      </c>
      <c r="B15" s="675"/>
      <c r="C15" s="643"/>
      <c r="D15" s="645"/>
      <c r="E15" s="643" t="s">
        <v>96</v>
      </c>
      <c r="F15" s="675"/>
      <c r="G15" s="639"/>
      <c r="H15" s="715"/>
      <c r="I15" s="647"/>
      <c r="J15" s="647"/>
    </row>
    <row r="16" spans="1:10" ht="24" hidden="1" customHeight="1">
      <c r="A16" s="633" t="s">
        <v>15</v>
      </c>
      <c r="B16" s="676">
        <v>0</v>
      </c>
      <c r="C16" s="633"/>
      <c r="D16" s="647"/>
      <c r="E16" s="633" t="s">
        <v>15</v>
      </c>
      <c r="F16" s="676">
        <v>0</v>
      </c>
      <c r="G16" s="639"/>
      <c r="H16" s="715"/>
      <c r="I16" s="647"/>
      <c r="J16" s="647"/>
    </row>
    <row r="17" spans="1:65" ht="24" hidden="1" customHeight="1">
      <c r="A17" s="633" t="s">
        <v>16</v>
      </c>
      <c r="B17" s="676">
        <v>0</v>
      </c>
      <c r="C17" s="633"/>
      <c r="D17" s="647"/>
      <c r="E17" s="633" t="s">
        <v>16</v>
      </c>
      <c r="F17" s="676">
        <v>0</v>
      </c>
      <c r="G17" s="639"/>
      <c r="H17" s="715"/>
      <c r="I17" s="647"/>
      <c r="J17" s="647"/>
    </row>
    <row r="18" spans="1:65" ht="24" hidden="1" customHeight="1">
      <c r="A18" s="633" t="s">
        <v>17</v>
      </c>
      <c r="B18" s="676"/>
      <c r="C18" s="633"/>
      <c r="D18" s="647"/>
      <c r="E18" s="633" t="s">
        <v>17</v>
      </c>
      <c r="F18" s="676"/>
      <c r="G18" s="639"/>
      <c r="H18" s="715"/>
      <c r="I18" s="647"/>
      <c r="J18" s="647"/>
    </row>
    <row r="19" spans="1:65" ht="24" hidden="1" customHeight="1">
      <c r="A19" s="633" t="s">
        <v>97</v>
      </c>
      <c r="B19" s="676"/>
      <c r="C19" s="633"/>
      <c r="E19" s="633" t="s">
        <v>97</v>
      </c>
      <c r="F19" s="676"/>
      <c r="G19" s="639"/>
      <c r="H19" s="698"/>
    </row>
    <row r="20" spans="1:65" ht="24" hidden="1" customHeight="1">
      <c r="A20" s="633" t="s">
        <v>19</v>
      </c>
      <c r="B20" s="676">
        <v>0</v>
      </c>
      <c r="C20" s="633"/>
      <c r="E20" s="633" t="s">
        <v>19</v>
      </c>
      <c r="F20" s="676">
        <v>0</v>
      </c>
      <c r="G20" s="639"/>
      <c r="H20" s="698"/>
    </row>
    <row r="21" spans="1:65" ht="24" hidden="1" customHeight="1">
      <c r="A21" s="633" t="s">
        <v>20</v>
      </c>
      <c r="B21" s="676">
        <v>0</v>
      </c>
      <c r="C21" s="633"/>
      <c r="E21" s="633" t="s">
        <v>20</v>
      </c>
      <c r="F21" s="676">
        <v>0</v>
      </c>
      <c r="G21" s="639"/>
      <c r="H21" s="698"/>
    </row>
    <row r="22" spans="1:65" ht="24" hidden="1" customHeight="1">
      <c r="A22" s="633"/>
      <c r="B22" s="676"/>
      <c r="C22" s="633"/>
      <c r="E22" s="633"/>
      <c r="F22" s="676"/>
      <c r="G22" s="639"/>
      <c r="H22" s="698"/>
    </row>
    <row r="23" spans="1:65" ht="8.25" hidden="1" customHeight="1">
      <c r="A23" s="643"/>
      <c r="B23" s="677"/>
      <c r="C23" s="650"/>
      <c r="D23" s="651"/>
      <c r="E23" s="643"/>
      <c r="F23" s="677"/>
      <c r="G23" s="650"/>
      <c r="H23" s="698"/>
    </row>
    <row r="24" spans="1:65" ht="16.5" hidden="1" customHeight="1">
      <c r="A24" s="643" t="s">
        <v>24</v>
      </c>
      <c r="B24" s="677"/>
      <c r="C24" s="633"/>
      <c r="D24" s="651"/>
      <c r="E24" s="643" t="s">
        <v>24</v>
      </c>
      <c r="F24" s="677"/>
      <c r="G24" s="639"/>
      <c r="H24" s="698"/>
    </row>
    <row r="25" spans="1:65" ht="24" hidden="1" customHeight="1">
      <c r="A25" s="633" t="s">
        <v>25</v>
      </c>
      <c r="B25" s="676">
        <v>0</v>
      </c>
      <c r="C25" s="633"/>
      <c r="D25" s="651"/>
      <c r="E25" s="633" t="s">
        <v>25</v>
      </c>
      <c r="F25" s="684">
        <v>0</v>
      </c>
      <c r="G25" s="639"/>
      <c r="H25" s="698"/>
    </row>
    <row r="26" spans="1:65" ht="24" customHeight="1">
      <c r="A26" s="652" t="s">
        <v>26</v>
      </c>
      <c r="B26" s="678">
        <v>37439</v>
      </c>
      <c r="C26" s="653"/>
      <c r="E26" s="652" t="s">
        <v>26</v>
      </c>
      <c r="F26" s="678">
        <f>'111'!$B$30</f>
        <v>1095813</v>
      </c>
      <c r="G26" s="654"/>
      <c r="H26" s="655">
        <f>F26-B26</f>
        <v>1058374</v>
      </c>
    </row>
    <row r="27" spans="1:65" ht="24" customHeight="1">
      <c r="A27" s="652" t="s">
        <v>27</v>
      </c>
      <c r="B27" s="678">
        <v>244206.98</v>
      </c>
      <c r="C27" s="633"/>
      <c r="E27" s="652" t="s">
        <v>27</v>
      </c>
      <c r="F27" s="678">
        <f>'111'!$B$31</f>
        <v>737217.66</v>
      </c>
      <c r="G27" s="639"/>
      <c r="H27" s="655">
        <f>F27-B27</f>
        <v>493010.68000000005</v>
      </c>
    </row>
    <row r="28" spans="1:65" ht="24" hidden="1" customHeight="1">
      <c r="A28" s="651"/>
      <c r="B28" s="679">
        <v>244206.98</v>
      </c>
      <c r="C28" s="657"/>
      <c r="E28" s="651" t="s">
        <v>28</v>
      </c>
      <c r="F28" s="679">
        <f>F27</f>
        <v>737217.66</v>
      </c>
      <c r="G28" s="658"/>
      <c r="H28" s="642"/>
      <c r="BE28" s="659"/>
      <c r="BF28" s="647"/>
      <c r="BG28" s="647"/>
      <c r="BH28" s="647"/>
      <c r="BI28" s="647"/>
      <c r="BJ28" s="647"/>
      <c r="BK28" s="647"/>
      <c r="BL28" s="647"/>
      <c r="BM28" s="647"/>
    </row>
    <row r="29" spans="1:65" ht="24" hidden="1" customHeight="1">
      <c r="A29" s="633" t="s">
        <v>29</v>
      </c>
      <c r="B29" s="680"/>
      <c r="C29" s="657"/>
      <c r="E29" s="633" t="s">
        <v>29</v>
      </c>
      <c r="F29" s="680"/>
      <c r="G29" s="658"/>
      <c r="H29" s="642"/>
    </row>
    <row r="30" spans="1:65" ht="24" hidden="1" customHeight="1">
      <c r="A30" s="633" t="s">
        <v>30</v>
      </c>
      <c r="B30" s="680">
        <v>0</v>
      </c>
      <c r="C30" s="633"/>
      <c r="E30" s="633" t="s">
        <v>30</v>
      </c>
      <c r="F30" s="680">
        <v>0</v>
      </c>
      <c r="G30" s="639"/>
      <c r="H30" s="642"/>
    </row>
    <row r="31" spans="1:65" ht="24" hidden="1" customHeight="1">
      <c r="A31" s="633" t="s">
        <v>35</v>
      </c>
      <c r="B31" s="680">
        <v>0</v>
      </c>
      <c r="C31" s="633"/>
      <c r="E31" s="633" t="s">
        <v>35</v>
      </c>
      <c r="F31" s="680">
        <v>0</v>
      </c>
      <c r="G31" s="639"/>
      <c r="H31" s="642"/>
    </row>
    <row r="32" spans="1:65" ht="24" hidden="1" customHeight="1">
      <c r="A32" s="633" t="s">
        <v>36</v>
      </c>
      <c r="B32" s="680">
        <v>0</v>
      </c>
      <c r="C32" s="633"/>
      <c r="E32" s="633" t="s">
        <v>36</v>
      </c>
      <c r="F32" s="680">
        <v>0</v>
      </c>
      <c r="G32" s="639"/>
      <c r="H32" s="642">
        <f>+H26+H27-H40</f>
        <v>507783.82000000007</v>
      </c>
    </row>
    <row r="33" spans="1:65" ht="18" customHeight="1">
      <c r="A33" s="643" t="s">
        <v>37</v>
      </c>
      <c r="B33" s="681"/>
      <c r="C33" s="633"/>
      <c r="D33" s="651"/>
      <c r="E33" s="643" t="s">
        <v>37</v>
      </c>
      <c r="F33" s="681"/>
      <c r="G33" s="639"/>
      <c r="H33" s="642">
        <f>+H26+H27-H36-H40</f>
        <v>507457.10000000009</v>
      </c>
    </row>
    <row r="34" spans="1:65" ht="18" customHeight="1">
      <c r="A34" s="633" t="s">
        <v>38</v>
      </c>
      <c r="B34" s="682">
        <v>0</v>
      </c>
      <c r="C34" s="653"/>
      <c r="E34" s="633" t="s">
        <v>38</v>
      </c>
      <c r="F34" s="682">
        <v>0</v>
      </c>
      <c r="G34" s="654"/>
      <c r="H34" s="642"/>
    </row>
    <row r="35" spans="1:65" ht="24" customHeight="1">
      <c r="A35" s="652" t="s">
        <v>39</v>
      </c>
      <c r="B35" s="678">
        <v>51204.5</v>
      </c>
      <c r="C35" s="633"/>
      <c r="E35" s="652" t="s">
        <v>39</v>
      </c>
      <c r="F35" s="678">
        <f>'111'!$B$18</f>
        <v>95324.5</v>
      </c>
      <c r="G35" s="639"/>
      <c r="H35" s="655">
        <f>F35-B35</f>
        <v>44120</v>
      </c>
      <c r="BE35" s="659"/>
      <c r="BF35" s="647"/>
      <c r="BG35" s="647"/>
      <c r="BH35" s="647"/>
      <c r="BI35" s="647"/>
      <c r="BJ35" s="647"/>
      <c r="BK35" s="647"/>
      <c r="BL35" s="647"/>
      <c r="BM35" s="647"/>
    </row>
    <row r="36" spans="1:65" ht="24" customHeight="1">
      <c r="A36" s="652" t="s">
        <v>40</v>
      </c>
      <c r="B36" s="678">
        <v>0</v>
      </c>
      <c r="C36" s="633"/>
      <c r="E36" s="652" t="s">
        <v>40</v>
      </c>
      <c r="F36" s="678">
        <f>'111'!$B$44</f>
        <v>326.72000000000003</v>
      </c>
      <c r="G36" s="639"/>
      <c r="H36" s="655">
        <f>F36-B36</f>
        <v>326.72000000000003</v>
      </c>
      <c r="BE36" s="647"/>
      <c r="BF36" s="647"/>
      <c r="BG36" s="647"/>
      <c r="BH36" s="647"/>
      <c r="BI36" s="647"/>
      <c r="BJ36" s="647"/>
      <c r="BK36" s="647"/>
      <c r="BL36" s="647"/>
      <c r="BM36" s="647"/>
    </row>
    <row r="37" spans="1:65">
      <c r="A37" s="661" t="s">
        <v>41</v>
      </c>
      <c r="B37" s="722">
        <v>0</v>
      </c>
      <c r="C37" s="662"/>
      <c r="E37" s="661" t="s">
        <v>41</v>
      </c>
      <c r="F37" s="722">
        <v>0</v>
      </c>
      <c r="G37" s="663"/>
      <c r="H37" s="642"/>
    </row>
    <row r="38" spans="1:65" ht="24" hidden="1" customHeight="1">
      <c r="A38" s="633" t="s">
        <v>42</v>
      </c>
      <c r="B38" s="723">
        <v>0</v>
      </c>
      <c r="C38" s="633"/>
      <c r="E38" s="633" t="s">
        <v>42</v>
      </c>
      <c r="F38" s="723">
        <v>0</v>
      </c>
      <c r="G38" s="639"/>
      <c r="H38" s="642"/>
    </row>
    <row r="39" spans="1:65" ht="24" customHeight="1">
      <c r="A39" s="633" t="s">
        <v>43</v>
      </c>
      <c r="B39" s="723">
        <v>0</v>
      </c>
      <c r="C39" s="633"/>
      <c r="E39" s="633" t="s">
        <v>43</v>
      </c>
      <c r="F39" s="723">
        <v>0</v>
      </c>
      <c r="G39" s="639"/>
      <c r="H39" s="642"/>
    </row>
    <row r="40" spans="1:65" ht="24" customHeight="1">
      <c r="A40" s="652" t="s">
        <v>44</v>
      </c>
      <c r="B40" s="678">
        <v>283929.98</v>
      </c>
      <c r="C40" s="633"/>
      <c r="E40" s="652" t="s">
        <v>44</v>
      </c>
      <c r="F40" s="678">
        <f>'111'!$B$48</f>
        <v>1327530.8400000001</v>
      </c>
      <c r="G40" s="639"/>
      <c r="H40" s="655">
        <f>F40-B40</f>
        <v>1043600.8600000001</v>
      </c>
    </row>
    <row r="41" spans="1:65" ht="24" customHeight="1" thickBot="1">
      <c r="A41" s="633" t="s">
        <v>45</v>
      </c>
      <c r="B41" s="685">
        <v>283929.98</v>
      </c>
      <c r="C41" s="664"/>
      <c r="D41" s="665"/>
      <c r="E41" s="633" t="s">
        <v>45</v>
      </c>
      <c r="F41" s="685">
        <f>F40</f>
        <v>1327530.8400000001</v>
      </c>
      <c r="G41" s="666"/>
      <c r="H41" s="721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FF00"/>
  </sheetPr>
  <dimension ref="A1:GV37"/>
  <sheetViews>
    <sheetView zoomScale="90" zoomScaleNormal="90" workbookViewId="0">
      <pane xSplit="8" ySplit="8" topLeftCell="L9" activePane="bottomRight" state="frozen"/>
      <selection activeCell="F26" sqref="F26"/>
      <selection pane="topRight" activeCell="F26" sqref="F26"/>
      <selection pane="bottomLeft" activeCell="F26" sqref="F26"/>
      <selection pane="bottomRight" activeCell="B8" sqref="B8:B31"/>
    </sheetView>
  </sheetViews>
  <sheetFormatPr defaultColWidth="3" defaultRowHeight="15.75"/>
  <cols>
    <col min="1" max="1" width="53.85546875" style="629" customWidth="1"/>
    <col min="2" max="2" width="24.5703125" style="634" customWidth="1"/>
    <col min="3" max="3" width="4.5703125" style="629" customWidth="1"/>
    <col min="4" max="4" width="8.7109375" style="629" customWidth="1"/>
    <col min="5" max="5" width="53.85546875" style="629" customWidth="1"/>
    <col min="6" max="6" width="24.5703125" style="634" customWidth="1"/>
    <col min="7" max="7" width="4.5703125" style="629" customWidth="1"/>
    <col min="8" max="8" width="15.85546875" style="629" customWidth="1"/>
    <col min="9" max="9" width="21.4257812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 customWidth="1"/>
    <col min="223" max="223" width="0.42578125" style="629" customWidth="1"/>
    <col min="224" max="231" width="3" style="629" customWidth="1"/>
    <col min="232" max="232" width="0.42578125" style="629" customWidth="1"/>
    <col min="233" max="238" width="3" style="629" customWidth="1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 customWidth="1"/>
    <col min="249" max="249" width="0.42578125" style="629" customWidth="1"/>
    <col min="250" max="16384" width="3" style="629"/>
  </cols>
  <sheetData>
    <row r="1" spans="1:13">
      <c r="A1" s="626" t="s">
        <v>781</v>
      </c>
      <c r="B1" s="627"/>
      <c r="C1" s="628"/>
      <c r="E1" s="626" t="s">
        <v>780</v>
      </c>
      <c r="F1" s="627"/>
      <c r="G1" s="628"/>
      <c r="M1" s="629" t="s">
        <v>69</v>
      </c>
    </row>
    <row r="2" spans="1:13" ht="16.5">
      <c r="A2" s="631" t="s">
        <v>0</v>
      </c>
      <c r="B2" s="624" t="s">
        <v>751</v>
      </c>
      <c r="C2" s="632" t="s">
        <v>2</v>
      </c>
      <c r="E2" s="631" t="s">
        <v>0</v>
      </c>
      <c r="F2" s="624" t="s">
        <v>751</v>
      </c>
      <c r="G2" s="632" t="s">
        <v>2</v>
      </c>
    </row>
    <row r="3" spans="1:13">
      <c r="A3" s="631"/>
      <c r="B3" s="624"/>
      <c r="C3" s="633"/>
      <c r="E3" s="631"/>
      <c r="F3" s="624"/>
      <c r="G3" s="633"/>
    </row>
    <row r="4" spans="1:13" ht="24" customHeight="1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3" ht="24" customHeight="1">
      <c r="C5" s="633"/>
      <c r="G5" s="633"/>
    </row>
    <row r="6" spans="1:13" ht="24" customHeight="1">
      <c r="A6" s="635" t="s">
        <v>5</v>
      </c>
      <c r="B6" s="636">
        <v>91</v>
      </c>
      <c r="C6" s="633"/>
      <c r="E6" s="635" t="s">
        <v>5</v>
      </c>
      <c r="F6" s="636">
        <v>91</v>
      </c>
      <c r="G6" s="633"/>
    </row>
    <row r="7" spans="1:13" ht="24" customHeight="1" thickBot="1">
      <c r="A7" s="637" t="s">
        <v>6</v>
      </c>
      <c r="B7" s="638" t="s">
        <v>430</v>
      </c>
      <c r="C7" s="633"/>
      <c r="E7" s="637" t="s">
        <v>6</v>
      </c>
      <c r="F7" s="638" t="s">
        <v>430</v>
      </c>
      <c r="G7" s="633"/>
      <c r="H7" s="629" t="s">
        <v>779</v>
      </c>
    </row>
    <row r="8" spans="1:13" ht="24" customHeight="1">
      <c r="A8" s="724" t="s">
        <v>71</v>
      </c>
      <c r="B8" s="725">
        <v>125156.81</v>
      </c>
      <c r="C8" s="633"/>
      <c r="E8" s="724" t="s">
        <v>71</v>
      </c>
      <c r="F8" s="725">
        <f>'91'!$B$8</f>
        <v>306561.96000000002</v>
      </c>
      <c r="G8" s="639"/>
      <c r="H8" s="728">
        <f>F8-B8</f>
        <v>181405.15000000002</v>
      </c>
      <c r="I8" s="687" t="s">
        <v>753</v>
      </c>
    </row>
    <row r="9" spans="1:13" ht="24" hidden="1" customHeight="1">
      <c r="A9" s="633" t="s">
        <v>754</v>
      </c>
      <c r="B9" s="726"/>
      <c r="C9" s="633"/>
      <c r="E9" s="633" t="s">
        <v>754</v>
      </c>
      <c r="F9" s="726"/>
      <c r="G9" s="639"/>
      <c r="H9" s="642"/>
    </row>
    <row r="10" spans="1:13" ht="24" hidden="1" customHeight="1">
      <c r="A10" s="633" t="s">
        <v>755</v>
      </c>
      <c r="B10" s="726"/>
      <c r="C10" s="633"/>
      <c r="E10" s="633" t="s">
        <v>755</v>
      </c>
      <c r="F10" s="726"/>
      <c r="G10" s="639"/>
      <c r="H10" s="642"/>
    </row>
    <row r="11" spans="1:13" ht="24" hidden="1" customHeight="1">
      <c r="A11" s="633" t="s">
        <v>756</v>
      </c>
      <c r="B11" s="726"/>
      <c r="C11" s="633"/>
      <c r="E11" s="633" t="s">
        <v>756</v>
      </c>
      <c r="F11" s="726"/>
      <c r="G11" s="639"/>
      <c r="H11" s="642"/>
    </row>
    <row r="12" spans="1:13" ht="24" hidden="1" customHeight="1">
      <c r="A12" s="633" t="s">
        <v>757</v>
      </c>
      <c r="B12" s="726">
        <v>0</v>
      </c>
      <c r="C12" s="633"/>
      <c r="E12" s="633" t="s">
        <v>757</v>
      </c>
      <c r="F12" s="726">
        <v>0</v>
      </c>
      <c r="G12" s="639"/>
      <c r="H12" s="642"/>
    </row>
    <row r="13" spans="1:13" ht="24" hidden="1" customHeight="1">
      <c r="A13" s="633" t="s">
        <v>758</v>
      </c>
      <c r="B13" s="726"/>
      <c r="C13" s="633"/>
      <c r="D13" s="647"/>
      <c r="E13" s="633" t="s">
        <v>758</v>
      </c>
      <c r="F13" s="726"/>
      <c r="G13" s="639"/>
      <c r="H13" s="646"/>
      <c r="I13" s="647"/>
      <c r="J13" s="647"/>
    </row>
    <row r="14" spans="1:13" ht="24" hidden="1" customHeight="1">
      <c r="A14" s="633" t="s">
        <v>337</v>
      </c>
      <c r="B14" s="726"/>
      <c r="C14" s="633"/>
      <c r="D14" s="647"/>
      <c r="E14" s="633" t="s">
        <v>337</v>
      </c>
      <c r="F14" s="726"/>
      <c r="G14" s="639"/>
      <c r="H14" s="646"/>
      <c r="I14" s="647"/>
      <c r="J14" s="647"/>
    </row>
    <row r="15" spans="1:13" ht="24" hidden="1" customHeight="1">
      <c r="A15" s="633" t="s">
        <v>759</v>
      </c>
      <c r="B15" s="726"/>
      <c r="C15" s="633"/>
      <c r="D15" s="647"/>
      <c r="E15" s="633" t="s">
        <v>759</v>
      </c>
      <c r="F15" s="726"/>
      <c r="G15" s="639"/>
      <c r="H15" s="646"/>
      <c r="I15" s="647"/>
      <c r="J15" s="647"/>
    </row>
    <row r="16" spans="1:13" ht="24" hidden="1" customHeight="1">
      <c r="A16" s="633" t="s">
        <v>760</v>
      </c>
      <c r="B16" s="726"/>
      <c r="C16" s="633"/>
      <c r="D16" s="647"/>
      <c r="E16" s="633" t="s">
        <v>760</v>
      </c>
      <c r="F16" s="726"/>
      <c r="G16" s="639"/>
      <c r="H16" s="646"/>
      <c r="I16" s="647"/>
      <c r="J16" s="647"/>
    </row>
    <row r="17" spans="1:12" ht="24" hidden="1" customHeight="1">
      <c r="A17" s="633" t="s">
        <v>761</v>
      </c>
      <c r="B17" s="726">
        <v>0</v>
      </c>
      <c r="C17" s="633"/>
      <c r="D17" s="647"/>
      <c r="E17" s="633" t="s">
        <v>761</v>
      </c>
      <c r="F17" s="726">
        <v>0</v>
      </c>
      <c r="G17" s="639"/>
      <c r="H17" s="646"/>
      <c r="I17" s="647"/>
      <c r="J17" s="647"/>
    </row>
    <row r="18" spans="1:12" ht="24" hidden="1" customHeight="1">
      <c r="A18" s="633" t="s">
        <v>762</v>
      </c>
      <c r="B18" s="726">
        <v>0</v>
      </c>
      <c r="C18" s="633"/>
      <c r="D18" s="647"/>
      <c r="E18" s="633" t="s">
        <v>762</v>
      </c>
      <c r="F18" s="726">
        <v>0</v>
      </c>
      <c r="G18" s="639"/>
      <c r="H18" s="646"/>
      <c r="I18" s="647"/>
      <c r="J18" s="647"/>
    </row>
    <row r="19" spans="1:12" ht="24" hidden="1" customHeight="1">
      <c r="A19" s="633" t="s">
        <v>763</v>
      </c>
      <c r="B19" s="726"/>
      <c r="C19" s="633"/>
      <c r="E19" s="633" t="s">
        <v>763</v>
      </c>
      <c r="F19" s="726"/>
      <c r="G19" s="639"/>
      <c r="H19" s="642"/>
    </row>
    <row r="20" spans="1:12" ht="24" customHeight="1">
      <c r="A20" s="633" t="s">
        <v>764</v>
      </c>
      <c r="B20" s="726"/>
      <c r="C20" s="633"/>
      <c r="E20" s="633" t="s">
        <v>764</v>
      </c>
      <c r="F20" s="726"/>
      <c r="G20" s="639"/>
      <c r="H20" s="696"/>
    </row>
    <row r="21" spans="1:12" ht="24" customHeight="1">
      <c r="A21" s="633" t="s">
        <v>765</v>
      </c>
      <c r="B21" s="726">
        <v>0</v>
      </c>
      <c r="C21" s="633"/>
      <c r="E21" s="633" t="s">
        <v>765</v>
      </c>
      <c r="F21" s="726">
        <v>0</v>
      </c>
      <c r="G21" s="639"/>
      <c r="H21" s="642"/>
    </row>
    <row r="22" spans="1:12" ht="24" customHeight="1">
      <c r="A22" s="724" t="s">
        <v>785</v>
      </c>
      <c r="B22" s="725">
        <v>110706.14</v>
      </c>
      <c r="C22" s="633"/>
      <c r="E22" s="724" t="s">
        <v>785</v>
      </c>
      <c r="F22" s="725">
        <f>'91'!$B$21</f>
        <v>257514.77</v>
      </c>
      <c r="G22" s="639"/>
      <c r="H22" s="655">
        <f>F22-B22</f>
        <v>146808.63</v>
      </c>
      <c r="I22" s="687" t="s">
        <v>771</v>
      </c>
    </row>
    <row r="23" spans="1:12" ht="24" customHeight="1">
      <c r="A23" s="633" t="s">
        <v>769</v>
      </c>
      <c r="B23" s="688">
        <v>0</v>
      </c>
      <c r="C23" s="633"/>
      <c r="E23" s="633" t="s">
        <v>769</v>
      </c>
      <c r="F23" s="688">
        <v>0</v>
      </c>
      <c r="G23" s="639"/>
      <c r="H23" s="642"/>
      <c r="K23" s="687"/>
      <c r="L23" s="689"/>
    </row>
    <row r="24" spans="1:12" ht="24" customHeight="1">
      <c r="A24" s="633" t="s">
        <v>772</v>
      </c>
      <c r="B24" s="688">
        <v>0</v>
      </c>
      <c r="C24" s="633"/>
      <c r="E24" s="633" t="s">
        <v>772</v>
      </c>
      <c r="F24" s="688">
        <v>0</v>
      </c>
      <c r="G24" s="639"/>
      <c r="H24" s="642"/>
    </row>
    <row r="25" spans="1:12" ht="24" hidden="1" customHeight="1">
      <c r="A25" s="633" t="s">
        <v>773</v>
      </c>
      <c r="B25" s="688">
        <v>0</v>
      </c>
      <c r="C25" s="633"/>
      <c r="E25" s="633" t="s">
        <v>773</v>
      </c>
      <c r="F25" s="688">
        <v>0</v>
      </c>
      <c r="G25" s="639"/>
      <c r="H25" s="642"/>
    </row>
    <row r="26" spans="1:12" ht="24" hidden="1" customHeight="1">
      <c r="A26" s="633" t="s">
        <v>774</v>
      </c>
      <c r="B26" s="688">
        <v>0</v>
      </c>
      <c r="C26" s="633"/>
      <c r="E26" s="633" t="s">
        <v>774</v>
      </c>
      <c r="F26" s="688">
        <v>0</v>
      </c>
      <c r="G26" s="639"/>
      <c r="H26" s="642"/>
    </row>
    <row r="27" spans="1:12" ht="24" hidden="1" customHeight="1">
      <c r="A27" s="633" t="s">
        <v>775</v>
      </c>
      <c r="B27" s="688">
        <v>0</v>
      </c>
      <c r="C27" s="633"/>
      <c r="E27" s="633" t="s">
        <v>775</v>
      </c>
      <c r="F27" s="688">
        <v>0</v>
      </c>
      <c r="G27" s="639"/>
      <c r="H27" s="642"/>
    </row>
    <row r="28" spans="1:12" ht="24" hidden="1" customHeight="1">
      <c r="A28" s="633" t="s">
        <v>776</v>
      </c>
      <c r="B28" s="688">
        <v>0</v>
      </c>
      <c r="C28" s="650"/>
      <c r="E28" s="633" t="s">
        <v>776</v>
      </c>
      <c r="F28" s="688">
        <v>0</v>
      </c>
      <c r="G28" s="650"/>
      <c r="H28" s="642"/>
    </row>
    <row r="29" spans="1:12" ht="24" customHeight="1">
      <c r="A29" s="633" t="s">
        <v>777</v>
      </c>
      <c r="B29" s="688">
        <v>0</v>
      </c>
      <c r="C29" s="633"/>
      <c r="E29" s="633" t="s">
        <v>777</v>
      </c>
      <c r="F29" s="688">
        <v>0</v>
      </c>
      <c r="G29" s="639"/>
      <c r="H29" s="642"/>
      <c r="I29" s="691"/>
    </row>
    <row r="30" spans="1:12" ht="24" customHeight="1">
      <c r="A30" s="724" t="s">
        <v>767</v>
      </c>
      <c r="B30" s="725">
        <v>69951.81</v>
      </c>
      <c r="C30" s="633"/>
      <c r="E30" s="724" t="s">
        <v>767</v>
      </c>
      <c r="F30" s="725">
        <f>'91'!$B$12</f>
        <v>157813.96</v>
      </c>
      <c r="G30" s="639"/>
      <c r="H30" s="655">
        <f>F30-B30</f>
        <v>87862.15</v>
      </c>
      <c r="I30" s="687" t="s">
        <v>768</v>
      </c>
    </row>
    <row r="31" spans="1:12" ht="24" customHeight="1" thickBot="1">
      <c r="A31" s="724" t="s">
        <v>766</v>
      </c>
      <c r="B31" s="725">
        <v>55205</v>
      </c>
      <c r="C31" s="653"/>
      <c r="E31" s="724" t="s">
        <v>766</v>
      </c>
      <c r="F31" s="725">
        <f>'91'!$B$28</f>
        <v>148748</v>
      </c>
      <c r="G31" s="654"/>
      <c r="H31" s="729">
        <f>F31-B31</f>
        <v>93543</v>
      </c>
      <c r="I31" s="687" t="s">
        <v>573</v>
      </c>
    </row>
    <row r="32" spans="1:12">
      <c r="H32" s="630"/>
    </row>
    <row r="33" spans="8:8">
      <c r="H33" s="623">
        <f>F22-F31</f>
        <v>108766.76999999999</v>
      </c>
    </row>
    <row r="34" spans="8:8">
      <c r="H34" s="690"/>
    </row>
    <row r="35" spans="8:8">
      <c r="H35" s="690"/>
    </row>
    <row r="36" spans="8:8">
      <c r="H36" s="690"/>
    </row>
    <row r="37" spans="8:8">
      <c r="H37" s="690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FF00"/>
  </sheetPr>
  <dimension ref="A1:GK81"/>
  <sheetViews>
    <sheetView workbookViewId="0">
      <pane xSplit="8" ySplit="47" topLeftCell="FY48" activePane="bottomRight" state="frozen"/>
      <selection activeCell="F26" sqref="F26"/>
      <selection pane="topRight" activeCell="F26" sqref="F26"/>
      <selection pane="bottomLeft" activeCell="F26" sqref="F26"/>
      <selection pane="bottomRight" activeCell="B27" sqref="B27:B47"/>
    </sheetView>
  </sheetViews>
  <sheetFormatPr defaultColWidth="8.7109375" defaultRowHeight="15.75"/>
  <cols>
    <col min="1" max="1" width="39.140625" style="629" customWidth="1"/>
    <col min="2" max="2" width="28.7109375" style="629" customWidth="1"/>
    <col min="3" max="3" width="4.5703125" style="629" customWidth="1"/>
    <col min="4" max="4" width="1.42578125" style="629" customWidth="1"/>
    <col min="5" max="5" width="39.140625" style="629" customWidth="1"/>
    <col min="6" max="6" width="28.7109375" style="629" customWidth="1"/>
    <col min="7" max="7" width="4.5703125" style="629" customWidth="1"/>
    <col min="8" max="8" width="13.7109375" style="629" customWidth="1"/>
    <col min="9" max="184" width="8.7109375" style="629" customWidth="1"/>
    <col min="185" max="185" width="30.140625" style="629" customWidth="1"/>
    <col min="186" max="186" width="28.7109375" style="629" customWidth="1"/>
    <col min="187" max="187" width="4.5703125" style="629" customWidth="1"/>
    <col min="188" max="188" width="2.140625" style="629" customWidth="1"/>
    <col min="189" max="193" width="12.28515625" style="629" hidden="1" customWidth="1"/>
    <col min="194" max="194" width="0.42578125" style="629" customWidth="1"/>
    <col min="195" max="202" width="3.7109375" style="629" customWidth="1"/>
    <col min="203" max="203" width="0.42578125" style="629" customWidth="1"/>
    <col min="204" max="204" width="2.85546875" style="629" customWidth="1"/>
    <col min="205" max="211" width="3" style="629" customWidth="1"/>
    <col min="212" max="212" width="0.42578125" style="629" customWidth="1"/>
    <col min="213" max="220" width="3" style="629" customWidth="1"/>
    <col min="221" max="221" width="0.42578125" style="629" customWidth="1"/>
    <col min="222" max="227" width="3" style="629" customWidth="1"/>
    <col min="228" max="228" width="3.140625" style="629" customWidth="1"/>
    <col min="229" max="229" width="3.5703125" style="629" customWidth="1"/>
    <col min="230" max="230" width="0.85546875" style="629" customWidth="1"/>
    <col min="231" max="237" width="3" style="629" customWidth="1"/>
    <col min="238" max="238" width="0.42578125" style="629" customWidth="1"/>
    <col min="239" max="246" width="3" style="629" customWidth="1"/>
    <col min="247" max="247" width="0.28515625" style="629" customWidth="1"/>
    <col min="248" max="16384" width="8.7109375" style="629"/>
  </cols>
  <sheetData>
    <row r="1" spans="1:13">
      <c r="A1" s="629" t="s">
        <v>749</v>
      </c>
      <c r="E1" s="629" t="s">
        <v>782</v>
      </c>
    </row>
    <row r="2" spans="1:13">
      <c r="A2" s="628"/>
      <c r="B2" s="627"/>
      <c r="C2" s="628"/>
      <c r="E2" s="628"/>
      <c r="F2" s="627"/>
      <c r="G2" s="628"/>
    </row>
    <row r="3" spans="1:13" ht="16.5">
      <c r="A3" s="631" t="s">
        <v>0</v>
      </c>
      <c r="B3" s="624" t="s">
        <v>1</v>
      </c>
      <c r="C3" s="632" t="s">
        <v>2</v>
      </c>
      <c r="E3" s="631" t="s">
        <v>0</v>
      </c>
      <c r="F3" s="624" t="s">
        <v>1</v>
      </c>
      <c r="G3" s="632" t="s">
        <v>2</v>
      </c>
      <c r="H3" s="651"/>
    </row>
    <row r="4" spans="1:13">
      <c r="A4" s="631"/>
      <c r="B4" s="624" t="s">
        <v>3</v>
      </c>
      <c r="C4" s="633"/>
      <c r="E4" s="631"/>
      <c r="F4" s="624" t="s">
        <v>3</v>
      </c>
      <c r="G4" s="633"/>
    </row>
    <row r="5" spans="1:13">
      <c r="A5" s="631" t="s">
        <v>4</v>
      </c>
      <c r="B5" s="625">
        <v>1</v>
      </c>
      <c r="C5" s="633"/>
      <c r="E5" s="631" t="s">
        <v>4</v>
      </c>
      <c r="F5" s="625">
        <v>1</v>
      </c>
      <c r="G5" s="633"/>
    </row>
    <row r="6" spans="1:13" ht="12.75" customHeight="1">
      <c r="B6" s="634"/>
      <c r="C6" s="633"/>
      <c r="F6" s="634"/>
      <c r="G6" s="633"/>
    </row>
    <row r="7" spans="1:13" ht="16.5">
      <c r="A7" s="635" t="s">
        <v>5</v>
      </c>
      <c r="B7" s="672">
        <v>40</v>
      </c>
      <c r="C7" s="633"/>
      <c r="E7" s="635" t="s">
        <v>5</v>
      </c>
      <c r="F7" s="672">
        <v>40</v>
      </c>
      <c r="G7" s="633"/>
    </row>
    <row r="8" spans="1:13" ht="24" customHeight="1" thickBot="1">
      <c r="A8" s="637" t="s">
        <v>6</v>
      </c>
      <c r="B8" s="638" t="s">
        <v>7</v>
      </c>
      <c r="C8" s="633"/>
      <c r="E8" s="637" t="s">
        <v>6</v>
      </c>
      <c r="F8" s="638" t="s">
        <v>7</v>
      </c>
      <c r="G8" s="633"/>
      <c r="H8" s="706" t="s">
        <v>779</v>
      </c>
    </row>
    <row r="9" spans="1:13" ht="24" hidden="1" customHeight="1">
      <c r="A9" s="643" t="s">
        <v>8</v>
      </c>
      <c r="B9" s="644"/>
      <c r="C9" s="643"/>
      <c r="D9" s="651"/>
      <c r="E9" s="643" t="s">
        <v>8</v>
      </c>
      <c r="F9" s="644"/>
      <c r="G9" s="633"/>
      <c r="H9" s="730"/>
    </row>
    <row r="10" spans="1:13" ht="24" hidden="1" customHeight="1">
      <c r="A10" s="633" t="s">
        <v>9</v>
      </c>
      <c r="B10" s="644"/>
      <c r="C10" s="633"/>
      <c r="E10" s="633" t="s">
        <v>9</v>
      </c>
      <c r="F10" s="644"/>
      <c r="G10" s="633"/>
      <c r="H10" s="714"/>
      <c r="M10" s="731"/>
    </row>
    <row r="11" spans="1:13" ht="24" hidden="1" customHeight="1">
      <c r="A11" s="633" t="s">
        <v>93</v>
      </c>
      <c r="B11" s="641"/>
      <c r="C11" s="633"/>
      <c r="E11" s="633" t="s">
        <v>93</v>
      </c>
      <c r="F11" s="641"/>
      <c r="G11" s="633"/>
      <c r="H11" s="706"/>
      <c r="M11" s="731"/>
    </row>
    <row r="12" spans="1:13" ht="24" hidden="1" customHeight="1">
      <c r="A12" s="633" t="s">
        <v>95</v>
      </c>
      <c r="B12" s="641"/>
      <c r="C12" s="633"/>
      <c r="E12" s="633" t="s">
        <v>95</v>
      </c>
      <c r="F12" s="641"/>
      <c r="G12" s="633"/>
      <c r="H12" s="706"/>
      <c r="M12" s="731"/>
    </row>
    <row r="13" spans="1:13" ht="24" hidden="1" customHeight="1">
      <c r="A13" s="633"/>
      <c r="B13" s="641"/>
      <c r="C13" s="633"/>
      <c r="E13" s="633"/>
      <c r="F13" s="641"/>
      <c r="G13" s="633"/>
      <c r="H13" s="706"/>
    </row>
    <row r="14" spans="1:13" ht="24" hidden="1" customHeight="1">
      <c r="A14" s="643" t="s">
        <v>12</v>
      </c>
      <c r="B14" s="644"/>
      <c r="C14" s="643"/>
      <c r="D14" s="651"/>
      <c r="E14" s="643" t="s">
        <v>12</v>
      </c>
      <c r="F14" s="644"/>
      <c r="G14" s="633"/>
      <c r="H14" s="732"/>
    </row>
    <row r="15" spans="1:13" ht="24" hidden="1" customHeight="1">
      <c r="A15" s="643" t="s">
        <v>13</v>
      </c>
      <c r="B15" s="644"/>
      <c r="C15" s="643"/>
      <c r="D15" s="651"/>
      <c r="E15" s="643" t="s">
        <v>13</v>
      </c>
      <c r="F15" s="644"/>
      <c r="G15" s="633"/>
      <c r="H15" s="732">
        <v>1</v>
      </c>
    </row>
    <row r="16" spans="1:13" ht="24" hidden="1" customHeight="1">
      <c r="A16" s="643" t="s">
        <v>96</v>
      </c>
      <c r="B16" s="644"/>
      <c r="C16" s="643"/>
      <c r="D16" s="651"/>
      <c r="E16" s="643" t="s">
        <v>96</v>
      </c>
      <c r="F16" s="644"/>
      <c r="G16" s="633"/>
      <c r="H16" s="732"/>
    </row>
    <row r="17" spans="1:54" ht="24" hidden="1" customHeight="1">
      <c r="A17" s="633" t="s">
        <v>15</v>
      </c>
      <c r="B17" s="641"/>
      <c r="C17" s="633"/>
      <c r="E17" s="633" t="s">
        <v>15</v>
      </c>
      <c r="F17" s="641"/>
      <c r="G17" s="633"/>
      <c r="H17" s="733"/>
      <c r="J17" s="734"/>
    </row>
    <row r="18" spans="1:54" ht="24" hidden="1" customHeight="1">
      <c r="A18" s="633" t="s">
        <v>16</v>
      </c>
      <c r="B18" s="641"/>
      <c r="C18" s="633"/>
      <c r="E18" s="633" t="s">
        <v>16</v>
      </c>
      <c r="F18" s="641"/>
      <c r="G18" s="633"/>
      <c r="H18" s="733"/>
    </row>
    <row r="19" spans="1:54" ht="24" hidden="1" customHeight="1">
      <c r="A19" s="633" t="s">
        <v>17</v>
      </c>
      <c r="B19" s="641"/>
      <c r="C19" s="633"/>
      <c r="E19" s="633" t="s">
        <v>17</v>
      </c>
      <c r="F19" s="641"/>
      <c r="G19" s="633"/>
      <c r="H19" s="735"/>
    </row>
    <row r="20" spans="1:54" ht="24" hidden="1" customHeight="1">
      <c r="A20" s="633" t="s">
        <v>97</v>
      </c>
      <c r="B20" s="641"/>
      <c r="C20" s="633"/>
      <c r="E20" s="633" t="s">
        <v>97</v>
      </c>
      <c r="F20" s="641"/>
      <c r="G20" s="633"/>
      <c r="H20" s="706"/>
    </row>
    <row r="21" spans="1:54" ht="24" hidden="1" customHeight="1">
      <c r="A21" s="633" t="s">
        <v>19</v>
      </c>
      <c r="B21" s="641"/>
      <c r="C21" s="633"/>
      <c r="E21" s="633" t="s">
        <v>19</v>
      </c>
      <c r="F21" s="641"/>
      <c r="G21" s="633"/>
      <c r="H21" s="706"/>
    </row>
    <row r="22" spans="1:54" ht="24" hidden="1" customHeight="1">
      <c r="A22" s="633" t="s">
        <v>20</v>
      </c>
      <c r="B22" s="641"/>
      <c r="C22" s="633"/>
      <c r="E22" s="633" t="s">
        <v>20</v>
      </c>
      <c r="F22" s="641"/>
      <c r="G22" s="633"/>
      <c r="H22" s="706"/>
    </row>
    <row r="23" spans="1:54" ht="24" hidden="1" customHeight="1">
      <c r="A23" s="633" t="s">
        <v>783</v>
      </c>
      <c r="B23" s="736"/>
      <c r="C23" s="643"/>
      <c r="E23" s="633" t="s">
        <v>783</v>
      </c>
      <c r="F23" s="736"/>
      <c r="G23" s="633"/>
      <c r="H23" s="706"/>
    </row>
    <row r="24" spans="1:54" ht="8.25" hidden="1" customHeight="1">
      <c r="A24" s="643"/>
      <c r="B24" s="644"/>
      <c r="C24" s="650"/>
      <c r="D24" s="651"/>
      <c r="E24" s="643"/>
      <c r="F24" s="644"/>
      <c r="G24" s="650"/>
      <c r="H24" s="706"/>
    </row>
    <row r="25" spans="1:54" ht="24" hidden="1" customHeight="1">
      <c r="A25" s="643" t="s">
        <v>24</v>
      </c>
      <c r="B25" s="737"/>
      <c r="C25" s="643"/>
      <c r="D25" s="651"/>
      <c r="E25" s="643" t="s">
        <v>24</v>
      </c>
      <c r="F25" s="737"/>
      <c r="G25" s="643"/>
      <c r="H25" s="730"/>
      <c r="I25" s="734"/>
      <c r="L25" s="731"/>
    </row>
    <row r="26" spans="1:54" ht="24" hidden="1" customHeight="1">
      <c r="A26" s="633" t="s">
        <v>25</v>
      </c>
      <c r="B26" s="738"/>
      <c r="C26" s="643"/>
      <c r="E26" s="633" t="s">
        <v>25</v>
      </c>
      <c r="F26" s="738"/>
      <c r="G26" s="643"/>
      <c r="H26" s="739"/>
    </row>
    <row r="27" spans="1:54" ht="24" customHeight="1">
      <c r="A27" s="724" t="s">
        <v>26</v>
      </c>
      <c r="B27" s="725">
        <v>2778310</v>
      </c>
      <c r="C27" s="703"/>
      <c r="E27" s="724" t="s">
        <v>26</v>
      </c>
      <c r="F27" s="725">
        <f>'40'!$B$26</f>
        <v>3116190</v>
      </c>
      <c r="G27" s="740"/>
      <c r="H27" s="741">
        <f>F27-B27</f>
        <v>337880</v>
      </c>
      <c r="K27" s="731">
        <f>H27+H28-H46</f>
        <v>118180.12000000034</v>
      </c>
    </row>
    <row r="28" spans="1:54" ht="24" customHeight="1">
      <c r="A28" s="724" t="s">
        <v>27</v>
      </c>
      <c r="B28" s="725">
        <v>1263144.3899999999</v>
      </c>
      <c r="C28" s="643"/>
      <c r="E28" s="724" t="s">
        <v>27</v>
      </c>
      <c r="F28" s="725">
        <f>'40'!$B$27</f>
        <v>1379111.85</v>
      </c>
      <c r="G28" s="742"/>
      <c r="H28" s="743">
        <f>F28-B28</f>
        <v>115967.4600000002</v>
      </c>
    </row>
    <row r="29" spans="1:54" ht="24" hidden="1" customHeight="1">
      <c r="A29" s="651" t="s">
        <v>28</v>
      </c>
      <c r="B29" s="744"/>
      <c r="C29" s="704"/>
      <c r="D29" s="651"/>
      <c r="E29" s="651" t="s">
        <v>28</v>
      </c>
      <c r="F29" s="744"/>
      <c r="G29" s="745"/>
      <c r="H29" s="743"/>
      <c r="K29" s="731">
        <f>K27-K28</f>
        <v>118180.12000000034</v>
      </c>
      <c r="AT29" s="659"/>
      <c r="AU29" s="647"/>
      <c r="AV29" s="647"/>
      <c r="AW29" s="647"/>
      <c r="AX29" s="647"/>
      <c r="AY29" s="647"/>
      <c r="AZ29" s="647"/>
      <c r="BA29" s="647"/>
      <c r="BB29" s="647"/>
    </row>
    <row r="30" spans="1:54" ht="24" hidden="1" customHeight="1">
      <c r="A30" s="633" t="s">
        <v>29</v>
      </c>
      <c r="B30" s="746"/>
      <c r="C30" s="704"/>
      <c r="E30" s="633" t="s">
        <v>29</v>
      </c>
      <c r="F30" s="746"/>
      <c r="G30" s="745"/>
      <c r="H30" s="743"/>
    </row>
    <row r="31" spans="1:54" ht="24" hidden="1" customHeight="1">
      <c r="A31" s="633" t="s">
        <v>30</v>
      </c>
      <c r="B31" s="746"/>
      <c r="C31" s="643"/>
      <c r="E31" s="633" t="s">
        <v>30</v>
      </c>
      <c r="F31" s="746"/>
      <c r="G31" s="742"/>
      <c r="H31" s="743"/>
      <c r="J31" s="731"/>
    </row>
    <row r="32" spans="1:54" ht="24" hidden="1" customHeight="1">
      <c r="A32" s="633" t="s">
        <v>106</v>
      </c>
      <c r="B32" s="746">
        <v>0</v>
      </c>
      <c r="C32" s="643"/>
      <c r="E32" s="633" t="s">
        <v>106</v>
      </c>
      <c r="F32" s="746">
        <v>0</v>
      </c>
      <c r="G32" s="742"/>
      <c r="H32" s="743"/>
    </row>
    <row r="33" spans="1:54" s="749" customFormat="1" ht="24" hidden="1" customHeight="1">
      <c r="A33" s="747"/>
      <c r="B33" s="738">
        <v>0</v>
      </c>
      <c r="C33" s="748"/>
      <c r="E33" s="747"/>
      <c r="F33" s="738">
        <v>0</v>
      </c>
      <c r="G33" s="750"/>
      <c r="H33" s="743"/>
    </row>
    <row r="34" spans="1:54" s="749" customFormat="1" ht="24" hidden="1" customHeight="1">
      <c r="A34" s="633" t="s">
        <v>99</v>
      </c>
      <c r="B34" s="641">
        <v>0</v>
      </c>
      <c r="C34" s="748"/>
      <c r="E34" s="633" t="s">
        <v>99</v>
      </c>
      <c r="F34" s="641">
        <v>0</v>
      </c>
      <c r="G34" s="750"/>
      <c r="H34" s="743"/>
    </row>
    <row r="35" spans="1:54" s="749" customFormat="1" ht="24" hidden="1" customHeight="1">
      <c r="A35" s="633" t="s">
        <v>100</v>
      </c>
      <c r="B35" s="641">
        <v>0</v>
      </c>
      <c r="C35" s="748"/>
      <c r="E35" s="633" t="s">
        <v>100</v>
      </c>
      <c r="F35" s="641">
        <v>0</v>
      </c>
      <c r="G35" s="750"/>
      <c r="H35" s="743"/>
    </row>
    <row r="36" spans="1:54" s="749" customFormat="1" ht="24" hidden="1" customHeight="1">
      <c r="A36" s="633" t="s">
        <v>101</v>
      </c>
      <c r="B36" s="641">
        <v>0</v>
      </c>
      <c r="C36" s="748"/>
      <c r="E36" s="633" t="s">
        <v>101</v>
      </c>
      <c r="F36" s="641">
        <v>0</v>
      </c>
      <c r="G36" s="750"/>
      <c r="H36" s="743"/>
      <c r="J36" s="749">
        <v>1973</v>
      </c>
    </row>
    <row r="37" spans="1:54" s="749" customFormat="1" ht="24" hidden="1" customHeight="1">
      <c r="A37" s="633" t="s">
        <v>102</v>
      </c>
      <c r="B37" s="641">
        <v>0</v>
      </c>
      <c r="C37" s="748"/>
      <c r="E37" s="633" t="s">
        <v>102</v>
      </c>
      <c r="F37" s="641">
        <v>0</v>
      </c>
      <c r="G37" s="750"/>
      <c r="H37" s="743"/>
    </row>
    <row r="38" spans="1:54" s="749" customFormat="1" ht="24" hidden="1" customHeight="1">
      <c r="A38" s="633" t="s">
        <v>36</v>
      </c>
      <c r="B38" s="641"/>
      <c r="C38" s="748"/>
      <c r="E38" s="633" t="s">
        <v>36</v>
      </c>
      <c r="F38" s="641"/>
      <c r="G38" s="750"/>
      <c r="H38" s="743"/>
    </row>
    <row r="39" spans="1:54" ht="16.5" customHeight="1">
      <c r="A39" s="643" t="s">
        <v>37</v>
      </c>
      <c r="B39" s="751"/>
      <c r="C39" s="643"/>
      <c r="D39" s="651"/>
      <c r="E39" s="643" t="s">
        <v>37</v>
      </c>
      <c r="F39" s="751"/>
      <c r="G39" s="742"/>
      <c r="H39" s="743"/>
      <c r="I39" s="731"/>
    </row>
    <row r="40" spans="1:54" ht="16.5" customHeight="1">
      <c r="A40" s="639" t="s">
        <v>38</v>
      </c>
      <c r="B40" s="754">
        <v>0</v>
      </c>
      <c r="C40" s="753"/>
      <c r="E40" s="639" t="s">
        <v>38</v>
      </c>
      <c r="F40" s="754">
        <v>0</v>
      </c>
      <c r="G40" s="755"/>
      <c r="H40" s="743"/>
    </row>
    <row r="41" spans="1:54" ht="24" customHeight="1">
      <c r="A41" s="724" t="s">
        <v>39</v>
      </c>
      <c r="B41" s="725">
        <v>61188</v>
      </c>
      <c r="C41" s="643"/>
      <c r="E41" s="724" t="s">
        <v>39</v>
      </c>
      <c r="F41" s="725">
        <f>'40'!$B$18</f>
        <v>61188</v>
      </c>
      <c r="G41" s="742"/>
      <c r="H41" s="743">
        <f>+F41-B41</f>
        <v>0</v>
      </c>
      <c r="AT41" s="659"/>
      <c r="AU41" s="647"/>
      <c r="AV41" s="647"/>
      <c r="AW41" s="647"/>
      <c r="AX41" s="647"/>
      <c r="AY41" s="647"/>
      <c r="AZ41" s="647"/>
      <c r="BA41" s="647"/>
      <c r="BB41" s="647"/>
    </row>
    <row r="42" spans="1:54" ht="21.75" customHeight="1">
      <c r="A42" s="724" t="s">
        <v>107</v>
      </c>
      <c r="B42" s="725">
        <v>1783.16</v>
      </c>
      <c r="C42" s="643"/>
      <c r="E42" s="724" t="s">
        <v>107</v>
      </c>
      <c r="F42" s="725">
        <f>'40'!$B$41</f>
        <v>2880.64</v>
      </c>
      <c r="G42" s="742"/>
      <c r="H42" s="743">
        <f>+F42-B42</f>
        <v>1097.4799999999998</v>
      </c>
      <c r="AT42" s="647"/>
      <c r="AU42" s="647"/>
      <c r="AV42" s="647"/>
      <c r="AW42" s="647"/>
      <c r="AX42" s="647"/>
      <c r="AY42" s="647"/>
      <c r="AZ42" s="647"/>
      <c r="BA42" s="647"/>
      <c r="BB42" s="647"/>
    </row>
    <row r="43" spans="1:54" ht="21.75" customHeight="1">
      <c r="A43" s="661" t="s">
        <v>41</v>
      </c>
      <c r="B43" s="756">
        <v>0</v>
      </c>
      <c r="C43" s="643"/>
      <c r="E43" s="661" t="s">
        <v>41</v>
      </c>
      <c r="F43" s="756">
        <v>0</v>
      </c>
      <c r="G43" s="742"/>
      <c r="H43" s="743"/>
    </row>
    <row r="44" spans="1:54" ht="24" hidden="1" customHeight="1">
      <c r="A44" s="633" t="s">
        <v>42</v>
      </c>
      <c r="B44" s="641">
        <v>0</v>
      </c>
      <c r="C44" s="704"/>
      <c r="E44" s="633" t="s">
        <v>42</v>
      </c>
      <c r="F44" s="641">
        <v>0</v>
      </c>
      <c r="G44" s="745"/>
      <c r="H44" s="743"/>
      <c r="L44" s="629">
        <v>3</v>
      </c>
    </row>
    <row r="45" spans="1:54" ht="24" hidden="1" customHeight="1">
      <c r="A45" s="633" t="s">
        <v>43</v>
      </c>
      <c r="B45" s="641"/>
      <c r="C45" s="643"/>
      <c r="E45" s="633" t="s">
        <v>43</v>
      </c>
      <c r="F45" s="641"/>
      <c r="G45" s="742"/>
      <c r="H45" s="743"/>
    </row>
    <row r="46" spans="1:54" ht="24" customHeight="1">
      <c r="A46" s="724" t="s">
        <v>44</v>
      </c>
      <c r="B46" s="725">
        <v>3328171.24</v>
      </c>
      <c r="C46" s="643"/>
      <c r="E46" s="724" t="s">
        <v>44</v>
      </c>
      <c r="F46" s="725">
        <f>'40'!$B$45</f>
        <v>3663838.58</v>
      </c>
      <c r="G46" s="742"/>
      <c r="H46" s="743">
        <f>F46-B46</f>
        <v>335667.33999999985</v>
      </c>
    </row>
    <row r="47" spans="1:54" ht="24" customHeight="1" thickBot="1">
      <c r="A47" s="633" t="s">
        <v>45</v>
      </c>
      <c r="B47" s="725">
        <v>3328171.24</v>
      </c>
      <c r="C47" s="664"/>
      <c r="D47" s="665"/>
      <c r="E47" s="633" t="s">
        <v>45</v>
      </c>
      <c r="F47" s="725">
        <f>F46</f>
        <v>3663838.58</v>
      </c>
      <c r="G47" s="666"/>
      <c r="H47" s="757"/>
    </row>
    <row r="48" spans="1:54" ht="24" hidden="1" customHeight="1">
      <c r="A48" s="633" t="s">
        <v>46</v>
      </c>
      <c r="B48" s="641">
        <v>0</v>
      </c>
      <c r="C48" s="643"/>
      <c r="E48" s="633" t="s">
        <v>46</v>
      </c>
      <c r="F48" s="641">
        <v>0</v>
      </c>
      <c r="G48" s="643"/>
      <c r="H48" s="630"/>
    </row>
    <row r="49" spans="1:14" ht="24" hidden="1" customHeight="1">
      <c r="A49" s="633" t="s">
        <v>47</v>
      </c>
      <c r="B49" s="641">
        <v>0</v>
      </c>
      <c r="C49" s="643"/>
      <c r="E49" s="633" t="s">
        <v>47</v>
      </c>
      <c r="F49" s="641">
        <v>0</v>
      </c>
      <c r="G49" s="643"/>
      <c r="H49" s="630"/>
    </row>
    <row r="50" spans="1:14" ht="8.25" hidden="1" customHeight="1">
      <c r="A50" s="643"/>
      <c r="B50" s="644"/>
      <c r="C50" s="650"/>
      <c r="D50" s="651"/>
      <c r="E50" s="643"/>
      <c r="F50" s="644"/>
      <c r="G50" s="650"/>
      <c r="H50" s="630"/>
    </row>
    <row r="51" spans="1:14" ht="24" hidden="1" customHeight="1">
      <c r="A51" s="643" t="s">
        <v>48</v>
      </c>
      <c r="B51" s="644"/>
      <c r="C51" s="643"/>
      <c r="D51" s="651"/>
      <c r="E51" s="643" t="s">
        <v>48</v>
      </c>
      <c r="F51" s="644"/>
      <c r="G51" s="643"/>
      <c r="H51" s="758"/>
      <c r="N51" s="749"/>
    </row>
    <row r="52" spans="1:14" ht="24" hidden="1" customHeight="1">
      <c r="A52" s="759"/>
      <c r="B52" s="644"/>
      <c r="C52" s="643"/>
      <c r="D52" s="651"/>
      <c r="E52" s="643"/>
      <c r="F52" s="644"/>
      <c r="G52" s="643"/>
      <c r="H52" s="630"/>
    </row>
    <row r="53" spans="1:14" ht="24" hidden="1" customHeight="1">
      <c r="A53" s="633" t="s">
        <v>49</v>
      </c>
      <c r="B53" s="641">
        <v>0</v>
      </c>
      <c r="C53" s="643"/>
      <c r="E53" s="633" t="s">
        <v>49</v>
      </c>
      <c r="F53" s="641">
        <v>0</v>
      </c>
      <c r="G53" s="643"/>
      <c r="H53" s="630"/>
    </row>
    <row r="54" spans="1:14" ht="24" hidden="1" customHeight="1">
      <c r="A54" s="633" t="s">
        <v>50</v>
      </c>
      <c r="B54" s="641">
        <v>0</v>
      </c>
      <c r="C54" s="643"/>
      <c r="E54" s="633" t="s">
        <v>50</v>
      </c>
      <c r="F54" s="641">
        <v>0</v>
      </c>
      <c r="G54" s="643"/>
      <c r="H54" s="630"/>
    </row>
    <row r="55" spans="1:14" ht="24" hidden="1" customHeight="1">
      <c r="A55" s="633" t="s">
        <v>51</v>
      </c>
      <c r="B55" s="641">
        <v>0</v>
      </c>
      <c r="C55" s="643"/>
      <c r="E55" s="633" t="s">
        <v>51</v>
      </c>
      <c r="F55" s="641">
        <v>0</v>
      </c>
      <c r="G55" s="643"/>
      <c r="H55" s="630"/>
    </row>
    <row r="56" spans="1:14" ht="24" hidden="1" customHeight="1">
      <c r="A56" s="633"/>
      <c r="B56" s="641"/>
      <c r="C56" s="643"/>
      <c r="E56" s="633"/>
      <c r="F56" s="641"/>
      <c r="G56" s="643"/>
      <c r="H56" s="630"/>
    </row>
    <row r="57" spans="1:14" hidden="1">
      <c r="A57" s="633" t="s">
        <v>52</v>
      </c>
      <c r="B57" s="641">
        <v>0</v>
      </c>
      <c r="C57" s="643"/>
      <c r="E57" s="633" t="s">
        <v>52</v>
      </c>
      <c r="F57" s="641">
        <v>0</v>
      </c>
      <c r="G57" s="643"/>
      <c r="H57" s="630"/>
    </row>
    <row r="58" spans="1:14" ht="24" hidden="1" customHeight="1">
      <c r="A58" s="633" t="s">
        <v>53</v>
      </c>
      <c r="B58" s="641">
        <v>0</v>
      </c>
      <c r="C58" s="643"/>
      <c r="E58" s="633" t="s">
        <v>53</v>
      </c>
      <c r="F58" s="641">
        <v>0</v>
      </c>
      <c r="G58" s="643"/>
      <c r="H58" s="630"/>
    </row>
    <row r="59" spans="1:14" ht="24" hidden="1" customHeight="1">
      <c r="A59" s="633" t="s">
        <v>54</v>
      </c>
      <c r="B59" s="641">
        <v>0</v>
      </c>
      <c r="C59" s="643"/>
      <c r="E59" s="633" t="s">
        <v>54</v>
      </c>
      <c r="F59" s="641">
        <v>0</v>
      </c>
      <c r="G59" s="643"/>
      <c r="H59" s="630"/>
    </row>
    <row r="60" spans="1:14" ht="24" hidden="1" customHeight="1">
      <c r="A60" s="633" t="s">
        <v>55</v>
      </c>
      <c r="B60" s="641">
        <v>0</v>
      </c>
      <c r="C60" s="643"/>
      <c r="E60" s="633" t="s">
        <v>55</v>
      </c>
      <c r="F60" s="641">
        <v>0</v>
      </c>
      <c r="G60" s="643"/>
      <c r="H60" s="630"/>
    </row>
    <row r="61" spans="1:14" ht="24" hidden="1" customHeight="1">
      <c r="A61" s="633" t="s">
        <v>56</v>
      </c>
      <c r="B61" s="641">
        <v>0</v>
      </c>
      <c r="C61" s="643"/>
      <c r="E61" s="633" t="s">
        <v>56</v>
      </c>
      <c r="F61" s="641">
        <v>0</v>
      </c>
      <c r="G61" s="643"/>
      <c r="H61" s="630"/>
    </row>
    <row r="62" spans="1:14" ht="24" hidden="1" customHeight="1">
      <c r="A62" s="633" t="s">
        <v>57</v>
      </c>
      <c r="B62" s="641">
        <v>0</v>
      </c>
      <c r="C62" s="643"/>
      <c r="E62" s="633" t="s">
        <v>57</v>
      </c>
      <c r="F62" s="641">
        <v>0</v>
      </c>
      <c r="G62" s="643"/>
      <c r="H62" s="630"/>
    </row>
    <row r="63" spans="1:14" ht="24" hidden="1" customHeight="1">
      <c r="A63" s="633"/>
      <c r="B63" s="641"/>
      <c r="C63" s="643"/>
      <c r="E63" s="633"/>
      <c r="F63" s="641"/>
      <c r="G63" s="643"/>
      <c r="H63" s="630"/>
    </row>
    <row r="64" spans="1:14" ht="24" hidden="1" customHeight="1">
      <c r="A64" s="633" t="s">
        <v>58</v>
      </c>
      <c r="B64" s="760"/>
      <c r="C64" s="643"/>
      <c r="E64" s="633" t="s">
        <v>58</v>
      </c>
      <c r="F64" s="760"/>
      <c r="G64" s="643"/>
      <c r="H64" s="630"/>
    </row>
    <row r="65" spans="1:8" ht="24" hidden="1" customHeight="1">
      <c r="A65" s="633" t="s">
        <v>59</v>
      </c>
      <c r="B65" s="760"/>
      <c r="C65" s="643"/>
      <c r="E65" s="633" t="s">
        <v>59</v>
      </c>
      <c r="F65" s="760"/>
      <c r="G65" s="643"/>
      <c r="H65" s="630"/>
    </row>
    <row r="66" spans="1:8" ht="24" hidden="1" customHeight="1">
      <c r="A66" s="633" t="s">
        <v>60</v>
      </c>
      <c r="B66" s="760"/>
      <c r="C66" s="643"/>
      <c r="E66" s="633" t="s">
        <v>60</v>
      </c>
      <c r="F66" s="760"/>
      <c r="G66" s="643"/>
      <c r="H66" s="630"/>
    </row>
    <row r="67" spans="1:8" ht="24" hidden="1" customHeight="1">
      <c r="A67" s="633" t="s">
        <v>61</v>
      </c>
      <c r="B67" s="760"/>
      <c r="C67" s="643"/>
      <c r="E67" s="633" t="s">
        <v>61</v>
      </c>
      <c r="F67" s="760"/>
      <c r="G67" s="643"/>
      <c r="H67" s="630"/>
    </row>
    <row r="68" spans="1:8" ht="24" hidden="1" customHeight="1">
      <c r="A68" s="633" t="s">
        <v>103</v>
      </c>
      <c r="B68" s="760"/>
      <c r="C68" s="643"/>
      <c r="E68" s="633" t="s">
        <v>103</v>
      </c>
      <c r="F68" s="760"/>
      <c r="G68" s="643"/>
      <c r="H68" s="630"/>
    </row>
    <row r="69" spans="1:8" ht="24" hidden="1" customHeight="1">
      <c r="A69" s="633"/>
      <c r="B69" s="641"/>
      <c r="C69" s="643"/>
      <c r="E69" s="633"/>
      <c r="F69" s="641"/>
      <c r="G69" s="643"/>
      <c r="H69" s="630"/>
    </row>
    <row r="70" spans="1:8" ht="24" hidden="1" customHeight="1">
      <c r="A70" s="633"/>
      <c r="B70" s="641"/>
      <c r="C70" s="643"/>
      <c r="E70" s="633"/>
      <c r="F70" s="641"/>
      <c r="G70" s="643"/>
      <c r="H70" s="630"/>
    </row>
    <row r="71" spans="1:8" ht="24" hidden="1" customHeight="1">
      <c r="A71" s="633"/>
      <c r="B71" s="641"/>
      <c r="C71" s="643"/>
      <c r="E71" s="633"/>
      <c r="F71" s="641"/>
      <c r="G71" s="643"/>
      <c r="H71" s="630"/>
    </row>
    <row r="72" spans="1:8" ht="24" hidden="1" customHeight="1">
      <c r="A72" s="633"/>
      <c r="B72" s="648"/>
      <c r="C72" s="643"/>
      <c r="E72" s="633"/>
      <c r="F72" s="648"/>
      <c r="G72" s="643"/>
      <c r="H72" s="630"/>
    </row>
    <row r="73" spans="1:8" ht="24" hidden="1" customHeight="1">
      <c r="A73" s="633"/>
      <c r="B73" s="648"/>
      <c r="C73" s="643"/>
      <c r="E73" s="633"/>
      <c r="F73" s="648"/>
      <c r="G73" s="643"/>
      <c r="H73" s="630"/>
    </row>
    <row r="74" spans="1:8" ht="24" hidden="1" customHeight="1">
      <c r="A74" s="633"/>
      <c r="B74" s="648"/>
      <c r="C74" s="643"/>
      <c r="E74" s="633"/>
      <c r="F74" s="648"/>
      <c r="G74" s="643"/>
      <c r="H74" s="630"/>
    </row>
    <row r="75" spans="1:8" ht="24" hidden="1" customHeight="1">
      <c r="A75" s="633"/>
      <c r="B75" s="648"/>
      <c r="C75" s="643"/>
      <c r="E75" s="633"/>
      <c r="F75" s="648"/>
      <c r="G75" s="643"/>
      <c r="H75" s="630"/>
    </row>
    <row r="76" spans="1:8" ht="15.75" customHeight="1">
      <c r="C76" s="651"/>
      <c r="G76" s="651"/>
      <c r="H76" s="630"/>
    </row>
    <row r="77" spans="1:8">
      <c r="C77" s="651"/>
      <c r="G77" s="651"/>
    </row>
    <row r="78" spans="1:8">
      <c r="C78" s="651"/>
      <c r="G78" s="651"/>
    </row>
    <row r="79" spans="1:8">
      <c r="C79" s="651"/>
      <c r="G79" s="651"/>
    </row>
    <row r="80" spans="1:8">
      <c r="C80" s="651"/>
      <c r="G80" s="651"/>
    </row>
    <row r="81" spans="3:3">
      <c r="C81" s="651"/>
    </row>
  </sheetData>
  <pageMargins left="0.70000000000000007" right="0.70000000000000007" top="1.1437007874015745" bottom="1.1437007874015745" header="0.74999999999999989" footer="0.74999999999999989"/>
  <pageSetup scale="81" fitToWidth="0" fitToHeight="0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FF00"/>
  </sheetPr>
  <dimension ref="A1:GV37"/>
  <sheetViews>
    <sheetView topLeftCell="A4" workbookViewId="0">
      <selection activeCell="B8" sqref="B8:B27"/>
    </sheetView>
  </sheetViews>
  <sheetFormatPr defaultColWidth="3" defaultRowHeight="16.5"/>
  <cols>
    <col min="1" max="1" width="47.140625" style="629" customWidth="1"/>
    <col min="2" max="2" width="24.5703125" style="634" customWidth="1"/>
    <col min="3" max="3" width="4.5703125" style="629" customWidth="1"/>
    <col min="4" max="4" width="8.7109375" style="629" hidden="1" customWidth="1"/>
    <col min="5" max="5" width="38" style="629" customWidth="1"/>
    <col min="6" max="6" width="24.5703125" style="634" customWidth="1"/>
    <col min="7" max="7" width="4.5703125" style="629" customWidth="1"/>
    <col min="8" max="8" width="15.85546875" style="706" customWidth="1"/>
    <col min="9" max="9" width="12.4257812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 customWidth="1"/>
    <col min="223" max="223" width="0.42578125" style="629" customWidth="1"/>
    <col min="224" max="231" width="3" style="629" customWidth="1"/>
    <col min="232" max="232" width="0.42578125" style="629" customWidth="1"/>
    <col min="233" max="238" width="3" style="629" customWidth="1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 customWidth="1"/>
    <col min="249" max="249" width="0.42578125" style="629" customWidth="1"/>
    <col min="250" max="16384" width="3" style="629"/>
  </cols>
  <sheetData>
    <row r="1" spans="1:13">
      <c r="A1" s="626" t="s">
        <v>749</v>
      </c>
      <c r="B1" s="627"/>
      <c r="C1" s="628"/>
      <c r="E1" s="626" t="s">
        <v>748</v>
      </c>
      <c r="F1" s="627"/>
      <c r="G1" s="628"/>
      <c r="M1" s="629" t="s">
        <v>69</v>
      </c>
    </row>
    <row r="2" spans="1:13">
      <c r="A2" s="631" t="s">
        <v>0</v>
      </c>
      <c r="B2" s="624" t="s">
        <v>751</v>
      </c>
      <c r="C2" s="632" t="s">
        <v>2</v>
      </c>
      <c r="E2" s="631" t="s">
        <v>0</v>
      </c>
      <c r="F2" s="624" t="s">
        <v>751</v>
      </c>
      <c r="G2" s="632" t="s">
        <v>2</v>
      </c>
    </row>
    <row r="3" spans="1:13">
      <c r="A3" s="631"/>
      <c r="B3" s="624"/>
      <c r="C3" s="633"/>
      <c r="E3" s="631"/>
      <c r="F3" s="624"/>
      <c r="G3" s="633"/>
    </row>
    <row r="4" spans="1:13" ht="24" customHeight="1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3" ht="24" customHeight="1">
      <c r="C5" s="633"/>
      <c r="G5" s="633"/>
    </row>
    <row r="6" spans="1:13" ht="24" customHeight="1">
      <c r="A6" s="635" t="s">
        <v>5</v>
      </c>
      <c r="B6" s="636">
        <v>92</v>
      </c>
      <c r="C6" s="633"/>
      <c r="E6" s="635" t="s">
        <v>5</v>
      </c>
      <c r="F6" s="636">
        <v>92</v>
      </c>
      <c r="G6" s="633"/>
    </row>
    <row r="7" spans="1:13" ht="24" customHeight="1" thickBot="1">
      <c r="A7" s="637" t="s">
        <v>6</v>
      </c>
      <c r="B7" s="638" t="s">
        <v>431</v>
      </c>
      <c r="C7" s="633"/>
      <c r="E7" s="637" t="s">
        <v>6</v>
      </c>
      <c r="F7" s="638" t="s">
        <v>431</v>
      </c>
      <c r="G7" s="633"/>
      <c r="H7" s="706" t="s">
        <v>779</v>
      </c>
    </row>
    <row r="8" spans="1:13" ht="24" customHeight="1">
      <c r="A8" s="724" t="s">
        <v>71</v>
      </c>
      <c r="B8" s="725">
        <v>76695.06</v>
      </c>
      <c r="C8" s="633"/>
      <c r="E8" s="724" t="s">
        <v>71</v>
      </c>
      <c r="F8" s="725">
        <f>'92'!$B$8</f>
        <v>238365.69</v>
      </c>
      <c r="G8" s="639"/>
      <c r="H8" s="728">
        <f>F8-B8</f>
        <v>161670.63</v>
      </c>
      <c r="I8" s="687" t="s">
        <v>753</v>
      </c>
    </row>
    <row r="9" spans="1:13" ht="24" hidden="1" customHeight="1">
      <c r="A9" s="633" t="s">
        <v>754</v>
      </c>
      <c r="B9" s="762"/>
      <c r="C9" s="633"/>
      <c r="E9" s="633" t="s">
        <v>754</v>
      </c>
      <c r="F9" s="762"/>
      <c r="G9" s="639"/>
      <c r="H9" s="642"/>
    </row>
    <row r="10" spans="1:13" ht="24" hidden="1" customHeight="1">
      <c r="A10" s="633" t="s">
        <v>755</v>
      </c>
      <c r="B10" s="762"/>
      <c r="C10" s="633"/>
      <c r="E10" s="633" t="s">
        <v>755</v>
      </c>
      <c r="F10" s="762"/>
      <c r="G10" s="639"/>
      <c r="H10" s="642"/>
    </row>
    <row r="11" spans="1:13" ht="24" hidden="1" customHeight="1">
      <c r="A11" s="633" t="s">
        <v>756</v>
      </c>
      <c r="B11" s="762"/>
      <c r="C11" s="633"/>
      <c r="E11" s="633" t="s">
        <v>756</v>
      </c>
      <c r="F11" s="762"/>
      <c r="G11" s="639"/>
      <c r="H11" s="642"/>
    </row>
    <row r="12" spans="1:13" ht="24" hidden="1" customHeight="1">
      <c r="A12" s="633" t="s">
        <v>757</v>
      </c>
      <c r="B12" s="762">
        <v>0</v>
      </c>
      <c r="C12" s="633"/>
      <c r="E12" s="633" t="s">
        <v>757</v>
      </c>
      <c r="F12" s="762">
        <v>0</v>
      </c>
      <c r="G12" s="639"/>
      <c r="H12" s="642"/>
    </row>
    <row r="13" spans="1:13" ht="24" hidden="1" customHeight="1">
      <c r="A13" s="633" t="s">
        <v>758</v>
      </c>
      <c r="B13" s="762"/>
      <c r="C13" s="633"/>
      <c r="D13" s="647"/>
      <c r="E13" s="633" t="s">
        <v>758</v>
      </c>
      <c r="F13" s="762"/>
      <c r="G13" s="639"/>
      <c r="H13" s="646"/>
      <c r="I13" s="647"/>
      <c r="J13" s="647"/>
    </row>
    <row r="14" spans="1:13" ht="24" hidden="1" customHeight="1">
      <c r="A14" s="633" t="s">
        <v>337</v>
      </c>
      <c r="B14" s="762"/>
      <c r="C14" s="633"/>
      <c r="D14" s="647"/>
      <c r="E14" s="633" t="s">
        <v>337</v>
      </c>
      <c r="F14" s="762"/>
      <c r="G14" s="639"/>
      <c r="H14" s="646"/>
      <c r="I14" s="647"/>
      <c r="J14" s="647"/>
    </row>
    <row r="15" spans="1:13" ht="24" hidden="1" customHeight="1">
      <c r="A15" s="633" t="s">
        <v>759</v>
      </c>
      <c r="B15" s="762"/>
      <c r="C15" s="633"/>
      <c r="D15" s="647"/>
      <c r="E15" s="633" t="s">
        <v>759</v>
      </c>
      <c r="F15" s="762"/>
      <c r="G15" s="639"/>
      <c r="H15" s="646"/>
      <c r="I15" s="647"/>
      <c r="J15" s="647"/>
    </row>
    <row r="16" spans="1:13" ht="24" hidden="1" customHeight="1">
      <c r="A16" s="633" t="s">
        <v>760</v>
      </c>
      <c r="B16" s="762"/>
      <c r="C16" s="633"/>
      <c r="D16" s="647"/>
      <c r="E16" s="633" t="s">
        <v>760</v>
      </c>
      <c r="F16" s="762"/>
      <c r="G16" s="639"/>
      <c r="H16" s="646"/>
      <c r="I16" s="647"/>
      <c r="J16" s="647"/>
    </row>
    <row r="17" spans="1:12" ht="24" hidden="1" customHeight="1">
      <c r="A17" s="633" t="s">
        <v>761</v>
      </c>
      <c r="B17" s="762">
        <v>0</v>
      </c>
      <c r="C17" s="633"/>
      <c r="D17" s="647"/>
      <c r="E17" s="633" t="s">
        <v>761</v>
      </c>
      <c r="F17" s="762">
        <v>0</v>
      </c>
      <c r="G17" s="639"/>
      <c r="H17" s="646"/>
      <c r="I17" s="647"/>
      <c r="J17" s="647"/>
    </row>
    <row r="18" spans="1:12" ht="24" hidden="1" customHeight="1">
      <c r="A18" s="633" t="s">
        <v>762</v>
      </c>
      <c r="B18" s="762">
        <v>0</v>
      </c>
      <c r="C18" s="633"/>
      <c r="D18" s="647"/>
      <c r="E18" s="633" t="s">
        <v>762</v>
      </c>
      <c r="F18" s="762">
        <v>0</v>
      </c>
      <c r="G18" s="639"/>
      <c r="H18" s="646"/>
      <c r="I18" s="647"/>
      <c r="J18" s="647"/>
    </row>
    <row r="19" spans="1:12" ht="24" hidden="1" customHeight="1">
      <c r="A19" s="633" t="s">
        <v>763</v>
      </c>
      <c r="B19" s="762"/>
      <c r="C19" s="633"/>
      <c r="E19" s="633" t="s">
        <v>763</v>
      </c>
      <c r="F19" s="762"/>
      <c r="G19" s="639"/>
      <c r="H19" s="642"/>
    </row>
    <row r="20" spans="1:12" ht="24" customHeight="1">
      <c r="A20" s="633" t="s">
        <v>764</v>
      </c>
      <c r="B20" s="762"/>
      <c r="C20" s="633"/>
      <c r="E20" s="633" t="s">
        <v>764</v>
      </c>
      <c r="F20" s="762"/>
      <c r="G20" s="639"/>
      <c r="H20" s="642"/>
    </row>
    <row r="21" spans="1:12" ht="24" customHeight="1">
      <c r="A21" s="633" t="s">
        <v>765</v>
      </c>
      <c r="B21" s="762">
        <v>0</v>
      </c>
      <c r="C21" s="633"/>
      <c r="E21" s="633" t="s">
        <v>765</v>
      </c>
      <c r="F21" s="762">
        <v>0</v>
      </c>
      <c r="G21" s="639"/>
      <c r="H21" s="642"/>
    </row>
    <row r="22" spans="1:12" ht="24" customHeight="1">
      <c r="A22" s="724" t="s">
        <v>766</v>
      </c>
      <c r="B22" s="725">
        <v>44413</v>
      </c>
      <c r="C22" s="653"/>
      <c r="E22" s="724" t="s">
        <v>766</v>
      </c>
      <c r="F22" s="725">
        <f>'92'!$B$28</f>
        <v>127211</v>
      </c>
      <c r="G22" s="654"/>
      <c r="H22" s="655">
        <f>F22-B22</f>
        <v>82798</v>
      </c>
      <c r="I22" s="687" t="s">
        <v>573</v>
      </c>
    </row>
    <row r="23" spans="1:12" ht="24" customHeight="1">
      <c r="A23" s="724" t="s">
        <v>767</v>
      </c>
      <c r="B23" s="725">
        <v>32282.06</v>
      </c>
      <c r="C23" s="633"/>
      <c r="E23" s="724" t="s">
        <v>767</v>
      </c>
      <c r="F23" s="725">
        <f>'92'!$B$12</f>
        <v>111154.69</v>
      </c>
      <c r="G23" s="639"/>
      <c r="H23" s="655">
        <f>F23-B23</f>
        <v>78872.63</v>
      </c>
      <c r="I23" s="687" t="s">
        <v>768</v>
      </c>
    </row>
    <row r="24" spans="1:12" ht="24" customHeight="1">
      <c r="A24" s="633" t="s">
        <v>775</v>
      </c>
      <c r="B24" s="762">
        <v>0</v>
      </c>
      <c r="C24" s="633"/>
      <c r="E24" s="633" t="s">
        <v>775</v>
      </c>
      <c r="F24" s="762">
        <v>0</v>
      </c>
      <c r="G24" s="639"/>
      <c r="H24" s="642"/>
    </row>
    <row r="25" spans="1:12" ht="24" customHeight="1">
      <c r="A25" s="633" t="s">
        <v>776</v>
      </c>
      <c r="B25" s="762">
        <v>0</v>
      </c>
      <c r="C25" s="650"/>
      <c r="E25" s="633" t="s">
        <v>776</v>
      </c>
      <c r="F25" s="762">
        <v>0</v>
      </c>
      <c r="G25" s="650"/>
      <c r="H25" s="642"/>
    </row>
    <row r="26" spans="1:12" ht="24" customHeight="1">
      <c r="A26" s="633" t="s">
        <v>777</v>
      </c>
      <c r="B26" s="762">
        <v>0</v>
      </c>
      <c r="C26" s="633"/>
      <c r="E26" s="633" t="s">
        <v>777</v>
      </c>
      <c r="F26" s="762">
        <v>0</v>
      </c>
      <c r="G26" s="639"/>
      <c r="H26" s="642"/>
      <c r="I26" s="691"/>
    </row>
    <row r="27" spans="1:12" ht="24" customHeight="1">
      <c r="A27" s="724" t="s">
        <v>770</v>
      </c>
      <c r="B27" s="725">
        <v>56035.839999999997</v>
      </c>
      <c r="C27" s="633"/>
      <c r="E27" s="724" t="s">
        <v>770</v>
      </c>
      <c r="F27" s="725">
        <f>'92'!$B$21</f>
        <v>186522.83</v>
      </c>
      <c r="G27" s="639"/>
      <c r="H27" s="655">
        <f>F27-B27</f>
        <v>130486.98999999999</v>
      </c>
      <c r="I27" s="687" t="s">
        <v>771</v>
      </c>
    </row>
    <row r="28" spans="1:12" ht="24" customHeight="1">
      <c r="A28" s="653" t="s">
        <v>769</v>
      </c>
      <c r="B28" s="765">
        <v>0</v>
      </c>
      <c r="C28" s="653"/>
      <c r="E28" s="653" t="s">
        <v>769</v>
      </c>
      <c r="F28" s="765">
        <v>0</v>
      </c>
      <c r="G28" s="639"/>
      <c r="H28" s="642">
        <f>+H8-H27</f>
        <v>31183.640000000014</v>
      </c>
      <c r="K28" s="687"/>
      <c r="L28" s="689"/>
    </row>
    <row r="29" spans="1:12" ht="24" customHeight="1" thickBot="1">
      <c r="A29" s="767" t="s">
        <v>772</v>
      </c>
      <c r="B29" s="768">
        <v>0</v>
      </c>
      <c r="C29" s="767"/>
      <c r="D29" s="769"/>
      <c r="E29" s="767" t="s">
        <v>772</v>
      </c>
      <c r="F29" s="770">
        <v>0</v>
      </c>
      <c r="G29" s="639"/>
      <c r="H29" s="763"/>
    </row>
    <row r="30" spans="1:12" ht="24" hidden="1" customHeight="1">
      <c r="A30" s="657" t="s">
        <v>773</v>
      </c>
      <c r="B30" s="766">
        <v>0</v>
      </c>
      <c r="C30" s="657"/>
      <c r="E30" s="657" t="s">
        <v>773</v>
      </c>
      <c r="F30" s="766">
        <v>0</v>
      </c>
      <c r="G30" s="633"/>
    </row>
    <row r="31" spans="1:12" ht="24" hidden="1" customHeight="1">
      <c r="A31" s="633" t="s">
        <v>774</v>
      </c>
      <c r="B31" s="762">
        <v>0</v>
      </c>
      <c r="C31" s="633"/>
      <c r="E31" s="633" t="s">
        <v>774</v>
      </c>
      <c r="F31" s="762">
        <v>0</v>
      </c>
      <c r="G31" s="633"/>
      <c r="H31" s="764"/>
    </row>
    <row r="32" spans="1:12">
      <c r="H32" s="764"/>
    </row>
    <row r="33" spans="8:8">
      <c r="H33" s="764"/>
    </row>
    <row r="34" spans="8:8">
      <c r="H34" s="764"/>
    </row>
    <row r="35" spans="8:8">
      <c r="H35" s="764"/>
    </row>
    <row r="36" spans="8:8">
      <c r="H36" s="764"/>
    </row>
    <row r="37" spans="8:8">
      <c r="H37" s="764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FF00"/>
  </sheetPr>
  <dimension ref="A1:GU70"/>
  <sheetViews>
    <sheetView workbookViewId="0">
      <selection activeCell="B26" sqref="B26:B41"/>
    </sheetView>
  </sheetViews>
  <sheetFormatPr defaultColWidth="3" defaultRowHeight="16.5"/>
  <cols>
    <col min="1" max="1" width="52.42578125" style="629" customWidth="1"/>
    <col min="2" max="2" width="21.140625" style="634" customWidth="1"/>
    <col min="3" max="3" width="2.140625" style="629" bestFit="1" customWidth="1"/>
    <col min="4" max="4" width="54.42578125" style="629" bestFit="1" customWidth="1"/>
    <col min="5" max="5" width="20.42578125" style="634" customWidth="1"/>
    <col min="6" max="6" width="1.85546875" style="629" customWidth="1"/>
    <col min="7" max="7" width="15.28515625" style="706" customWidth="1"/>
    <col min="8" max="8" width="27.7109375" style="629" customWidth="1"/>
    <col min="9" max="194" width="8.7109375" style="629" customWidth="1"/>
    <col min="195" max="195" width="30.140625" style="629" customWidth="1"/>
    <col min="196" max="196" width="28.7109375" style="629" customWidth="1"/>
    <col min="197" max="197" width="4.5703125" style="629" customWidth="1"/>
    <col min="198" max="198" width="2.140625" style="629" customWidth="1"/>
    <col min="199" max="203" width="12.28515625" style="629" hidden="1" customWidth="1"/>
    <col min="204" max="204" width="0.42578125" style="629" customWidth="1"/>
    <col min="205" max="212" width="3.7109375" style="629" customWidth="1"/>
    <col min="213" max="213" width="0.42578125" style="629" customWidth="1"/>
    <col min="214" max="214" width="2.85546875" style="629" customWidth="1"/>
    <col min="215" max="221" width="3" style="629"/>
    <col min="222" max="222" width="0.42578125" style="629" customWidth="1"/>
    <col min="223" max="230" width="3" style="629"/>
    <col min="231" max="231" width="0.42578125" style="629" customWidth="1"/>
    <col min="232" max="237" width="3" style="629"/>
    <col min="238" max="238" width="3.140625" style="629" customWidth="1"/>
    <col min="239" max="239" width="3.5703125" style="629" customWidth="1"/>
    <col min="240" max="240" width="0.85546875" style="629" customWidth="1"/>
    <col min="241" max="247" width="3" style="629"/>
    <col min="248" max="248" width="0.42578125" style="629" customWidth="1"/>
    <col min="249" max="16384" width="3" style="629"/>
  </cols>
  <sheetData>
    <row r="1" spans="1:9">
      <c r="A1" s="626" t="s">
        <v>749</v>
      </c>
      <c r="B1" s="627"/>
      <c r="C1" s="628"/>
      <c r="D1" s="626" t="s">
        <v>748</v>
      </c>
      <c r="E1" s="627"/>
      <c r="F1" s="628"/>
    </row>
    <row r="2" spans="1:9">
      <c r="A2" s="631" t="s">
        <v>0</v>
      </c>
      <c r="B2" s="624" t="s">
        <v>1</v>
      </c>
      <c r="C2" s="632" t="s">
        <v>2</v>
      </c>
      <c r="D2" s="631" t="s">
        <v>0</v>
      </c>
      <c r="E2" s="624" t="s">
        <v>1</v>
      </c>
      <c r="F2" s="632" t="s">
        <v>2</v>
      </c>
    </row>
    <row r="3" spans="1:9">
      <c r="A3" s="631"/>
      <c r="B3" s="624" t="s">
        <v>3</v>
      </c>
      <c r="C3" s="633"/>
      <c r="D3" s="631"/>
      <c r="E3" s="624" t="s">
        <v>3</v>
      </c>
      <c r="F3" s="633"/>
    </row>
    <row r="4" spans="1:9">
      <c r="A4" s="631" t="s">
        <v>4</v>
      </c>
      <c r="B4" s="625">
        <v>1</v>
      </c>
      <c r="C4" s="633"/>
      <c r="D4" s="631" t="s">
        <v>4</v>
      </c>
      <c r="E4" s="625">
        <v>1</v>
      </c>
      <c r="F4" s="633"/>
    </row>
    <row r="5" spans="1:9" ht="12.75" customHeight="1">
      <c r="C5" s="633"/>
      <c r="F5" s="633"/>
    </row>
    <row r="6" spans="1:9">
      <c r="A6" s="635" t="s">
        <v>5</v>
      </c>
      <c r="B6" s="636">
        <v>117</v>
      </c>
      <c r="C6" s="633"/>
      <c r="D6" s="635" t="s">
        <v>5</v>
      </c>
      <c r="E6" s="636">
        <f>+B6</f>
        <v>117</v>
      </c>
      <c r="F6" s="633"/>
    </row>
    <row r="7" spans="1:9" ht="24" customHeight="1" thickBot="1">
      <c r="A7" s="637" t="s">
        <v>6</v>
      </c>
      <c r="B7" s="638" t="s">
        <v>7</v>
      </c>
      <c r="C7" s="633"/>
      <c r="D7" s="637" t="s">
        <v>6</v>
      </c>
      <c r="E7" s="638" t="s">
        <v>7</v>
      </c>
      <c r="F7" s="633"/>
      <c r="G7" s="706" t="s">
        <v>779</v>
      </c>
    </row>
    <row r="8" spans="1:9" ht="24" hidden="1" customHeight="1">
      <c r="A8" s="633" t="s">
        <v>8</v>
      </c>
      <c r="B8" s="641"/>
      <c r="C8" s="633"/>
      <c r="D8" s="633" t="s">
        <v>8</v>
      </c>
      <c r="E8" s="641"/>
      <c r="F8" s="633"/>
    </row>
    <row r="9" spans="1:9" ht="24" hidden="1" customHeight="1">
      <c r="A9" s="633" t="s">
        <v>9</v>
      </c>
      <c r="B9" s="641"/>
      <c r="C9" s="633"/>
      <c r="D9" s="633" t="s">
        <v>9</v>
      </c>
      <c r="E9" s="641"/>
      <c r="F9" s="633"/>
    </row>
    <row r="10" spans="1:9" ht="24" hidden="1" customHeight="1">
      <c r="A10" s="633" t="s">
        <v>93</v>
      </c>
      <c r="B10" s="641"/>
      <c r="C10" s="633"/>
      <c r="D10" s="633" t="s">
        <v>93</v>
      </c>
      <c r="E10" s="641"/>
      <c r="F10" s="633"/>
    </row>
    <row r="11" spans="1:9" ht="24" hidden="1" customHeight="1">
      <c r="A11" s="633" t="s">
        <v>95</v>
      </c>
      <c r="B11" s="641"/>
      <c r="C11" s="633"/>
      <c r="D11" s="633" t="s">
        <v>95</v>
      </c>
      <c r="E11" s="641"/>
      <c r="F11" s="633"/>
    </row>
    <row r="12" spans="1:9" ht="24" hidden="1" customHeight="1">
      <c r="A12" s="633"/>
      <c r="B12" s="641"/>
      <c r="C12" s="633"/>
      <c r="D12" s="633"/>
      <c r="E12" s="641"/>
      <c r="F12" s="633"/>
    </row>
    <row r="13" spans="1:9" ht="24" hidden="1" customHeight="1">
      <c r="A13" s="643" t="s">
        <v>12</v>
      </c>
      <c r="B13" s="644"/>
      <c r="C13" s="643"/>
      <c r="D13" s="643" t="s">
        <v>12</v>
      </c>
      <c r="E13" s="644"/>
      <c r="F13" s="633"/>
      <c r="G13" s="733"/>
      <c r="H13" s="647"/>
      <c r="I13" s="647"/>
    </row>
    <row r="14" spans="1:9" ht="24" hidden="1" customHeight="1">
      <c r="A14" s="643" t="s">
        <v>13</v>
      </c>
      <c r="B14" s="644"/>
      <c r="C14" s="643"/>
      <c r="D14" s="643" t="s">
        <v>13</v>
      </c>
      <c r="E14" s="644"/>
      <c r="F14" s="633"/>
      <c r="G14" s="733"/>
      <c r="H14" s="647"/>
      <c r="I14" s="647"/>
    </row>
    <row r="15" spans="1:9" ht="24" hidden="1" customHeight="1">
      <c r="A15" s="643" t="s">
        <v>96</v>
      </c>
      <c r="B15" s="644"/>
      <c r="C15" s="643"/>
      <c r="D15" s="643" t="s">
        <v>96</v>
      </c>
      <c r="E15" s="644"/>
      <c r="F15" s="633"/>
      <c r="G15" s="733"/>
      <c r="H15" s="647"/>
      <c r="I15" s="647"/>
    </row>
    <row r="16" spans="1:9" ht="24" hidden="1" customHeight="1">
      <c r="A16" s="633" t="s">
        <v>15</v>
      </c>
      <c r="B16" s="648">
        <v>0</v>
      </c>
      <c r="C16" s="633"/>
      <c r="D16" s="633" t="s">
        <v>15</v>
      </c>
      <c r="E16" s="648">
        <v>0</v>
      </c>
      <c r="F16" s="633"/>
      <c r="G16" s="733"/>
      <c r="H16" s="647"/>
      <c r="I16" s="647"/>
    </row>
    <row r="17" spans="1:64" ht="24" hidden="1" customHeight="1">
      <c r="A17" s="633" t="s">
        <v>16</v>
      </c>
      <c r="B17" s="648">
        <v>0</v>
      </c>
      <c r="C17" s="633"/>
      <c r="D17" s="633" t="s">
        <v>16</v>
      </c>
      <c r="E17" s="648">
        <v>0</v>
      </c>
      <c r="F17" s="633"/>
      <c r="G17" s="733"/>
      <c r="H17" s="647"/>
      <c r="I17" s="647"/>
    </row>
    <row r="18" spans="1:64" ht="24" hidden="1" customHeight="1">
      <c r="A18" s="633" t="s">
        <v>17</v>
      </c>
      <c r="B18" s="648"/>
      <c r="C18" s="633"/>
      <c r="D18" s="633" t="s">
        <v>17</v>
      </c>
      <c r="E18" s="648"/>
      <c r="F18" s="633"/>
      <c r="G18" s="733"/>
      <c r="H18" s="647"/>
      <c r="I18" s="647"/>
    </row>
    <row r="19" spans="1:64" ht="24" hidden="1" customHeight="1">
      <c r="A19" s="633" t="s">
        <v>97</v>
      </c>
      <c r="B19" s="648"/>
      <c r="C19" s="633"/>
      <c r="D19" s="633" t="s">
        <v>97</v>
      </c>
      <c r="E19" s="648"/>
      <c r="F19" s="633"/>
    </row>
    <row r="20" spans="1:64" ht="24" hidden="1" customHeight="1">
      <c r="A20" s="633" t="s">
        <v>19</v>
      </c>
      <c r="B20" s="648">
        <v>0</v>
      </c>
      <c r="C20" s="633"/>
      <c r="D20" s="633" t="s">
        <v>19</v>
      </c>
      <c r="E20" s="648">
        <v>0</v>
      </c>
      <c r="F20" s="633"/>
    </row>
    <row r="21" spans="1:64" ht="24" hidden="1" customHeight="1">
      <c r="A21" s="633" t="s">
        <v>20</v>
      </c>
      <c r="B21" s="648">
        <v>0</v>
      </c>
      <c r="C21" s="633"/>
      <c r="D21" s="633" t="s">
        <v>20</v>
      </c>
      <c r="E21" s="648">
        <v>0</v>
      </c>
      <c r="F21" s="633"/>
    </row>
    <row r="22" spans="1:64" ht="24" hidden="1" customHeight="1">
      <c r="A22" s="633"/>
      <c r="B22" s="648"/>
      <c r="C22" s="633"/>
      <c r="D22" s="633"/>
      <c r="E22" s="648"/>
      <c r="F22" s="633"/>
    </row>
    <row r="23" spans="1:64" ht="8.25" hidden="1" customHeight="1">
      <c r="A23" s="643"/>
      <c r="B23" s="649"/>
      <c r="C23" s="650"/>
      <c r="D23" s="643"/>
      <c r="E23" s="649"/>
      <c r="F23" s="650"/>
    </row>
    <row r="24" spans="1:64" ht="16.5" hidden="1" customHeight="1">
      <c r="A24" s="643" t="s">
        <v>24</v>
      </c>
      <c r="B24" s="649"/>
      <c r="C24" s="633"/>
      <c r="D24" s="643" t="s">
        <v>24</v>
      </c>
      <c r="E24" s="649"/>
      <c r="F24" s="633"/>
    </row>
    <row r="25" spans="1:64" ht="24" hidden="1" customHeight="1">
      <c r="A25" s="633" t="s">
        <v>25</v>
      </c>
      <c r="B25" s="648">
        <v>0</v>
      </c>
      <c r="C25" s="633"/>
      <c r="D25" s="633" t="s">
        <v>25</v>
      </c>
      <c r="E25" s="648">
        <v>0</v>
      </c>
      <c r="F25" s="633"/>
    </row>
    <row r="26" spans="1:64" ht="24" customHeight="1">
      <c r="A26" s="724" t="s">
        <v>26</v>
      </c>
      <c r="B26" s="725">
        <v>62713</v>
      </c>
      <c r="C26" s="653"/>
      <c r="D26" s="724" t="s">
        <v>26</v>
      </c>
      <c r="E26" s="725">
        <f>'117'!$B$30</f>
        <v>1118490</v>
      </c>
      <c r="F26" s="654"/>
      <c r="G26" s="728">
        <f>E26-B26</f>
        <v>1055777</v>
      </c>
    </row>
    <row r="27" spans="1:64" ht="24" customHeight="1">
      <c r="A27" s="724" t="s">
        <v>27</v>
      </c>
      <c r="B27" s="725">
        <v>103745.93</v>
      </c>
      <c r="C27" s="633"/>
      <c r="D27" s="724" t="s">
        <v>27</v>
      </c>
      <c r="E27" s="725">
        <f>'117'!$B$31</f>
        <v>820756.05</v>
      </c>
      <c r="F27" s="639"/>
      <c r="G27" s="655">
        <f>E27-B27</f>
        <v>717010.12000000011</v>
      </c>
    </row>
    <row r="28" spans="1:64" ht="24" hidden="1" customHeight="1">
      <c r="A28" s="651"/>
      <c r="B28" s="716">
        <v>103745.93</v>
      </c>
      <c r="C28" s="657"/>
      <c r="D28" s="651" t="s">
        <v>28</v>
      </c>
      <c r="E28" s="716">
        <f>E27</f>
        <v>820756.05</v>
      </c>
      <c r="F28" s="658"/>
      <c r="G28" s="642"/>
      <c r="BD28" s="659"/>
      <c r="BE28" s="647"/>
      <c r="BF28" s="647"/>
      <c r="BG28" s="647"/>
      <c r="BH28" s="647"/>
      <c r="BI28" s="647"/>
      <c r="BJ28" s="647"/>
      <c r="BK28" s="647"/>
      <c r="BL28" s="647"/>
    </row>
    <row r="29" spans="1:64" ht="24" hidden="1" customHeight="1">
      <c r="A29" s="633" t="s">
        <v>29</v>
      </c>
      <c r="B29" s="717"/>
      <c r="C29" s="657"/>
      <c r="D29" s="633" t="s">
        <v>29</v>
      </c>
      <c r="E29" s="717"/>
      <c r="F29" s="658"/>
      <c r="G29" s="642"/>
    </row>
    <row r="30" spans="1:64" ht="24" hidden="1" customHeight="1">
      <c r="A30" s="633" t="s">
        <v>30</v>
      </c>
      <c r="B30" s="718">
        <v>0</v>
      </c>
      <c r="C30" s="633"/>
      <c r="D30" s="633" t="s">
        <v>30</v>
      </c>
      <c r="E30" s="718">
        <v>0</v>
      </c>
      <c r="F30" s="639"/>
      <c r="G30" s="642"/>
    </row>
    <row r="31" spans="1:64" ht="24" hidden="1" customHeight="1">
      <c r="A31" s="633" t="s">
        <v>35</v>
      </c>
      <c r="B31" s="718">
        <v>0</v>
      </c>
      <c r="C31" s="633"/>
      <c r="D31" s="633" t="s">
        <v>35</v>
      </c>
      <c r="E31" s="718">
        <v>0</v>
      </c>
      <c r="F31" s="639"/>
      <c r="G31" s="642"/>
    </row>
    <row r="32" spans="1:64" ht="24" hidden="1" customHeight="1">
      <c r="A32" s="633" t="s">
        <v>36</v>
      </c>
      <c r="B32" s="718">
        <v>0</v>
      </c>
      <c r="C32" s="633"/>
      <c r="D32" s="633" t="s">
        <v>36</v>
      </c>
      <c r="E32" s="718">
        <v>0</v>
      </c>
      <c r="F32" s="639"/>
      <c r="G32" s="642">
        <f>+G26+G27-G40</f>
        <v>341888.97</v>
      </c>
    </row>
    <row r="33" spans="1:64" ht="24" customHeight="1">
      <c r="A33" s="643" t="s">
        <v>37</v>
      </c>
      <c r="B33" s="649"/>
      <c r="C33" s="633"/>
      <c r="D33" s="643" t="s">
        <v>37</v>
      </c>
      <c r="E33" s="649"/>
      <c r="F33" s="639"/>
      <c r="G33" s="642">
        <f>+G26+G27-G36-G40</f>
        <v>340798.61999999988</v>
      </c>
    </row>
    <row r="34" spans="1:64" ht="24" customHeight="1">
      <c r="A34" s="633" t="s">
        <v>38</v>
      </c>
      <c r="B34" s="719">
        <v>0</v>
      </c>
      <c r="C34" s="653"/>
      <c r="D34" s="633" t="s">
        <v>38</v>
      </c>
      <c r="E34" s="719">
        <v>0</v>
      </c>
      <c r="F34" s="654"/>
      <c r="G34" s="642"/>
    </row>
    <row r="35" spans="1:64" ht="24" customHeight="1">
      <c r="A35" s="724" t="s">
        <v>39</v>
      </c>
      <c r="B35" s="725">
        <v>20646</v>
      </c>
      <c r="C35" s="633"/>
      <c r="D35" s="724" t="s">
        <v>39</v>
      </c>
      <c r="E35" s="725">
        <f>'117'!$B$43</f>
        <v>102028</v>
      </c>
      <c r="F35" s="639"/>
      <c r="G35" s="655">
        <f>E35-B35</f>
        <v>81382</v>
      </c>
      <c r="BD35" s="659"/>
      <c r="BE35" s="647"/>
      <c r="BF35" s="647"/>
      <c r="BG35" s="647"/>
      <c r="BH35" s="647"/>
      <c r="BI35" s="647"/>
      <c r="BJ35" s="647"/>
      <c r="BK35" s="647"/>
      <c r="BL35" s="647"/>
    </row>
    <row r="36" spans="1:64" ht="24" customHeight="1">
      <c r="A36" s="724" t="s">
        <v>40</v>
      </c>
      <c r="B36" s="725">
        <v>0.02</v>
      </c>
      <c r="C36" s="633"/>
      <c r="D36" s="724" t="s">
        <v>40</v>
      </c>
      <c r="E36" s="725">
        <f>'117'!$B$44</f>
        <v>1090.3699999999999</v>
      </c>
      <c r="F36" s="639"/>
      <c r="G36" s="655">
        <f>E36-B36</f>
        <v>1090.3499999999999</v>
      </c>
      <c r="BD36" s="647"/>
      <c r="BE36" s="647"/>
      <c r="BF36" s="647"/>
      <c r="BG36" s="647"/>
      <c r="BH36" s="647"/>
      <c r="BI36" s="647"/>
      <c r="BJ36" s="647"/>
      <c r="BK36" s="647"/>
      <c r="BL36" s="647"/>
    </row>
    <row r="37" spans="1:64">
      <c r="A37" s="661" t="s">
        <v>41</v>
      </c>
      <c r="B37" s="720">
        <v>0</v>
      </c>
      <c r="C37" s="662"/>
      <c r="D37" s="661" t="s">
        <v>41</v>
      </c>
      <c r="E37" s="720">
        <v>0</v>
      </c>
      <c r="F37" s="663"/>
      <c r="G37" s="642"/>
    </row>
    <row r="38" spans="1:64" ht="24" hidden="1" customHeight="1">
      <c r="A38" s="633" t="s">
        <v>42</v>
      </c>
      <c r="B38" s="668">
        <v>0</v>
      </c>
      <c r="C38" s="633"/>
      <c r="D38" s="633" t="s">
        <v>42</v>
      </c>
      <c r="E38" s="668">
        <v>0</v>
      </c>
      <c r="F38" s="639"/>
      <c r="G38" s="642"/>
    </row>
    <row r="39" spans="1:64" ht="24" customHeight="1">
      <c r="A39" s="633" t="s">
        <v>43</v>
      </c>
      <c r="B39" s="668">
        <v>0</v>
      </c>
      <c r="C39" s="633"/>
      <c r="D39" s="633" t="s">
        <v>43</v>
      </c>
      <c r="E39" s="668">
        <v>0</v>
      </c>
      <c r="F39" s="639"/>
      <c r="G39" s="642"/>
    </row>
    <row r="40" spans="1:64" ht="24" customHeight="1">
      <c r="A40" s="724" t="s">
        <v>44</v>
      </c>
      <c r="B40" s="725">
        <v>90800.93</v>
      </c>
      <c r="C40" s="633"/>
      <c r="D40" s="724" t="s">
        <v>44</v>
      </c>
      <c r="E40" s="725">
        <f>'117'!$B$48</f>
        <v>1521699.08</v>
      </c>
      <c r="F40" s="639"/>
      <c r="G40" s="655">
        <f>E40-B40</f>
        <v>1430898.1500000001</v>
      </c>
    </row>
    <row r="41" spans="1:64" ht="24" customHeight="1" thickBot="1">
      <c r="A41" s="633" t="s">
        <v>45</v>
      </c>
      <c r="B41" s="725">
        <v>90800.93</v>
      </c>
      <c r="C41" s="664"/>
      <c r="D41" s="633" t="s">
        <v>45</v>
      </c>
      <c r="E41" s="725">
        <f>E40</f>
        <v>1521699.08</v>
      </c>
      <c r="F41" s="666"/>
      <c r="G41" s="721"/>
    </row>
    <row r="42" spans="1:64" ht="24" hidden="1" customHeight="1">
      <c r="A42" s="633" t="s">
        <v>46</v>
      </c>
      <c r="B42" s="648">
        <v>0</v>
      </c>
      <c r="C42" s="633"/>
      <c r="D42" s="633" t="s">
        <v>46</v>
      </c>
      <c r="E42" s="668">
        <v>0</v>
      </c>
      <c r="F42" s="633"/>
    </row>
    <row r="43" spans="1:64" ht="24" hidden="1" customHeight="1">
      <c r="A43" s="633" t="s">
        <v>47</v>
      </c>
      <c r="B43" s="648">
        <v>0</v>
      </c>
      <c r="C43" s="633"/>
      <c r="D43" s="633" t="s">
        <v>47</v>
      </c>
      <c r="E43" s="648">
        <v>0</v>
      </c>
      <c r="F43" s="633"/>
    </row>
    <row r="44" spans="1:64" ht="8.25" hidden="1" customHeight="1">
      <c r="A44" s="643"/>
      <c r="B44" s="649">
        <v>0</v>
      </c>
      <c r="C44" s="650"/>
      <c r="D44" s="643"/>
      <c r="E44" s="649">
        <v>0</v>
      </c>
      <c r="F44" s="650"/>
    </row>
    <row r="45" spans="1:64" ht="24" hidden="1" customHeight="1">
      <c r="A45" s="643" t="s">
        <v>48</v>
      </c>
      <c r="B45" s="644"/>
      <c r="C45" s="633"/>
      <c r="D45" s="643" t="s">
        <v>48</v>
      </c>
      <c r="E45" s="644"/>
      <c r="F45" s="633"/>
    </row>
    <row r="46" spans="1:64" ht="24" hidden="1" customHeight="1">
      <c r="A46" s="633"/>
      <c r="B46" s="648">
        <v>0</v>
      </c>
      <c r="C46" s="633"/>
      <c r="D46" s="633"/>
      <c r="E46" s="648">
        <v>0</v>
      </c>
      <c r="F46" s="633"/>
    </row>
    <row r="47" spans="1:64" ht="24" hidden="1" customHeight="1">
      <c r="A47" s="633" t="s">
        <v>49</v>
      </c>
      <c r="B47" s="648">
        <v>0</v>
      </c>
      <c r="C47" s="633"/>
      <c r="D47" s="633" t="s">
        <v>49</v>
      </c>
      <c r="E47" s="648">
        <f>E50</f>
        <v>0</v>
      </c>
      <c r="F47" s="633"/>
    </row>
    <row r="48" spans="1:64" ht="24" hidden="1" customHeight="1">
      <c r="A48" s="633" t="s">
        <v>50</v>
      </c>
      <c r="B48" s="648">
        <v>0</v>
      </c>
      <c r="C48" s="633"/>
      <c r="D48" s="633" t="s">
        <v>50</v>
      </c>
      <c r="E48" s="648">
        <v>0</v>
      </c>
      <c r="F48" s="633"/>
    </row>
    <row r="49" spans="1:6" ht="24" hidden="1" customHeight="1">
      <c r="A49" s="633" t="s">
        <v>51</v>
      </c>
      <c r="B49" s="648">
        <v>0</v>
      </c>
      <c r="C49" s="633"/>
      <c r="D49" s="633" t="s">
        <v>51</v>
      </c>
      <c r="E49" s="648">
        <v>0</v>
      </c>
      <c r="F49" s="633"/>
    </row>
    <row r="50" spans="1:6" ht="24" hidden="1" customHeight="1">
      <c r="A50" s="633"/>
      <c r="B50" s="648">
        <v>0</v>
      </c>
      <c r="C50" s="633"/>
      <c r="D50" s="633"/>
      <c r="E50" s="648">
        <v>0</v>
      </c>
      <c r="F50" s="633"/>
    </row>
    <row r="51" spans="1:6" ht="24" hidden="1" customHeight="1">
      <c r="A51" s="633" t="s">
        <v>52</v>
      </c>
      <c r="B51" s="648">
        <v>0</v>
      </c>
      <c r="C51" s="633"/>
      <c r="D51" s="633" t="s">
        <v>52</v>
      </c>
      <c r="E51" s="648">
        <v>0</v>
      </c>
      <c r="F51" s="633"/>
    </row>
    <row r="52" spans="1:6" ht="24" hidden="1" customHeight="1">
      <c r="A52" s="633" t="s">
        <v>53</v>
      </c>
      <c r="B52" s="648">
        <v>0</v>
      </c>
      <c r="C52" s="633"/>
      <c r="D52" s="633" t="s">
        <v>53</v>
      </c>
      <c r="E52" s="648">
        <v>0</v>
      </c>
      <c r="F52" s="633"/>
    </row>
    <row r="53" spans="1:6" ht="24" hidden="1" customHeight="1">
      <c r="A53" s="633" t="s">
        <v>54</v>
      </c>
      <c r="B53" s="648">
        <v>0</v>
      </c>
      <c r="C53" s="633"/>
      <c r="D53" s="633" t="s">
        <v>54</v>
      </c>
      <c r="E53" s="648">
        <v>0</v>
      </c>
      <c r="F53" s="633"/>
    </row>
    <row r="54" spans="1:6" ht="24" hidden="1" customHeight="1">
      <c r="A54" s="633" t="s">
        <v>55</v>
      </c>
      <c r="B54" s="648">
        <v>0</v>
      </c>
      <c r="C54" s="633"/>
      <c r="D54" s="633" t="s">
        <v>55</v>
      </c>
      <c r="E54" s="648">
        <v>0</v>
      </c>
      <c r="F54" s="633"/>
    </row>
    <row r="55" spans="1:6" ht="24" hidden="1" customHeight="1">
      <c r="A55" s="633" t="s">
        <v>56</v>
      </c>
      <c r="B55" s="648">
        <v>0</v>
      </c>
      <c r="C55" s="633"/>
      <c r="D55" s="633" t="s">
        <v>56</v>
      </c>
      <c r="E55" s="648">
        <v>0</v>
      </c>
      <c r="F55" s="633"/>
    </row>
    <row r="56" spans="1:6" ht="24" hidden="1" customHeight="1">
      <c r="A56" s="633" t="s">
        <v>57</v>
      </c>
      <c r="B56" s="648">
        <v>0</v>
      </c>
      <c r="C56" s="633"/>
      <c r="D56" s="633" t="s">
        <v>57</v>
      </c>
      <c r="E56" s="648">
        <v>0</v>
      </c>
      <c r="F56" s="633"/>
    </row>
    <row r="57" spans="1:6" ht="24" hidden="1" customHeight="1">
      <c r="A57" s="633"/>
      <c r="B57" s="648">
        <v>0</v>
      </c>
      <c r="C57" s="633"/>
      <c r="D57" s="633"/>
      <c r="E57" s="648">
        <v>0</v>
      </c>
      <c r="F57" s="633"/>
    </row>
    <row r="58" spans="1:6" ht="24" hidden="1" customHeight="1">
      <c r="A58" s="633" t="s">
        <v>58</v>
      </c>
      <c r="B58" s="648">
        <v>0</v>
      </c>
      <c r="C58" s="633"/>
      <c r="D58" s="633" t="s">
        <v>58</v>
      </c>
      <c r="E58" s="648">
        <v>0</v>
      </c>
      <c r="F58" s="633"/>
    </row>
    <row r="59" spans="1:6" ht="24" hidden="1" customHeight="1">
      <c r="A59" s="633" t="s">
        <v>59</v>
      </c>
      <c r="B59" s="669"/>
      <c r="C59" s="633"/>
      <c r="D59" s="633" t="s">
        <v>59</v>
      </c>
      <c r="E59" s="669"/>
      <c r="F59" s="633"/>
    </row>
    <row r="60" spans="1:6" ht="24" hidden="1" customHeight="1">
      <c r="A60" s="633" t="s">
        <v>60</v>
      </c>
      <c r="B60" s="669"/>
      <c r="C60" s="633"/>
      <c r="D60" s="633" t="s">
        <v>60</v>
      </c>
      <c r="E60" s="669"/>
      <c r="F60" s="633"/>
    </row>
    <row r="61" spans="1:6" ht="24" hidden="1" customHeight="1">
      <c r="A61" s="633" t="s">
        <v>61</v>
      </c>
      <c r="B61" s="669"/>
      <c r="C61" s="633"/>
      <c r="D61" s="633" t="s">
        <v>61</v>
      </c>
      <c r="E61" s="669"/>
      <c r="F61" s="633"/>
    </row>
    <row r="62" spans="1:6" ht="24" hidden="1" customHeight="1">
      <c r="A62" s="633" t="s">
        <v>103</v>
      </c>
      <c r="B62" s="669"/>
      <c r="C62" s="633"/>
      <c r="D62" s="633" t="s">
        <v>103</v>
      </c>
      <c r="E62" s="669"/>
      <c r="F62" s="633"/>
    </row>
    <row r="63" spans="1:6" ht="24" hidden="1" customHeight="1">
      <c r="A63" s="633"/>
      <c r="B63" s="669"/>
      <c r="C63" s="633"/>
      <c r="D63" s="633"/>
      <c r="E63" s="669"/>
      <c r="F63" s="633"/>
    </row>
    <row r="64" spans="1:6" ht="24" hidden="1" customHeight="1">
      <c r="A64" s="633"/>
      <c r="B64" s="648"/>
      <c r="C64" s="633"/>
      <c r="D64" s="633"/>
      <c r="E64" s="648"/>
      <c r="F64" s="633"/>
    </row>
    <row r="65" spans="1:6" ht="24" hidden="1" customHeight="1">
      <c r="A65" s="633"/>
      <c r="B65" s="648"/>
      <c r="C65" s="633"/>
      <c r="D65" s="633"/>
      <c r="E65" s="648"/>
      <c r="F65" s="633"/>
    </row>
    <row r="66" spans="1:6" ht="24" hidden="1" customHeight="1">
      <c r="A66" s="633"/>
      <c r="B66" s="648"/>
      <c r="C66" s="633"/>
      <c r="D66" s="633"/>
      <c r="E66" s="648"/>
      <c r="F66" s="633"/>
    </row>
    <row r="67" spans="1:6" ht="24" hidden="1" customHeight="1">
      <c r="A67" s="633"/>
      <c r="B67" s="648"/>
      <c r="C67" s="633"/>
      <c r="D67" s="633"/>
      <c r="E67" s="648"/>
      <c r="F67" s="633"/>
    </row>
    <row r="68" spans="1:6" ht="24" hidden="1" customHeight="1">
      <c r="A68" s="633"/>
      <c r="B68" s="648"/>
      <c r="C68" s="633"/>
      <c r="D68" s="633"/>
      <c r="E68" s="648"/>
      <c r="F68" s="633"/>
    </row>
    <row r="69" spans="1:6" ht="24" hidden="1" customHeight="1">
      <c r="A69" s="633"/>
      <c r="B69" s="648"/>
      <c r="C69" s="633"/>
      <c r="D69" s="633"/>
      <c r="E69" s="648"/>
      <c r="F69" s="633"/>
    </row>
    <row r="70" spans="1:6" ht="15.75" hidden="1" customHeight="1"/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FF00"/>
  </sheetPr>
  <dimension ref="A1:GF125"/>
  <sheetViews>
    <sheetView workbookViewId="0">
      <pane xSplit="7" ySplit="47" topLeftCell="GQ48" activePane="bottomRight" state="frozen"/>
      <selection activeCell="F26" sqref="F26"/>
      <selection pane="topRight" activeCell="F26" sqref="F26"/>
      <selection pane="bottomLeft" activeCell="F26" sqref="F26"/>
      <selection pane="bottomRight" activeCell="B27" sqref="B27:B47"/>
    </sheetView>
  </sheetViews>
  <sheetFormatPr defaultColWidth="8.7109375" defaultRowHeight="15.75"/>
  <cols>
    <col min="1" max="1" width="39.140625" style="629" customWidth="1"/>
    <col min="2" max="2" width="28.7109375" style="629" customWidth="1"/>
    <col min="3" max="3" width="4.5703125" style="629" customWidth="1"/>
    <col min="4" max="4" width="39.140625" style="629" customWidth="1"/>
    <col min="5" max="5" width="28.7109375" style="629" customWidth="1"/>
    <col min="6" max="6" width="4.5703125" style="629" customWidth="1"/>
    <col min="7" max="7" width="12.28515625" style="629" customWidth="1"/>
    <col min="8" max="179" width="8.7109375" style="629" customWidth="1"/>
    <col min="180" max="180" width="30.140625" style="629" customWidth="1"/>
    <col min="181" max="181" width="28.7109375" style="629" customWidth="1"/>
    <col min="182" max="182" width="4.5703125" style="629" customWidth="1"/>
    <col min="183" max="183" width="2.140625" style="629" customWidth="1"/>
    <col min="184" max="188" width="12.28515625" style="629" hidden="1" customWidth="1"/>
    <col min="189" max="189" width="0.42578125" style="629" customWidth="1"/>
    <col min="190" max="197" width="3.7109375" style="629" customWidth="1"/>
    <col min="198" max="198" width="0.42578125" style="629" customWidth="1"/>
    <col min="199" max="199" width="2.85546875" style="629" customWidth="1"/>
    <col min="200" max="206" width="3" style="629" customWidth="1"/>
    <col min="207" max="207" width="0.42578125" style="629" customWidth="1"/>
    <col min="208" max="215" width="3" style="629" customWidth="1"/>
    <col min="216" max="216" width="0.42578125" style="629" customWidth="1"/>
    <col min="217" max="222" width="3" style="629" customWidth="1"/>
    <col min="223" max="223" width="3.140625" style="629" customWidth="1"/>
    <col min="224" max="224" width="3.5703125" style="629" customWidth="1"/>
    <col min="225" max="225" width="0.85546875" style="629" customWidth="1"/>
    <col min="226" max="232" width="3" style="629" customWidth="1"/>
    <col min="233" max="233" width="0.42578125" style="629" customWidth="1"/>
    <col min="234" max="241" width="3" style="629" customWidth="1"/>
    <col min="242" max="242" width="0.28515625" style="629" customWidth="1"/>
    <col min="243" max="16384" width="8.7109375" style="629"/>
  </cols>
  <sheetData>
    <row r="1" spans="1:10">
      <c r="A1" s="629" t="s">
        <v>749</v>
      </c>
      <c r="B1" s="634"/>
      <c r="D1" s="629" t="s">
        <v>782</v>
      </c>
      <c r="E1" s="634"/>
    </row>
    <row r="2" spans="1:10">
      <c r="A2" s="628"/>
      <c r="B2" s="627"/>
      <c r="C2" s="628"/>
      <c r="D2" s="628"/>
      <c r="E2" s="627"/>
      <c r="F2" s="628"/>
    </row>
    <row r="3" spans="1:10" ht="16.5">
      <c r="A3" s="631" t="s">
        <v>0</v>
      </c>
      <c r="B3" s="624" t="s">
        <v>1</v>
      </c>
      <c r="C3" s="632" t="s">
        <v>2</v>
      </c>
      <c r="D3" s="631" t="s">
        <v>0</v>
      </c>
      <c r="E3" s="624" t="s">
        <v>1</v>
      </c>
      <c r="F3" s="632" t="s">
        <v>2</v>
      </c>
    </row>
    <row r="4" spans="1:10">
      <c r="A4" s="631"/>
      <c r="B4" s="624" t="s">
        <v>3</v>
      </c>
      <c r="C4" s="633"/>
      <c r="D4" s="631"/>
      <c r="E4" s="624" t="s">
        <v>3</v>
      </c>
      <c r="F4" s="633"/>
    </row>
    <row r="5" spans="1:10">
      <c r="A5" s="631" t="s">
        <v>4</v>
      </c>
      <c r="B5" s="625">
        <v>1</v>
      </c>
      <c r="C5" s="633"/>
      <c r="D5" s="631" t="s">
        <v>4</v>
      </c>
      <c r="E5" s="625">
        <v>1</v>
      </c>
      <c r="F5" s="633"/>
    </row>
    <row r="6" spans="1:10">
      <c r="B6" s="634"/>
      <c r="C6" s="633"/>
      <c r="E6" s="634"/>
      <c r="F6" s="633"/>
    </row>
    <row r="7" spans="1:10" ht="16.5">
      <c r="A7" s="635" t="s">
        <v>5</v>
      </c>
      <c r="B7" s="672">
        <v>41</v>
      </c>
      <c r="C7" s="633"/>
      <c r="D7" s="635" t="s">
        <v>5</v>
      </c>
      <c r="E7" s="672">
        <v>41</v>
      </c>
      <c r="F7" s="633"/>
    </row>
    <row r="8" spans="1:10" ht="17.25" thickBot="1">
      <c r="A8" s="637" t="s">
        <v>6</v>
      </c>
      <c r="B8" s="638" t="s">
        <v>7</v>
      </c>
      <c r="C8" s="633"/>
      <c r="D8" s="637" t="s">
        <v>6</v>
      </c>
      <c r="E8" s="638" t="s">
        <v>7</v>
      </c>
      <c r="F8" s="633"/>
      <c r="G8" s="706" t="s">
        <v>779</v>
      </c>
    </row>
    <row r="9" spans="1:10" hidden="1">
      <c r="A9" s="643" t="s">
        <v>8</v>
      </c>
      <c r="B9" s="644"/>
      <c r="C9" s="633"/>
      <c r="D9" s="643" t="s">
        <v>8</v>
      </c>
      <c r="E9" s="644"/>
      <c r="F9" s="643"/>
      <c r="G9" s="734"/>
      <c r="J9" s="731"/>
    </row>
    <row r="10" spans="1:10" hidden="1">
      <c r="A10" s="643" t="s">
        <v>9</v>
      </c>
      <c r="B10" s="644"/>
      <c r="C10" s="633"/>
      <c r="D10" s="643" t="s">
        <v>9</v>
      </c>
      <c r="E10" s="644"/>
      <c r="F10" s="643"/>
      <c r="G10" s="651"/>
    </row>
    <row r="11" spans="1:10" hidden="1">
      <c r="A11" s="633" t="s">
        <v>93</v>
      </c>
      <c r="B11" s="641"/>
      <c r="C11" s="633"/>
      <c r="D11" s="633" t="s">
        <v>93</v>
      </c>
      <c r="E11" s="641"/>
      <c r="F11" s="643"/>
    </row>
    <row r="12" spans="1:10" hidden="1">
      <c r="A12" s="633" t="s">
        <v>95</v>
      </c>
      <c r="B12" s="641"/>
      <c r="C12" s="633"/>
      <c r="D12" s="633" t="s">
        <v>95</v>
      </c>
      <c r="E12" s="641"/>
      <c r="F12" s="643"/>
      <c r="H12" s="734"/>
    </row>
    <row r="13" spans="1:10" hidden="1">
      <c r="A13" s="633"/>
      <c r="B13" s="641"/>
      <c r="C13" s="633"/>
      <c r="D13" s="633"/>
      <c r="E13" s="641"/>
      <c r="F13" s="643"/>
    </row>
    <row r="14" spans="1:10" hidden="1">
      <c r="A14" s="643" t="s">
        <v>12</v>
      </c>
      <c r="B14" s="644"/>
      <c r="C14" s="643"/>
      <c r="D14" s="643" t="s">
        <v>12</v>
      </c>
      <c r="E14" s="644"/>
      <c r="F14" s="643"/>
      <c r="G14" s="651"/>
    </row>
    <row r="15" spans="1:10" hidden="1">
      <c r="A15" s="643" t="s">
        <v>13</v>
      </c>
      <c r="B15" s="644"/>
      <c r="C15" s="643"/>
      <c r="D15" s="643" t="s">
        <v>13</v>
      </c>
      <c r="E15" s="644"/>
      <c r="F15" s="643"/>
      <c r="G15" s="651"/>
    </row>
    <row r="16" spans="1:10" hidden="1">
      <c r="A16" s="643" t="s">
        <v>96</v>
      </c>
      <c r="B16" s="644"/>
      <c r="C16" s="643"/>
      <c r="D16" s="643" t="s">
        <v>96</v>
      </c>
      <c r="E16" s="644"/>
      <c r="F16" s="643"/>
      <c r="G16" s="651"/>
    </row>
    <row r="17" spans="1:49" hidden="1">
      <c r="A17" s="633" t="s">
        <v>15</v>
      </c>
      <c r="B17" s="641"/>
      <c r="C17" s="643"/>
      <c r="D17" s="633" t="s">
        <v>15</v>
      </c>
      <c r="E17" s="641"/>
      <c r="F17" s="643"/>
      <c r="L17" s="731"/>
    </row>
    <row r="18" spans="1:49" hidden="1">
      <c r="A18" s="633" t="s">
        <v>16</v>
      </c>
      <c r="B18" s="641"/>
      <c r="C18" s="643"/>
      <c r="D18" s="633" t="s">
        <v>16</v>
      </c>
      <c r="E18" s="641"/>
      <c r="F18" s="643"/>
    </row>
    <row r="19" spans="1:49" hidden="1">
      <c r="A19" s="633" t="s">
        <v>17</v>
      </c>
      <c r="B19" s="641"/>
      <c r="C19" s="643"/>
      <c r="D19" s="633" t="s">
        <v>17</v>
      </c>
      <c r="E19" s="641"/>
      <c r="F19" s="643"/>
      <c r="G19" s="731"/>
    </row>
    <row r="20" spans="1:49" hidden="1">
      <c r="A20" s="633" t="s">
        <v>97</v>
      </c>
      <c r="B20" s="641"/>
      <c r="C20" s="643"/>
      <c r="D20" s="633" t="s">
        <v>97</v>
      </c>
      <c r="E20" s="641"/>
      <c r="F20" s="643"/>
    </row>
    <row r="21" spans="1:49" hidden="1">
      <c r="A21" s="633" t="s">
        <v>19</v>
      </c>
      <c r="B21" s="641"/>
      <c r="C21" s="643"/>
      <c r="D21" s="633" t="s">
        <v>19</v>
      </c>
      <c r="E21" s="641"/>
      <c r="F21" s="643"/>
    </row>
    <row r="22" spans="1:49" hidden="1">
      <c r="A22" s="633" t="s">
        <v>20</v>
      </c>
      <c r="B22" s="641"/>
      <c r="C22" s="643"/>
      <c r="E22" s="641"/>
      <c r="F22" s="643"/>
    </row>
    <row r="23" spans="1:49" ht="3.75" hidden="1" customHeight="1">
      <c r="A23" s="633"/>
      <c r="B23" s="641"/>
      <c r="C23" s="643"/>
      <c r="D23" s="633"/>
      <c r="E23" s="641"/>
      <c r="F23" s="643"/>
    </row>
    <row r="24" spans="1:49" hidden="1">
      <c r="A24" s="643"/>
      <c r="B24" s="644"/>
      <c r="C24" s="650"/>
      <c r="D24" s="643"/>
      <c r="E24" s="644"/>
      <c r="F24" s="650"/>
    </row>
    <row r="25" spans="1:49" hidden="1">
      <c r="A25" s="643" t="s">
        <v>24</v>
      </c>
      <c r="B25" s="643"/>
      <c r="C25" s="644"/>
      <c r="D25" s="643" t="s">
        <v>24</v>
      </c>
      <c r="E25" s="643"/>
      <c r="F25" s="644"/>
      <c r="G25" s="734"/>
      <c r="J25" s="731"/>
      <c r="K25" s="731"/>
    </row>
    <row r="26" spans="1:49" hidden="1">
      <c r="A26" s="633" t="s">
        <v>25</v>
      </c>
      <c r="B26" s="641"/>
      <c r="C26" s="643"/>
      <c r="D26" s="633" t="s">
        <v>25</v>
      </c>
      <c r="E26" s="641"/>
      <c r="F26" s="643"/>
    </row>
    <row r="27" spans="1:49" ht="16.5">
      <c r="A27" s="724" t="s">
        <v>26</v>
      </c>
      <c r="B27" s="725">
        <v>2931235</v>
      </c>
      <c r="C27" s="703"/>
      <c r="D27" s="724" t="s">
        <v>26</v>
      </c>
      <c r="E27" s="725">
        <f>'41'!$B$25</f>
        <v>3199850</v>
      </c>
      <c r="F27" s="740"/>
      <c r="G27" s="727">
        <f>E27-B27</f>
        <v>268615</v>
      </c>
      <c r="J27" s="731"/>
    </row>
    <row r="28" spans="1:49" ht="16.5">
      <c r="A28" s="724" t="s">
        <v>27</v>
      </c>
      <c r="B28" s="725">
        <v>1170180.6599999999</v>
      </c>
      <c r="C28" s="643"/>
      <c r="D28" s="724" t="s">
        <v>27</v>
      </c>
      <c r="E28" s="725">
        <f>'41'!$B$26</f>
        <v>1285442.1399999999</v>
      </c>
      <c r="F28" s="742"/>
      <c r="G28" s="694">
        <f>E28-B28</f>
        <v>115261.47999999998</v>
      </c>
    </row>
    <row r="29" spans="1:49" hidden="1">
      <c r="A29" s="651" t="s">
        <v>28</v>
      </c>
      <c r="B29" s="771" t="s">
        <v>447</v>
      </c>
      <c r="C29" s="704"/>
      <c r="D29" s="651" t="s">
        <v>28</v>
      </c>
      <c r="E29" s="771" t="s">
        <v>447</v>
      </c>
      <c r="F29" s="745"/>
      <c r="G29" s="783"/>
      <c r="AO29" s="659"/>
      <c r="AP29" s="647"/>
      <c r="AQ29" s="647"/>
      <c r="AR29" s="647"/>
      <c r="AS29" s="647"/>
      <c r="AT29" s="647"/>
      <c r="AU29" s="647"/>
      <c r="AV29" s="647"/>
      <c r="AW29" s="647"/>
    </row>
    <row r="30" spans="1:49" ht="16.5" hidden="1">
      <c r="A30" s="772" t="s">
        <v>29</v>
      </c>
      <c r="B30" s="752"/>
      <c r="C30" s="704"/>
      <c r="D30" s="772" t="s">
        <v>29</v>
      </c>
      <c r="E30" s="752"/>
      <c r="F30" s="745"/>
      <c r="G30" s="695"/>
    </row>
    <row r="31" spans="1:49" hidden="1">
      <c r="A31" s="633" t="s">
        <v>30</v>
      </c>
      <c r="B31" s="641">
        <v>0</v>
      </c>
      <c r="C31" s="704"/>
      <c r="D31" s="633" t="s">
        <v>30</v>
      </c>
      <c r="E31" s="641">
        <v>0</v>
      </c>
      <c r="F31" s="745"/>
      <c r="G31" s="695"/>
    </row>
    <row r="32" spans="1:49" hidden="1">
      <c r="A32" s="633" t="s">
        <v>108</v>
      </c>
      <c r="B32" s="641">
        <v>0</v>
      </c>
      <c r="C32" s="704"/>
      <c r="D32" s="633" t="s">
        <v>108</v>
      </c>
      <c r="E32" s="641">
        <v>0</v>
      </c>
      <c r="F32" s="745"/>
      <c r="G32" s="695"/>
    </row>
    <row r="33" spans="1:49" hidden="1">
      <c r="A33" s="633" t="s">
        <v>99</v>
      </c>
      <c r="B33" s="641">
        <v>0</v>
      </c>
      <c r="C33" s="704"/>
      <c r="D33" s="633" t="s">
        <v>99</v>
      </c>
      <c r="E33" s="641">
        <v>0</v>
      </c>
      <c r="F33" s="745"/>
      <c r="G33" s="695"/>
    </row>
    <row r="34" spans="1:49" hidden="1">
      <c r="A34" s="633" t="s">
        <v>100</v>
      </c>
      <c r="B34" s="641">
        <v>0</v>
      </c>
      <c r="C34" s="704"/>
      <c r="D34" s="633" t="s">
        <v>100</v>
      </c>
      <c r="E34" s="641">
        <v>0</v>
      </c>
      <c r="F34" s="745"/>
      <c r="G34" s="695"/>
    </row>
    <row r="35" spans="1:49" hidden="1">
      <c r="A35" s="633" t="s">
        <v>101</v>
      </c>
      <c r="B35" s="641">
        <v>0</v>
      </c>
      <c r="C35" s="773"/>
      <c r="D35" s="633" t="s">
        <v>101</v>
      </c>
      <c r="E35" s="641">
        <v>0</v>
      </c>
      <c r="F35" s="782"/>
      <c r="G35" s="695"/>
    </row>
    <row r="36" spans="1:49" hidden="1">
      <c r="A36" s="633" t="s">
        <v>102</v>
      </c>
      <c r="B36" s="641">
        <v>0</v>
      </c>
      <c r="C36" s="773"/>
      <c r="D36" s="633" t="s">
        <v>102</v>
      </c>
      <c r="E36" s="641">
        <v>0</v>
      </c>
      <c r="F36" s="782"/>
      <c r="G36" s="695"/>
    </row>
    <row r="37" spans="1:49" hidden="1">
      <c r="A37" s="657" t="s">
        <v>36</v>
      </c>
      <c r="B37" s="774"/>
      <c r="C37" s="643"/>
      <c r="D37" s="657" t="s">
        <v>36</v>
      </c>
      <c r="E37" s="774"/>
      <c r="F37" s="742"/>
      <c r="G37" s="695"/>
    </row>
    <row r="38" spans="1:49" ht="19.5" customHeight="1">
      <c r="A38" s="643" t="s">
        <v>37</v>
      </c>
      <c r="B38" s="751"/>
      <c r="C38" s="703"/>
      <c r="D38" s="643" t="s">
        <v>37</v>
      </c>
      <c r="E38" s="751"/>
      <c r="F38" s="740"/>
      <c r="G38" s="783"/>
      <c r="K38" s="731"/>
    </row>
    <row r="39" spans="1:49" ht="19.5" customHeight="1">
      <c r="A39" s="654" t="s">
        <v>38</v>
      </c>
      <c r="B39" s="752">
        <v>0</v>
      </c>
      <c r="C39" s="643"/>
      <c r="D39" s="654" t="s">
        <v>38</v>
      </c>
      <c r="E39" s="752">
        <v>0</v>
      </c>
      <c r="F39" s="742"/>
      <c r="G39" s="695"/>
    </row>
    <row r="40" spans="1:49" ht="16.5">
      <c r="A40" s="724" t="s">
        <v>39</v>
      </c>
      <c r="B40" s="725">
        <v>32962</v>
      </c>
      <c r="C40" s="643"/>
      <c r="D40" s="724" t="s">
        <v>39</v>
      </c>
      <c r="E40" s="725">
        <f>'41'!$B$38</f>
        <v>32962</v>
      </c>
      <c r="F40" s="742"/>
      <c r="G40" s="694">
        <f>+E40-B40</f>
        <v>0</v>
      </c>
    </row>
    <row r="41" spans="1:49" ht="16.5">
      <c r="A41" s="724" t="s">
        <v>109</v>
      </c>
      <c r="B41" s="725">
        <v>2410.13</v>
      </c>
      <c r="C41" s="643"/>
      <c r="D41" s="724" t="s">
        <v>109</v>
      </c>
      <c r="E41" s="725">
        <f>'41'!$B$39</f>
        <v>2515.5300000000002</v>
      </c>
      <c r="F41" s="742"/>
      <c r="G41" s="694">
        <f>+E41-B41</f>
        <v>105.40000000000009</v>
      </c>
    </row>
    <row r="42" spans="1:49" hidden="1">
      <c r="B42" s="731"/>
      <c r="C42" s="643"/>
      <c r="E42" s="731"/>
      <c r="F42" s="742"/>
      <c r="G42" s="695"/>
      <c r="AO42" s="659"/>
      <c r="AP42" s="647"/>
      <c r="AQ42" s="647"/>
      <c r="AR42" s="647"/>
      <c r="AS42" s="647"/>
      <c r="AT42" s="647"/>
      <c r="AU42" s="647"/>
      <c r="AV42" s="647"/>
      <c r="AW42" s="647"/>
    </row>
    <row r="43" spans="1:49" ht="18" customHeight="1">
      <c r="A43" s="775" t="s">
        <v>41</v>
      </c>
      <c r="B43" s="752">
        <v>0</v>
      </c>
      <c r="C43" s="776"/>
      <c r="D43" s="775" t="s">
        <v>41</v>
      </c>
      <c r="E43" s="752">
        <v>0</v>
      </c>
      <c r="F43" s="651"/>
      <c r="G43" s="695"/>
    </row>
    <row r="44" spans="1:49" ht="18" customHeight="1">
      <c r="A44" s="657" t="s">
        <v>42</v>
      </c>
      <c r="B44" s="777">
        <v>0</v>
      </c>
      <c r="C44" s="643"/>
      <c r="D44" s="657" t="s">
        <v>42</v>
      </c>
      <c r="E44" s="777">
        <v>0</v>
      </c>
      <c r="F44" s="742"/>
      <c r="G44" s="695"/>
    </row>
    <row r="45" spans="1:49" hidden="1">
      <c r="A45" s="633" t="s">
        <v>43</v>
      </c>
      <c r="B45" s="641">
        <v>0</v>
      </c>
      <c r="C45" s="643"/>
      <c r="D45" s="633" t="s">
        <v>43</v>
      </c>
      <c r="E45" s="641">
        <v>0</v>
      </c>
      <c r="F45" s="742"/>
      <c r="G45" s="695"/>
    </row>
    <row r="46" spans="1:49" ht="16.5">
      <c r="A46" s="724" t="s">
        <v>44</v>
      </c>
      <c r="B46" s="725">
        <v>3269221.93</v>
      </c>
      <c r="C46" s="643"/>
      <c r="D46" s="724" t="s">
        <v>44</v>
      </c>
      <c r="E46" s="725">
        <f>'41'!$B$44</f>
        <v>3585414.42</v>
      </c>
      <c r="F46" s="742"/>
      <c r="G46" s="694">
        <f>E46-B46</f>
        <v>316192.48999999976</v>
      </c>
    </row>
    <row r="47" spans="1:49" ht="16.5">
      <c r="A47" s="633" t="s">
        <v>45</v>
      </c>
      <c r="B47" s="725">
        <v>3269221.93</v>
      </c>
      <c r="C47" s="664"/>
      <c r="D47" s="633" t="s">
        <v>45</v>
      </c>
      <c r="E47" s="725">
        <f>E46</f>
        <v>3585414.42</v>
      </c>
      <c r="F47" s="666"/>
      <c r="G47" s="784"/>
    </row>
    <row r="48" spans="1:49" hidden="1">
      <c r="A48" s="633" t="s">
        <v>46</v>
      </c>
      <c r="B48" s="641"/>
      <c r="C48" s="643"/>
      <c r="D48" s="633" t="s">
        <v>46</v>
      </c>
      <c r="E48" s="641"/>
      <c r="F48" s="742"/>
      <c r="G48" s="696"/>
    </row>
    <row r="49" spans="1:7" hidden="1">
      <c r="A49" s="633" t="s">
        <v>47</v>
      </c>
      <c r="B49" s="641">
        <v>0</v>
      </c>
      <c r="C49" s="643"/>
      <c r="D49" s="633" t="s">
        <v>47</v>
      </c>
      <c r="E49" s="641">
        <v>0</v>
      </c>
      <c r="F49" s="742"/>
      <c r="G49" s="696"/>
    </row>
    <row r="50" spans="1:7" hidden="1">
      <c r="A50" s="643"/>
      <c r="B50" s="644"/>
      <c r="C50" s="650"/>
      <c r="D50" s="643"/>
      <c r="E50" s="644"/>
      <c r="F50" s="650"/>
      <c r="G50" s="785"/>
    </row>
    <row r="51" spans="1:7" hidden="1">
      <c r="A51" s="643" t="s">
        <v>48</v>
      </c>
      <c r="B51" s="644"/>
      <c r="C51" s="643"/>
      <c r="D51" s="643" t="s">
        <v>48</v>
      </c>
      <c r="E51" s="644"/>
      <c r="F51" s="742"/>
      <c r="G51" s="785"/>
    </row>
    <row r="52" spans="1:7" hidden="1">
      <c r="A52" s="759"/>
      <c r="B52" s="644"/>
      <c r="C52" s="643"/>
      <c r="D52" s="643"/>
      <c r="E52" s="644"/>
      <c r="F52" s="742"/>
      <c r="G52" s="785"/>
    </row>
    <row r="53" spans="1:7" ht="16.5" hidden="1" thickBot="1">
      <c r="A53" s="633" t="s">
        <v>49</v>
      </c>
      <c r="B53" s="641">
        <v>0</v>
      </c>
      <c r="C53" s="643"/>
      <c r="D53" s="633" t="s">
        <v>49</v>
      </c>
      <c r="E53" s="641">
        <v>0</v>
      </c>
      <c r="F53" s="742"/>
      <c r="G53" s="786"/>
    </row>
    <row r="54" spans="1:7" hidden="1">
      <c r="A54" s="633" t="s">
        <v>50</v>
      </c>
      <c r="B54" s="641">
        <v>0</v>
      </c>
      <c r="C54" s="643"/>
      <c r="D54" s="633" t="s">
        <v>50</v>
      </c>
      <c r="E54" s="641">
        <v>0</v>
      </c>
      <c r="F54" s="643"/>
    </row>
    <row r="55" spans="1:7" hidden="1">
      <c r="A55" s="633" t="s">
        <v>51</v>
      </c>
      <c r="B55" s="641">
        <v>0</v>
      </c>
      <c r="C55" s="643"/>
      <c r="D55" s="633" t="s">
        <v>51</v>
      </c>
      <c r="E55" s="641">
        <v>0</v>
      </c>
      <c r="F55" s="643"/>
    </row>
    <row r="56" spans="1:7" hidden="1">
      <c r="A56" s="633"/>
      <c r="B56" s="641"/>
      <c r="C56" s="643"/>
      <c r="D56" s="633"/>
      <c r="E56" s="641"/>
      <c r="F56" s="643"/>
    </row>
    <row r="57" spans="1:7" hidden="1">
      <c r="A57" s="633" t="s">
        <v>52</v>
      </c>
      <c r="B57" s="641">
        <v>0</v>
      </c>
      <c r="C57" s="643"/>
      <c r="D57" s="633" t="s">
        <v>52</v>
      </c>
      <c r="E57" s="641">
        <v>0</v>
      </c>
      <c r="F57" s="643"/>
    </row>
    <row r="58" spans="1:7" hidden="1">
      <c r="A58" s="633" t="s">
        <v>53</v>
      </c>
      <c r="B58" s="641">
        <v>0</v>
      </c>
      <c r="C58" s="643"/>
      <c r="D58" s="633" t="s">
        <v>53</v>
      </c>
      <c r="E58" s="641">
        <v>0</v>
      </c>
      <c r="F58" s="643"/>
    </row>
    <row r="59" spans="1:7" hidden="1">
      <c r="A59" s="633" t="s">
        <v>54</v>
      </c>
      <c r="B59" s="641">
        <v>0</v>
      </c>
      <c r="C59" s="643"/>
      <c r="D59" s="633" t="s">
        <v>54</v>
      </c>
      <c r="E59" s="641">
        <v>0</v>
      </c>
      <c r="F59" s="643"/>
    </row>
    <row r="60" spans="1:7" hidden="1">
      <c r="A60" s="633" t="s">
        <v>55</v>
      </c>
      <c r="B60" s="641">
        <v>0</v>
      </c>
      <c r="C60" s="643"/>
      <c r="D60" s="633" t="s">
        <v>55</v>
      </c>
      <c r="E60" s="641">
        <v>0</v>
      </c>
      <c r="F60" s="643"/>
    </row>
    <row r="61" spans="1:7" hidden="1">
      <c r="A61" s="633" t="s">
        <v>56</v>
      </c>
      <c r="B61" s="641">
        <v>0</v>
      </c>
      <c r="C61" s="643"/>
      <c r="D61" s="633" t="s">
        <v>56</v>
      </c>
      <c r="E61" s="641">
        <v>0</v>
      </c>
      <c r="F61" s="643"/>
    </row>
    <row r="62" spans="1:7" hidden="1">
      <c r="A62" s="633" t="s">
        <v>57</v>
      </c>
      <c r="B62" s="641">
        <v>0</v>
      </c>
      <c r="C62" s="643"/>
      <c r="D62" s="633" t="s">
        <v>57</v>
      </c>
      <c r="E62" s="641">
        <v>0</v>
      </c>
      <c r="F62" s="643"/>
    </row>
    <row r="63" spans="1:7" hidden="1">
      <c r="A63" s="633"/>
      <c r="B63" s="641"/>
      <c r="C63" s="643"/>
      <c r="D63" s="633"/>
      <c r="E63" s="641"/>
      <c r="F63" s="643"/>
    </row>
    <row r="64" spans="1:7" hidden="1">
      <c r="A64" s="633" t="s">
        <v>58</v>
      </c>
      <c r="B64" s="641"/>
      <c r="C64" s="643"/>
      <c r="D64" s="633" t="s">
        <v>58</v>
      </c>
      <c r="E64" s="641"/>
      <c r="F64" s="643"/>
    </row>
    <row r="65" spans="1:6" hidden="1">
      <c r="A65" s="633" t="s">
        <v>59</v>
      </c>
      <c r="B65" s="641"/>
      <c r="C65" s="643"/>
      <c r="D65" s="633" t="s">
        <v>59</v>
      </c>
      <c r="E65" s="641"/>
      <c r="F65" s="643"/>
    </row>
    <row r="66" spans="1:6" hidden="1">
      <c r="A66" s="633" t="s">
        <v>60</v>
      </c>
      <c r="B66" s="641"/>
      <c r="C66" s="643"/>
      <c r="D66" s="633" t="s">
        <v>60</v>
      </c>
      <c r="E66" s="641"/>
      <c r="F66" s="643"/>
    </row>
    <row r="67" spans="1:6" hidden="1">
      <c r="A67" s="633" t="s">
        <v>61</v>
      </c>
      <c r="B67" s="641"/>
      <c r="C67" s="643"/>
      <c r="D67" s="633" t="s">
        <v>61</v>
      </c>
      <c r="E67" s="641"/>
      <c r="F67" s="643"/>
    </row>
    <row r="68" spans="1:6" hidden="1">
      <c r="A68" s="633" t="s">
        <v>103</v>
      </c>
      <c r="B68" s="641"/>
      <c r="C68" s="643"/>
      <c r="D68" s="633" t="s">
        <v>103</v>
      </c>
      <c r="E68" s="641"/>
      <c r="F68" s="643"/>
    </row>
    <row r="69" spans="1:6" hidden="1">
      <c r="A69" s="633"/>
      <c r="B69" s="634"/>
      <c r="C69" s="643"/>
      <c r="D69" s="633"/>
      <c r="E69" s="634"/>
      <c r="F69" s="643"/>
    </row>
    <row r="70" spans="1:6" hidden="1">
      <c r="A70" s="633"/>
      <c r="B70" s="641"/>
      <c r="C70" s="643"/>
      <c r="D70" s="633"/>
      <c r="E70" s="641"/>
      <c r="F70" s="643"/>
    </row>
    <row r="71" spans="1:6" hidden="1">
      <c r="A71" s="633"/>
      <c r="B71" s="641"/>
      <c r="C71" s="643"/>
      <c r="D71" s="633"/>
      <c r="E71" s="641"/>
      <c r="F71" s="643"/>
    </row>
    <row r="72" spans="1:6" hidden="1">
      <c r="A72" s="633"/>
      <c r="B72" s="641"/>
      <c r="C72" s="643"/>
      <c r="D72" s="644"/>
      <c r="E72" s="641"/>
      <c r="F72" s="643"/>
    </row>
    <row r="73" spans="1:6" hidden="1">
      <c r="A73" s="633"/>
      <c r="B73" s="641"/>
      <c r="C73" s="643"/>
      <c r="D73" s="644"/>
      <c r="E73" s="641"/>
      <c r="F73" s="643"/>
    </row>
    <row r="74" spans="1:6" hidden="1">
      <c r="A74" s="633"/>
      <c r="B74" s="641"/>
      <c r="C74" s="643"/>
      <c r="D74" s="641"/>
      <c r="E74" s="641"/>
      <c r="F74" s="643"/>
    </row>
    <row r="75" spans="1:6" hidden="1">
      <c r="A75" s="633"/>
      <c r="B75" s="641"/>
      <c r="C75" s="643"/>
      <c r="D75" s="641"/>
      <c r="E75" s="641"/>
      <c r="F75" s="643"/>
    </row>
    <row r="76" spans="1:6" hidden="1">
      <c r="A76" s="633"/>
      <c r="B76" s="731"/>
      <c r="C76" s="651"/>
      <c r="D76" s="641"/>
      <c r="E76" s="731"/>
      <c r="F76" s="651"/>
    </row>
    <row r="77" spans="1:6" hidden="1">
      <c r="D77" s="644"/>
      <c r="F77" s="651"/>
    </row>
    <row r="78" spans="1:6" hidden="1">
      <c r="D78" s="644"/>
      <c r="F78" s="651"/>
    </row>
    <row r="79" spans="1:6" hidden="1">
      <c r="D79" s="644"/>
      <c r="F79" s="651"/>
    </row>
    <row r="80" spans="1:6" hidden="1">
      <c r="D80" s="641"/>
    </row>
    <row r="81" spans="4:4" hidden="1">
      <c r="D81" s="641"/>
    </row>
    <row r="82" spans="4:4" hidden="1">
      <c r="D82" s="641"/>
    </row>
    <row r="83" spans="4:4" hidden="1">
      <c r="D83" s="641"/>
    </row>
    <row r="84" spans="4:4" hidden="1">
      <c r="D84" s="641"/>
    </row>
    <row r="85" spans="4:4" hidden="1">
      <c r="D85" s="641"/>
    </row>
    <row r="86" spans="4:4" hidden="1">
      <c r="D86" s="641"/>
    </row>
    <row r="87" spans="4:4" hidden="1">
      <c r="D87" s="644"/>
    </row>
    <row r="88" spans="4:4" hidden="1">
      <c r="D88" s="643"/>
    </row>
    <row r="89" spans="4:4" hidden="1">
      <c r="D89" s="641"/>
    </row>
    <row r="90" spans="4:4" ht="16.5" hidden="1">
      <c r="D90" s="778"/>
    </row>
    <row r="91" spans="4:4" ht="16.5" hidden="1">
      <c r="D91" s="779"/>
    </row>
    <row r="92" spans="4:4" hidden="1">
      <c r="D92" s="771"/>
    </row>
    <row r="93" spans="4:4" hidden="1">
      <c r="D93" s="752"/>
    </row>
    <row r="94" spans="4:4" hidden="1">
      <c r="D94" s="641"/>
    </row>
    <row r="95" spans="4:4" hidden="1">
      <c r="D95" s="641"/>
    </row>
    <row r="96" spans="4:4" hidden="1">
      <c r="D96" s="641"/>
    </row>
    <row r="97" spans="4:4" hidden="1">
      <c r="D97" s="641"/>
    </row>
    <row r="98" spans="4:4" hidden="1">
      <c r="D98" s="641"/>
    </row>
    <row r="99" spans="4:4" hidden="1">
      <c r="D99" s="641"/>
    </row>
    <row r="100" spans="4:4" hidden="1">
      <c r="D100" s="774"/>
    </row>
    <row r="101" spans="4:4" hidden="1">
      <c r="D101" s="751"/>
    </row>
    <row r="102" spans="4:4" hidden="1">
      <c r="D102" s="752"/>
    </row>
    <row r="103" spans="4:4" ht="16.5" hidden="1">
      <c r="D103" s="779"/>
    </row>
    <row r="104" spans="4:4" ht="16.5" hidden="1">
      <c r="D104" s="779"/>
    </row>
    <row r="105" spans="4:4" hidden="1">
      <c r="D105" s="731"/>
    </row>
    <row r="106" spans="4:4" hidden="1">
      <c r="D106" s="752"/>
    </row>
    <row r="107" spans="4:4" hidden="1">
      <c r="D107" s="777"/>
    </row>
    <row r="108" spans="4:4" hidden="1">
      <c r="D108" s="641"/>
    </row>
    <row r="109" spans="4:4" ht="16.5" hidden="1">
      <c r="D109" s="780"/>
    </row>
    <row r="110" spans="4:4" hidden="1">
      <c r="D110" s="781"/>
    </row>
    <row r="111" spans="4:4" hidden="1">
      <c r="D111" s="641"/>
    </row>
    <row r="112" spans="4:4" hidden="1">
      <c r="D112" s="641"/>
    </row>
    <row r="113" spans="4:4" hidden="1">
      <c r="D113" s="644"/>
    </row>
    <row r="114" spans="4:4" hidden="1">
      <c r="D114" s="644"/>
    </row>
    <row r="115" spans="4:4" hidden="1">
      <c r="D115" s="644"/>
    </row>
    <row r="116" spans="4:4" hidden="1">
      <c r="D116" s="641"/>
    </row>
    <row r="117" spans="4:4" hidden="1">
      <c r="D117" s="641"/>
    </row>
    <row r="118" spans="4:4" hidden="1">
      <c r="D118" s="641"/>
    </row>
    <row r="119" spans="4:4" hidden="1">
      <c r="D119" s="641"/>
    </row>
    <row r="120" spans="4:4" hidden="1">
      <c r="D120" s="641"/>
    </row>
    <row r="121" spans="4:4" hidden="1">
      <c r="D121" s="641"/>
    </row>
    <row r="122" spans="4:4" hidden="1">
      <c r="D122" s="641"/>
    </row>
    <row r="123" spans="4:4" hidden="1">
      <c r="D123" s="641"/>
    </row>
    <row r="124" spans="4:4" hidden="1">
      <c r="D124" s="641"/>
    </row>
    <row r="125" spans="4:4" hidden="1">
      <c r="D125" s="641"/>
    </row>
  </sheetData>
  <pageMargins left="0.70000000000000007" right="0.70000000000000007" top="1.1437007874015745" bottom="1.1437007874015745" header="0.74999999999999989" footer="0.74999999999999989"/>
  <pageSetup fitToWidth="0" fitToHeight="0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FF00"/>
  </sheetPr>
  <dimension ref="A1:GV69"/>
  <sheetViews>
    <sheetView workbookViewId="0">
      <pane xSplit="8" ySplit="40" topLeftCell="I41" activePane="bottomRight" state="frozen"/>
      <selection activeCell="F26" sqref="F26"/>
      <selection pane="topRight" activeCell="F26" sqref="F26"/>
      <selection pane="bottomLeft" activeCell="F26" sqref="F26"/>
      <selection pane="bottomRight" activeCell="B26" sqref="B26:B40"/>
    </sheetView>
  </sheetViews>
  <sheetFormatPr defaultColWidth="3" defaultRowHeight="15.75"/>
  <cols>
    <col min="1" max="1" width="45.7109375" style="629" bestFit="1" customWidth="1"/>
    <col min="2" max="2" width="20.85546875" style="634" customWidth="1"/>
    <col min="3" max="3" width="1.85546875" style="629" customWidth="1"/>
    <col min="4" max="4" width="1.28515625" style="629" customWidth="1"/>
    <col min="5" max="5" width="45.7109375" style="629" bestFit="1" customWidth="1"/>
    <col min="6" max="6" width="22.140625" style="634" customWidth="1"/>
    <col min="7" max="7" width="4.5703125" style="629" customWidth="1"/>
    <col min="8" max="8" width="15.28515625" style="629" customWidth="1"/>
    <col min="9" max="9" width="6.2851562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/>
    <col min="223" max="223" width="0.42578125" style="629" customWidth="1"/>
    <col min="224" max="231" width="3" style="629"/>
    <col min="232" max="232" width="0.42578125" style="629" customWidth="1"/>
    <col min="233" max="238" width="3" style="629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/>
    <col min="249" max="249" width="0.42578125" style="629" customWidth="1"/>
    <col min="250" max="16384" width="3" style="629"/>
  </cols>
  <sheetData>
    <row r="1" spans="1:10">
      <c r="A1" s="626" t="s">
        <v>749</v>
      </c>
      <c r="B1" s="627"/>
      <c r="C1" s="628"/>
      <c r="E1" s="626" t="s">
        <v>748</v>
      </c>
      <c r="F1" s="627"/>
      <c r="G1" s="628"/>
    </row>
    <row r="2" spans="1:10" ht="16.5">
      <c r="A2" s="631" t="s">
        <v>0</v>
      </c>
      <c r="B2" s="624" t="s">
        <v>1</v>
      </c>
      <c r="C2" s="632" t="s">
        <v>2</v>
      </c>
      <c r="E2" s="631" t="s">
        <v>0</v>
      </c>
      <c r="F2" s="624" t="s">
        <v>1</v>
      </c>
      <c r="G2" s="632" t="s">
        <v>2</v>
      </c>
    </row>
    <row r="3" spans="1:10">
      <c r="A3" s="631"/>
      <c r="B3" s="624" t="s">
        <v>3</v>
      </c>
      <c r="C3" s="633"/>
      <c r="E3" s="631"/>
      <c r="F3" s="624" t="s">
        <v>3</v>
      </c>
      <c r="G3" s="633"/>
    </row>
    <row r="4" spans="1:10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 ht="12.75" customHeight="1">
      <c r="C5" s="633"/>
      <c r="G5" s="633"/>
    </row>
    <row r="6" spans="1:10" ht="16.5">
      <c r="A6" s="635" t="s">
        <v>5</v>
      </c>
      <c r="B6" s="636">
        <v>112</v>
      </c>
      <c r="C6" s="633"/>
      <c r="E6" s="635" t="s">
        <v>5</v>
      </c>
      <c r="F6" s="636">
        <f>+B6</f>
        <v>112</v>
      </c>
      <c r="G6" s="633"/>
    </row>
    <row r="7" spans="1:10" ht="24" customHeight="1" thickBot="1">
      <c r="A7" s="637" t="s">
        <v>6</v>
      </c>
      <c r="B7" s="638" t="s">
        <v>7</v>
      </c>
      <c r="C7" s="633"/>
      <c r="E7" s="637" t="s">
        <v>6</v>
      </c>
      <c r="F7" s="787" t="s">
        <v>7</v>
      </c>
      <c r="G7" s="633"/>
      <c r="H7" s="706" t="s">
        <v>779</v>
      </c>
    </row>
    <row r="8" spans="1:10" ht="24" hidden="1" customHeight="1">
      <c r="A8" s="633" t="s">
        <v>8</v>
      </c>
      <c r="B8" s="641"/>
      <c r="C8" s="633"/>
      <c r="E8" s="633" t="s">
        <v>8</v>
      </c>
      <c r="F8" s="641"/>
      <c r="G8" s="633"/>
      <c r="H8" s="706"/>
    </row>
    <row r="9" spans="1:10" ht="24" hidden="1" customHeight="1">
      <c r="A9" s="633" t="s">
        <v>9</v>
      </c>
      <c r="B9" s="641"/>
      <c r="C9" s="633"/>
      <c r="E9" s="633" t="s">
        <v>9</v>
      </c>
      <c r="F9" s="641"/>
      <c r="G9" s="633"/>
      <c r="H9" s="706"/>
    </row>
    <row r="10" spans="1:10" ht="24" hidden="1" customHeight="1">
      <c r="A10" s="633" t="s">
        <v>93</v>
      </c>
      <c r="B10" s="641"/>
      <c r="C10" s="633"/>
      <c r="E10" s="633" t="s">
        <v>93</v>
      </c>
      <c r="F10" s="641"/>
      <c r="G10" s="633"/>
      <c r="H10" s="706"/>
    </row>
    <row r="11" spans="1:10" ht="24" hidden="1" customHeight="1">
      <c r="A11" s="633" t="s">
        <v>95</v>
      </c>
      <c r="B11" s="641"/>
      <c r="C11" s="633"/>
      <c r="E11" s="633" t="s">
        <v>95</v>
      </c>
      <c r="F11" s="641"/>
      <c r="G11" s="633"/>
      <c r="H11" s="706"/>
    </row>
    <row r="12" spans="1:10" ht="24" hidden="1" customHeight="1">
      <c r="A12" s="633"/>
      <c r="B12" s="641"/>
      <c r="C12" s="633"/>
      <c r="E12" s="633"/>
      <c r="F12" s="641"/>
      <c r="G12" s="633"/>
      <c r="H12" s="706"/>
    </row>
    <row r="13" spans="1:10" ht="24" hidden="1" customHeight="1">
      <c r="A13" s="643" t="s">
        <v>12</v>
      </c>
      <c r="B13" s="644"/>
      <c r="C13" s="643"/>
      <c r="D13" s="645"/>
      <c r="E13" s="643" t="s">
        <v>12</v>
      </c>
      <c r="F13" s="644"/>
      <c r="G13" s="633"/>
      <c r="H13" s="733"/>
      <c r="I13" s="647"/>
      <c r="J13" s="647"/>
    </row>
    <row r="14" spans="1:10" ht="24" hidden="1" customHeight="1">
      <c r="A14" s="643" t="s">
        <v>13</v>
      </c>
      <c r="B14" s="644"/>
      <c r="C14" s="643"/>
      <c r="D14" s="645"/>
      <c r="E14" s="643" t="s">
        <v>13</v>
      </c>
      <c r="F14" s="644"/>
      <c r="G14" s="633"/>
      <c r="H14" s="733"/>
      <c r="I14" s="647"/>
      <c r="J14" s="647"/>
    </row>
    <row r="15" spans="1:10" ht="24" hidden="1" customHeight="1">
      <c r="A15" s="643" t="s">
        <v>96</v>
      </c>
      <c r="B15" s="644"/>
      <c r="C15" s="643"/>
      <c r="D15" s="645"/>
      <c r="E15" s="643" t="s">
        <v>96</v>
      </c>
      <c r="F15" s="644"/>
      <c r="G15" s="633"/>
      <c r="H15" s="733"/>
      <c r="I15" s="647"/>
      <c r="J15" s="647"/>
    </row>
    <row r="16" spans="1:10" ht="24" hidden="1" customHeight="1">
      <c r="A16" s="633" t="s">
        <v>15</v>
      </c>
      <c r="B16" s="648">
        <v>0</v>
      </c>
      <c r="C16" s="633"/>
      <c r="D16" s="647"/>
      <c r="E16" s="633" t="s">
        <v>15</v>
      </c>
      <c r="F16" s="648">
        <v>0</v>
      </c>
      <c r="G16" s="633"/>
      <c r="H16" s="733"/>
      <c r="I16" s="647"/>
      <c r="J16" s="647"/>
    </row>
    <row r="17" spans="1:65" ht="24" hidden="1" customHeight="1">
      <c r="A17" s="633" t="s">
        <v>16</v>
      </c>
      <c r="B17" s="648">
        <v>0</v>
      </c>
      <c r="C17" s="633"/>
      <c r="D17" s="647"/>
      <c r="E17" s="633" t="s">
        <v>16</v>
      </c>
      <c r="F17" s="648">
        <v>0</v>
      </c>
      <c r="G17" s="633"/>
      <c r="H17" s="733"/>
      <c r="I17" s="647"/>
      <c r="J17" s="647"/>
    </row>
    <row r="18" spans="1:65" ht="24" hidden="1" customHeight="1">
      <c r="A18" s="633" t="s">
        <v>17</v>
      </c>
      <c r="B18" s="648"/>
      <c r="C18" s="633"/>
      <c r="D18" s="647"/>
      <c r="E18" s="633" t="s">
        <v>17</v>
      </c>
      <c r="F18" s="648"/>
      <c r="G18" s="633"/>
      <c r="H18" s="733"/>
      <c r="I18" s="647"/>
      <c r="J18" s="647"/>
    </row>
    <row r="19" spans="1:65" ht="24" hidden="1" customHeight="1">
      <c r="A19" s="633" t="s">
        <v>97</v>
      </c>
      <c r="B19" s="648"/>
      <c r="C19" s="633"/>
      <c r="E19" s="633" t="s">
        <v>97</v>
      </c>
      <c r="F19" s="648"/>
      <c r="G19" s="633"/>
      <c r="H19" s="706"/>
    </row>
    <row r="20" spans="1:65" ht="24" hidden="1" customHeight="1">
      <c r="A20" s="633" t="s">
        <v>19</v>
      </c>
      <c r="B20" s="648">
        <v>0</v>
      </c>
      <c r="C20" s="633"/>
      <c r="E20" s="633" t="s">
        <v>19</v>
      </c>
      <c r="F20" s="648">
        <v>0</v>
      </c>
      <c r="G20" s="633"/>
      <c r="H20" s="706"/>
    </row>
    <row r="21" spans="1:65" ht="24" hidden="1" customHeight="1">
      <c r="A21" s="633" t="s">
        <v>20</v>
      </c>
      <c r="B21" s="648">
        <v>0</v>
      </c>
      <c r="C21" s="633"/>
      <c r="E21" s="633" t="s">
        <v>20</v>
      </c>
      <c r="F21" s="648">
        <v>0</v>
      </c>
      <c r="G21" s="633"/>
      <c r="H21" s="706"/>
    </row>
    <row r="22" spans="1:65" ht="24" hidden="1" customHeight="1">
      <c r="A22" s="633"/>
      <c r="B22" s="648"/>
      <c r="C22" s="633"/>
      <c r="E22" s="633"/>
      <c r="F22" s="648"/>
      <c r="G22" s="633"/>
      <c r="H22" s="706"/>
    </row>
    <row r="23" spans="1:65" ht="8.25" hidden="1" customHeight="1">
      <c r="A23" s="643"/>
      <c r="B23" s="649"/>
      <c r="C23" s="650"/>
      <c r="D23" s="651"/>
      <c r="E23" s="643"/>
      <c r="F23" s="649"/>
      <c r="G23" s="650"/>
      <c r="H23" s="706"/>
    </row>
    <row r="24" spans="1:65" ht="16.5" hidden="1" customHeight="1">
      <c r="A24" s="643" t="s">
        <v>24</v>
      </c>
      <c r="B24" s="649"/>
      <c r="C24" s="633"/>
      <c r="D24" s="651"/>
      <c r="E24" s="643" t="s">
        <v>24</v>
      </c>
      <c r="F24" s="649"/>
      <c r="G24" s="633"/>
      <c r="H24" s="706"/>
    </row>
    <row r="25" spans="1:65" ht="24" hidden="1" customHeight="1">
      <c r="A25" s="633" t="s">
        <v>25</v>
      </c>
      <c r="B25" s="648">
        <v>0</v>
      </c>
      <c r="C25" s="633"/>
      <c r="D25" s="651"/>
      <c r="E25" s="633" t="s">
        <v>25</v>
      </c>
      <c r="F25" s="648">
        <v>0</v>
      </c>
      <c r="G25" s="633"/>
      <c r="H25" s="706"/>
    </row>
    <row r="26" spans="1:65" ht="24" customHeight="1">
      <c r="A26" s="724" t="s">
        <v>26</v>
      </c>
      <c r="B26" s="725">
        <v>76850</v>
      </c>
      <c r="C26" s="653"/>
      <c r="E26" s="724" t="s">
        <v>26</v>
      </c>
      <c r="F26" s="725">
        <f>'112'!$B$30</f>
        <v>851714</v>
      </c>
      <c r="G26" s="654"/>
      <c r="H26" s="761">
        <f>F26-B26</f>
        <v>774864</v>
      </c>
    </row>
    <row r="27" spans="1:65" ht="24" customHeight="1">
      <c r="A27" s="724" t="s">
        <v>27</v>
      </c>
      <c r="B27" s="725">
        <v>84976.39</v>
      </c>
      <c r="C27" s="633"/>
      <c r="E27" s="724" t="s">
        <v>27</v>
      </c>
      <c r="F27" s="725">
        <f>'112'!$B$31</f>
        <v>679874.32</v>
      </c>
      <c r="G27" s="639"/>
      <c r="H27" s="621">
        <f>F27-B27</f>
        <v>594897.92999999993</v>
      </c>
    </row>
    <row r="28" spans="1:65" ht="24" hidden="1" customHeight="1">
      <c r="A28" s="651"/>
      <c r="B28" s="716">
        <v>84976.39</v>
      </c>
      <c r="C28" s="657"/>
      <c r="E28" s="651" t="s">
        <v>28</v>
      </c>
      <c r="F28" s="716">
        <f>F27</f>
        <v>679874.32</v>
      </c>
      <c r="G28" s="658"/>
      <c r="H28" s="620"/>
      <c r="BE28" s="659"/>
      <c r="BF28" s="647"/>
      <c r="BG28" s="647"/>
      <c r="BH28" s="647"/>
      <c r="BI28" s="647"/>
      <c r="BJ28" s="647"/>
      <c r="BK28" s="647"/>
      <c r="BL28" s="647"/>
      <c r="BM28" s="647"/>
    </row>
    <row r="29" spans="1:65" ht="24" hidden="1" customHeight="1">
      <c r="A29" s="633" t="s">
        <v>29</v>
      </c>
      <c r="B29" s="717"/>
      <c r="C29" s="657"/>
      <c r="E29" s="633" t="s">
        <v>29</v>
      </c>
      <c r="F29" s="717"/>
      <c r="G29" s="658"/>
      <c r="H29" s="620"/>
    </row>
    <row r="30" spans="1:65" ht="24" hidden="1" customHeight="1">
      <c r="A30" s="633" t="s">
        <v>30</v>
      </c>
      <c r="B30" s="718">
        <v>0</v>
      </c>
      <c r="C30" s="633"/>
      <c r="E30" s="633" t="s">
        <v>30</v>
      </c>
      <c r="F30" s="718">
        <v>0</v>
      </c>
      <c r="G30" s="639"/>
      <c r="H30" s="620"/>
    </row>
    <row r="31" spans="1:65" ht="24" hidden="1" customHeight="1">
      <c r="A31" s="633" t="s">
        <v>35</v>
      </c>
      <c r="B31" s="718">
        <v>0</v>
      </c>
      <c r="C31" s="633"/>
      <c r="E31" s="633" t="s">
        <v>35</v>
      </c>
      <c r="F31" s="718">
        <v>0</v>
      </c>
      <c r="G31" s="639"/>
      <c r="H31" s="620"/>
    </row>
    <row r="32" spans="1:65" ht="24" hidden="1" customHeight="1">
      <c r="A32" s="633" t="s">
        <v>36</v>
      </c>
      <c r="B32" s="718">
        <v>0</v>
      </c>
      <c r="C32" s="633"/>
      <c r="E32" s="633" t="s">
        <v>36</v>
      </c>
      <c r="F32" s="718">
        <v>0</v>
      </c>
      <c r="G32" s="639"/>
      <c r="H32" s="620">
        <f>+H26+H27-H39</f>
        <v>252062.16999999993</v>
      </c>
    </row>
    <row r="33" spans="1:65" ht="17.25" customHeight="1">
      <c r="A33" s="643" t="s">
        <v>37</v>
      </c>
      <c r="B33" s="649"/>
      <c r="C33" s="633"/>
      <c r="D33" s="651"/>
      <c r="E33" s="643" t="s">
        <v>37</v>
      </c>
      <c r="F33" s="649"/>
      <c r="G33" s="639"/>
      <c r="H33" s="620">
        <f>+H26+H27-H36-H39</f>
        <v>251758.97999999998</v>
      </c>
    </row>
    <row r="34" spans="1:65" ht="17.25" customHeight="1">
      <c r="A34" s="633" t="s">
        <v>38</v>
      </c>
      <c r="B34" s="719">
        <v>0</v>
      </c>
      <c r="C34" s="653"/>
      <c r="E34" s="633" t="s">
        <v>38</v>
      </c>
      <c r="F34" s="719">
        <v>0</v>
      </c>
      <c r="G34" s="654"/>
      <c r="H34" s="620"/>
    </row>
    <row r="35" spans="1:65" ht="24" customHeight="1">
      <c r="A35" s="724" t="s">
        <v>39</v>
      </c>
      <c r="B35" s="725">
        <v>15365</v>
      </c>
      <c r="C35" s="633"/>
      <c r="E35" s="724" t="s">
        <v>39</v>
      </c>
      <c r="F35" s="725">
        <f>'112'!$B$43</f>
        <v>76742.5</v>
      </c>
      <c r="G35" s="639"/>
      <c r="H35" s="621">
        <f>F35-B35</f>
        <v>61377.5</v>
      </c>
      <c r="BE35" s="659"/>
      <c r="BF35" s="647"/>
      <c r="BG35" s="647"/>
      <c r="BH35" s="647"/>
      <c r="BI35" s="647"/>
      <c r="BJ35" s="647"/>
      <c r="BK35" s="647"/>
      <c r="BL35" s="647"/>
      <c r="BM35" s="647"/>
    </row>
    <row r="36" spans="1:65" ht="24" customHeight="1">
      <c r="A36" s="724" t="s">
        <v>40</v>
      </c>
      <c r="B36" s="725">
        <v>244.7</v>
      </c>
      <c r="C36" s="633"/>
      <c r="E36" s="724" t="s">
        <v>40</v>
      </c>
      <c r="F36" s="725">
        <f>'112'!$B$44</f>
        <v>547.89</v>
      </c>
      <c r="G36" s="639"/>
      <c r="H36" s="621">
        <f>F36-B36</f>
        <v>303.19</v>
      </c>
      <c r="BE36" s="647"/>
      <c r="BF36" s="647"/>
      <c r="BG36" s="647"/>
      <c r="BH36" s="647"/>
      <c r="BI36" s="647"/>
      <c r="BJ36" s="647"/>
      <c r="BK36" s="647"/>
      <c r="BL36" s="647"/>
      <c r="BM36" s="647"/>
    </row>
    <row r="37" spans="1:65" ht="12.75" customHeight="1">
      <c r="A37" s="661" t="s">
        <v>41</v>
      </c>
      <c r="B37" s="720">
        <v>0</v>
      </c>
      <c r="C37" s="662"/>
      <c r="E37" s="661" t="s">
        <v>41</v>
      </c>
      <c r="F37" s="720">
        <v>0</v>
      </c>
      <c r="G37" s="663"/>
      <c r="H37" s="620"/>
    </row>
    <row r="38" spans="1:65" ht="12.75" customHeight="1">
      <c r="A38" s="633" t="s">
        <v>43</v>
      </c>
      <c r="B38" s="668">
        <v>0</v>
      </c>
      <c r="C38" s="633"/>
      <c r="E38" s="633" t="s">
        <v>43</v>
      </c>
      <c r="F38" s="668">
        <v>0</v>
      </c>
      <c r="G38" s="639"/>
      <c r="H38" s="620"/>
    </row>
    <row r="39" spans="1:65" ht="24" customHeight="1">
      <c r="A39" s="724" t="s">
        <v>44</v>
      </c>
      <c r="B39" s="725">
        <v>102838.69</v>
      </c>
      <c r="C39" s="633"/>
      <c r="E39" s="724" t="s">
        <v>44</v>
      </c>
      <c r="F39" s="725">
        <f>'112'!$B$48</f>
        <v>1220538.45</v>
      </c>
      <c r="G39" s="639"/>
      <c r="H39" s="621">
        <f>F39-B39</f>
        <v>1117699.76</v>
      </c>
    </row>
    <row r="40" spans="1:65" ht="24" customHeight="1" thickBot="1">
      <c r="A40" s="633" t="s">
        <v>45</v>
      </c>
      <c r="B40" s="725">
        <v>102838.69</v>
      </c>
      <c r="C40" s="633"/>
      <c r="E40" s="633" t="s">
        <v>45</v>
      </c>
      <c r="F40" s="725">
        <f>F39</f>
        <v>1220538.45</v>
      </c>
      <c r="G40" s="666"/>
      <c r="H40" s="622"/>
    </row>
    <row r="41" spans="1:65" ht="24" customHeight="1">
      <c r="A41" s="633" t="s">
        <v>46</v>
      </c>
      <c r="B41" s="648">
        <v>0</v>
      </c>
      <c r="C41" s="633"/>
      <c r="E41" s="633" t="s">
        <v>46</v>
      </c>
      <c r="F41" s="668">
        <v>0</v>
      </c>
      <c r="G41" s="633"/>
    </row>
    <row r="42" spans="1:65" ht="24" customHeight="1">
      <c r="A42" s="633" t="s">
        <v>47</v>
      </c>
      <c r="B42" s="648">
        <v>0</v>
      </c>
      <c r="C42" s="633"/>
      <c r="E42" s="633" t="s">
        <v>47</v>
      </c>
      <c r="F42" s="648">
        <v>0</v>
      </c>
      <c r="G42" s="633"/>
    </row>
    <row r="43" spans="1:65" ht="8.25" hidden="1" customHeight="1">
      <c r="A43" s="643"/>
      <c r="B43" s="649">
        <v>0</v>
      </c>
      <c r="C43" s="650"/>
      <c r="D43" s="651"/>
      <c r="E43" s="643"/>
      <c r="F43" s="649">
        <v>0</v>
      </c>
      <c r="G43" s="650"/>
    </row>
    <row r="44" spans="1:65" ht="24" hidden="1" customHeight="1">
      <c r="A44" s="643" t="s">
        <v>48</v>
      </c>
      <c r="B44" s="644"/>
      <c r="C44" s="633"/>
      <c r="E44" s="643" t="s">
        <v>48</v>
      </c>
      <c r="F44" s="644"/>
      <c r="G44" s="633"/>
    </row>
    <row r="45" spans="1:65" ht="24" hidden="1" customHeight="1">
      <c r="A45" s="633"/>
      <c r="B45" s="648">
        <v>0</v>
      </c>
      <c r="C45" s="633"/>
      <c r="E45" s="633"/>
      <c r="F45" s="648">
        <v>0</v>
      </c>
      <c r="G45" s="633"/>
    </row>
    <row r="46" spans="1:65" ht="24" hidden="1" customHeight="1">
      <c r="A46" s="633" t="s">
        <v>49</v>
      </c>
      <c r="B46" s="648">
        <v>0</v>
      </c>
      <c r="C46" s="633"/>
      <c r="E46" s="633" t="s">
        <v>49</v>
      </c>
      <c r="F46" s="648">
        <f>F49</f>
        <v>0</v>
      </c>
      <c r="G46" s="633"/>
    </row>
    <row r="47" spans="1:65" ht="24" hidden="1" customHeight="1">
      <c r="A47" s="633" t="s">
        <v>50</v>
      </c>
      <c r="B47" s="648">
        <v>0</v>
      </c>
      <c r="C47" s="633"/>
      <c r="E47" s="633" t="s">
        <v>50</v>
      </c>
      <c r="F47" s="648">
        <v>0</v>
      </c>
      <c r="G47" s="633"/>
    </row>
    <row r="48" spans="1:65" ht="24" hidden="1" customHeight="1">
      <c r="A48" s="633" t="s">
        <v>51</v>
      </c>
      <c r="B48" s="648">
        <v>0</v>
      </c>
      <c r="C48" s="633"/>
      <c r="E48" s="633" t="s">
        <v>51</v>
      </c>
      <c r="F48" s="648">
        <v>0</v>
      </c>
      <c r="G48" s="633"/>
    </row>
    <row r="49" spans="1:7" ht="24" hidden="1" customHeight="1">
      <c r="A49" s="633"/>
      <c r="B49" s="648">
        <v>0</v>
      </c>
      <c r="C49" s="633"/>
      <c r="E49" s="633"/>
      <c r="F49" s="648">
        <v>0</v>
      </c>
      <c r="G49" s="633"/>
    </row>
    <row r="50" spans="1:7" ht="24" hidden="1" customHeight="1">
      <c r="A50" s="633" t="s">
        <v>52</v>
      </c>
      <c r="B50" s="648">
        <v>0</v>
      </c>
      <c r="C50" s="633"/>
      <c r="E50" s="633" t="s">
        <v>52</v>
      </c>
      <c r="F50" s="648">
        <v>0</v>
      </c>
      <c r="G50" s="633"/>
    </row>
    <row r="51" spans="1:7" ht="24" hidden="1" customHeight="1">
      <c r="A51" s="633" t="s">
        <v>53</v>
      </c>
      <c r="B51" s="648">
        <v>0</v>
      </c>
      <c r="C51" s="633"/>
      <c r="E51" s="633" t="s">
        <v>53</v>
      </c>
      <c r="F51" s="648">
        <v>0</v>
      </c>
      <c r="G51" s="633"/>
    </row>
    <row r="52" spans="1:7" ht="24" hidden="1" customHeight="1">
      <c r="A52" s="633" t="s">
        <v>54</v>
      </c>
      <c r="B52" s="648">
        <v>0</v>
      </c>
      <c r="C52" s="633"/>
      <c r="E52" s="633" t="s">
        <v>54</v>
      </c>
      <c r="F52" s="648">
        <v>0</v>
      </c>
      <c r="G52" s="633"/>
    </row>
    <row r="53" spans="1:7" ht="24" hidden="1" customHeight="1">
      <c r="A53" s="633" t="s">
        <v>55</v>
      </c>
      <c r="B53" s="648">
        <v>0</v>
      </c>
      <c r="C53" s="633"/>
      <c r="E53" s="633" t="s">
        <v>55</v>
      </c>
      <c r="F53" s="648">
        <v>0</v>
      </c>
      <c r="G53" s="633"/>
    </row>
    <row r="54" spans="1:7" ht="24" hidden="1" customHeight="1">
      <c r="A54" s="633" t="s">
        <v>56</v>
      </c>
      <c r="B54" s="648">
        <v>0</v>
      </c>
      <c r="C54" s="633"/>
      <c r="E54" s="633" t="s">
        <v>56</v>
      </c>
      <c r="F54" s="648">
        <v>0</v>
      </c>
      <c r="G54" s="633"/>
    </row>
    <row r="55" spans="1:7" ht="24" hidden="1" customHeight="1">
      <c r="A55" s="633" t="s">
        <v>57</v>
      </c>
      <c r="B55" s="648">
        <v>0</v>
      </c>
      <c r="C55" s="633"/>
      <c r="E55" s="633" t="s">
        <v>57</v>
      </c>
      <c r="F55" s="648">
        <v>0</v>
      </c>
      <c r="G55" s="633"/>
    </row>
    <row r="56" spans="1:7" ht="24" hidden="1" customHeight="1">
      <c r="A56" s="633"/>
      <c r="B56" s="648">
        <v>0</v>
      </c>
      <c r="C56" s="633"/>
      <c r="E56" s="633"/>
      <c r="F56" s="648">
        <v>0</v>
      </c>
      <c r="G56" s="633"/>
    </row>
    <row r="57" spans="1:7" ht="24" hidden="1" customHeight="1">
      <c r="A57" s="633" t="s">
        <v>58</v>
      </c>
      <c r="B57" s="648">
        <v>0</v>
      </c>
      <c r="C57" s="633"/>
      <c r="E57" s="633" t="s">
        <v>58</v>
      </c>
      <c r="F57" s="648">
        <v>0</v>
      </c>
      <c r="G57" s="633"/>
    </row>
    <row r="58" spans="1:7" ht="24" hidden="1" customHeight="1">
      <c r="A58" s="633" t="s">
        <v>59</v>
      </c>
      <c r="B58" s="669"/>
      <c r="C58" s="633"/>
      <c r="E58" s="633" t="s">
        <v>59</v>
      </c>
      <c r="F58" s="669"/>
      <c r="G58" s="633"/>
    </row>
    <row r="59" spans="1:7" ht="24" hidden="1" customHeight="1">
      <c r="A59" s="633" t="s">
        <v>60</v>
      </c>
      <c r="B59" s="669"/>
      <c r="C59" s="633"/>
      <c r="E59" s="633" t="s">
        <v>60</v>
      </c>
      <c r="F59" s="669"/>
      <c r="G59" s="633"/>
    </row>
    <row r="60" spans="1:7" ht="24" hidden="1" customHeight="1">
      <c r="A60" s="633" t="s">
        <v>61</v>
      </c>
      <c r="B60" s="669"/>
      <c r="C60" s="633"/>
      <c r="E60" s="633" t="s">
        <v>61</v>
      </c>
      <c r="F60" s="669"/>
      <c r="G60" s="633"/>
    </row>
    <row r="61" spans="1:7" ht="24" hidden="1" customHeight="1">
      <c r="A61" s="633" t="s">
        <v>103</v>
      </c>
      <c r="B61" s="669"/>
      <c r="C61" s="633"/>
      <c r="E61" s="633" t="s">
        <v>103</v>
      </c>
      <c r="F61" s="669"/>
      <c r="G61" s="633"/>
    </row>
    <row r="62" spans="1:7" ht="24" hidden="1" customHeight="1">
      <c r="A62" s="633"/>
      <c r="B62" s="669"/>
      <c r="C62" s="633"/>
      <c r="E62" s="633"/>
      <c r="F62" s="669"/>
      <c r="G62" s="633"/>
    </row>
    <row r="63" spans="1:7" ht="24" hidden="1" customHeight="1">
      <c r="A63" s="633"/>
      <c r="B63" s="648"/>
      <c r="C63" s="633"/>
      <c r="E63" s="633"/>
      <c r="F63" s="648"/>
      <c r="G63" s="633"/>
    </row>
    <row r="64" spans="1:7" ht="24" hidden="1" customHeight="1">
      <c r="A64" s="633"/>
      <c r="B64" s="648"/>
      <c r="C64" s="633"/>
      <c r="E64" s="633"/>
      <c r="F64" s="648"/>
      <c r="G64" s="633"/>
    </row>
    <row r="65" spans="1:7" ht="24" hidden="1" customHeight="1">
      <c r="A65" s="633"/>
      <c r="B65" s="648"/>
      <c r="C65" s="633"/>
      <c r="E65" s="633"/>
      <c r="F65" s="648"/>
      <c r="G65" s="633"/>
    </row>
    <row r="66" spans="1:7" ht="24" hidden="1" customHeight="1">
      <c r="A66" s="633"/>
      <c r="B66" s="648"/>
      <c r="C66" s="633"/>
      <c r="E66" s="633"/>
      <c r="F66" s="648"/>
      <c r="G66" s="633"/>
    </row>
    <row r="67" spans="1:7" ht="24" hidden="1" customHeight="1">
      <c r="A67" s="633"/>
      <c r="B67" s="648"/>
      <c r="C67" s="633"/>
      <c r="E67" s="633"/>
      <c r="F67" s="648"/>
      <c r="G67" s="633"/>
    </row>
    <row r="68" spans="1:7" ht="24" hidden="1" customHeight="1">
      <c r="A68" s="633"/>
      <c r="B68" s="648"/>
      <c r="C68" s="633"/>
      <c r="E68" s="633"/>
      <c r="F68" s="648"/>
      <c r="G68" s="633"/>
    </row>
    <row r="69" spans="1:7" ht="15.75" customHeight="1"/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FF00"/>
  </sheetPr>
  <dimension ref="A1:GV69"/>
  <sheetViews>
    <sheetView workbookViewId="0">
      <pane xSplit="8" ySplit="40" topLeftCell="I69" activePane="bottomRight" state="frozen"/>
      <selection activeCell="F26" sqref="F26"/>
      <selection pane="topRight" activeCell="F26" sqref="F26"/>
      <selection pane="bottomLeft" activeCell="F26" sqref="F26"/>
      <selection pane="bottomRight" activeCell="B26" sqref="B26:B40"/>
    </sheetView>
  </sheetViews>
  <sheetFormatPr defaultColWidth="3" defaultRowHeight="15.75"/>
  <cols>
    <col min="1" max="1" width="52.42578125" style="629" customWidth="1"/>
    <col min="2" max="2" width="22.5703125" style="634" customWidth="1"/>
    <col min="3" max="3" width="4.5703125" style="629" customWidth="1"/>
    <col min="4" max="4" width="3.28515625" style="629" customWidth="1"/>
    <col min="5" max="5" width="50.5703125" style="629" customWidth="1"/>
    <col min="6" max="6" width="21.7109375" style="634" customWidth="1"/>
    <col min="7" max="7" width="4.5703125" style="629" customWidth="1"/>
    <col min="8" max="8" width="15.28515625" style="629" customWidth="1"/>
    <col min="9" max="9" width="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/>
    <col min="223" max="223" width="0.42578125" style="629" customWidth="1"/>
    <col min="224" max="231" width="3" style="629"/>
    <col min="232" max="232" width="0.42578125" style="629" customWidth="1"/>
    <col min="233" max="238" width="3" style="629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/>
    <col min="249" max="249" width="0.42578125" style="629" customWidth="1"/>
    <col min="250" max="16384" width="3" style="629"/>
  </cols>
  <sheetData>
    <row r="1" spans="1:10">
      <c r="A1" s="626" t="s">
        <v>749</v>
      </c>
      <c r="B1" s="627"/>
      <c r="C1" s="628"/>
      <c r="E1" s="626" t="s">
        <v>748</v>
      </c>
      <c r="F1" s="627"/>
      <c r="G1" s="628"/>
    </row>
    <row r="2" spans="1:10" ht="16.5">
      <c r="A2" s="631" t="s">
        <v>0</v>
      </c>
      <c r="B2" s="624" t="s">
        <v>1</v>
      </c>
      <c r="C2" s="632" t="s">
        <v>2</v>
      </c>
      <c r="E2" s="631" t="s">
        <v>0</v>
      </c>
      <c r="F2" s="624" t="s">
        <v>1</v>
      </c>
      <c r="G2" s="632" t="s">
        <v>2</v>
      </c>
    </row>
    <row r="3" spans="1:10">
      <c r="A3" s="631"/>
      <c r="B3" s="624" t="s">
        <v>3</v>
      </c>
      <c r="C3" s="633"/>
      <c r="E3" s="631"/>
      <c r="F3" s="624" t="s">
        <v>3</v>
      </c>
      <c r="G3" s="633"/>
    </row>
    <row r="4" spans="1:10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 ht="12.75" customHeight="1">
      <c r="C5" s="633"/>
      <c r="G5" s="633"/>
    </row>
    <row r="6" spans="1:10" ht="16.5">
      <c r="A6" s="635" t="s">
        <v>5</v>
      </c>
      <c r="B6" s="636">
        <v>118</v>
      </c>
      <c r="C6" s="633"/>
      <c r="E6" s="635" t="s">
        <v>5</v>
      </c>
      <c r="F6" s="636">
        <f>+B6</f>
        <v>118</v>
      </c>
      <c r="G6" s="633"/>
    </row>
    <row r="7" spans="1:10" ht="24" customHeight="1" thickBot="1">
      <c r="A7" s="637" t="s">
        <v>6</v>
      </c>
      <c r="B7" s="638" t="s">
        <v>7</v>
      </c>
      <c r="C7" s="633"/>
      <c r="E7" s="637" t="s">
        <v>6</v>
      </c>
      <c r="F7" s="638" t="s">
        <v>7</v>
      </c>
      <c r="G7" s="633"/>
      <c r="H7" s="706" t="s">
        <v>779</v>
      </c>
    </row>
    <row r="8" spans="1:10" ht="24" hidden="1" customHeight="1">
      <c r="A8" s="633" t="s">
        <v>8</v>
      </c>
      <c r="B8" s="641"/>
      <c r="C8" s="633"/>
      <c r="E8" s="633" t="s">
        <v>8</v>
      </c>
      <c r="F8" s="641"/>
      <c r="G8" s="633"/>
      <c r="H8" s="706"/>
    </row>
    <row r="9" spans="1:10" ht="24" hidden="1" customHeight="1">
      <c r="A9" s="633" t="s">
        <v>9</v>
      </c>
      <c r="B9" s="641"/>
      <c r="C9" s="633"/>
      <c r="E9" s="633" t="s">
        <v>9</v>
      </c>
      <c r="F9" s="641"/>
      <c r="G9" s="633"/>
      <c r="H9" s="706"/>
    </row>
    <row r="10" spans="1:10" ht="24" hidden="1" customHeight="1">
      <c r="A10" s="633" t="s">
        <v>93</v>
      </c>
      <c r="B10" s="641"/>
      <c r="C10" s="633"/>
      <c r="E10" s="633" t="s">
        <v>93</v>
      </c>
      <c r="F10" s="641"/>
      <c r="G10" s="633"/>
      <c r="H10" s="706"/>
    </row>
    <row r="11" spans="1:10" ht="24" hidden="1" customHeight="1">
      <c r="A11" s="633" t="s">
        <v>95</v>
      </c>
      <c r="B11" s="641"/>
      <c r="C11" s="633"/>
      <c r="E11" s="633" t="s">
        <v>95</v>
      </c>
      <c r="F11" s="641"/>
      <c r="G11" s="633"/>
      <c r="H11" s="706"/>
    </row>
    <row r="12" spans="1:10" ht="24" hidden="1" customHeight="1">
      <c r="A12" s="633"/>
      <c r="B12" s="641"/>
      <c r="C12" s="633"/>
      <c r="E12" s="633"/>
      <c r="F12" s="641"/>
      <c r="G12" s="633"/>
      <c r="H12" s="706"/>
    </row>
    <row r="13" spans="1:10" ht="24" hidden="1" customHeight="1">
      <c r="A13" s="643" t="s">
        <v>12</v>
      </c>
      <c r="B13" s="644"/>
      <c r="C13" s="643"/>
      <c r="D13" s="645"/>
      <c r="E13" s="643" t="s">
        <v>12</v>
      </c>
      <c r="F13" s="644"/>
      <c r="G13" s="633"/>
      <c r="H13" s="733"/>
      <c r="I13" s="647"/>
      <c r="J13" s="647"/>
    </row>
    <row r="14" spans="1:10" ht="24" hidden="1" customHeight="1">
      <c r="A14" s="643" t="s">
        <v>13</v>
      </c>
      <c r="B14" s="644"/>
      <c r="C14" s="643"/>
      <c r="D14" s="645"/>
      <c r="E14" s="643" t="s">
        <v>13</v>
      </c>
      <c r="F14" s="644"/>
      <c r="G14" s="633"/>
      <c r="H14" s="733"/>
      <c r="I14" s="647"/>
      <c r="J14" s="647"/>
    </row>
    <row r="15" spans="1:10" ht="24" hidden="1" customHeight="1">
      <c r="A15" s="643" t="s">
        <v>96</v>
      </c>
      <c r="B15" s="644"/>
      <c r="C15" s="643"/>
      <c r="D15" s="645"/>
      <c r="E15" s="643" t="s">
        <v>96</v>
      </c>
      <c r="F15" s="644"/>
      <c r="G15" s="633"/>
      <c r="H15" s="733"/>
      <c r="I15" s="647"/>
      <c r="J15" s="647"/>
    </row>
    <row r="16" spans="1:10" ht="24" hidden="1" customHeight="1">
      <c r="A16" s="633" t="s">
        <v>15</v>
      </c>
      <c r="B16" s="648">
        <v>0</v>
      </c>
      <c r="C16" s="633"/>
      <c r="D16" s="647"/>
      <c r="E16" s="633" t="s">
        <v>15</v>
      </c>
      <c r="F16" s="648">
        <v>0</v>
      </c>
      <c r="G16" s="633"/>
      <c r="H16" s="733"/>
      <c r="I16" s="647"/>
      <c r="J16" s="647"/>
    </row>
    <row r="17" spans="1:65" ht="24" hidden="1" customHeight="1">
      <c r="A17" s="633" t="s">
        <v>16</v>
      </c>
      <c r="B17" s="648">
        <v>0</v>
      </c>
      <c r="C17" s="633"/>
      <c r="D17" s="647"/>
      <c r="E17" s="633" t="s">
        <v>16</v>
      </c>
      <c r="F17" s="648">
        <v>0</v>
      </c>
      <c r="G17" s="633"/>
      <c r="H17" s="733"/>
      <c r="I17" s="647"/>
      <c r="J17" s="647"/>
    </row>
    <row r="18" spans="1:65" ht="24" hidden="1" customHeight="1">
      <c r="A18" s="633" t="s">
        <v>17</v>
      </c>
      <c r="B18" s="648"/>
      <c r="C18" s="633"/>
      <c r="D18" s="647"/>
      <c r="E18" s="633" t="s">
        <v>17</v>
      </c>
      <c r="F18" s="648"/>
      <c r="G18" s="633"/>
      <c r="H18" s="733"/>
      <c r="I18" s="647"/>
      <c r="J18" s="647"/>
    </row>
    <row r="19" spans="1:65" ht="24" hidden="1" customHeight="1">
      <c r="A19" s="633" t="s">
        <v>97</v>
      </c>
      <c r="B19" s="648"/>
      <c r="C19" s="633"/>
      <c r="E19" s="633" t="s">
        <v>97</v>
      </c>
      <c r="F19" s="648"/>
      <c r="G19" s="633"/>
      <c r="H19" s="706"/>
    </row>
    <row r="20" spans="1:65" ht="24" hidden="1" customHeight="1">
      <c r="A20" s="633" t="s">
        <v>19</v>
      </c>
      <c r="B20" s="648">
        <v>0</v>
      </c>
      <c r="C20" s="633"/>
      <c r="E20" s="633" t="s">
        <v>19</v>
      </c>
      <c r="F20" s="648">
        <v>0</v>
      </c>
      <c r="G20" s="633"/>
      <c r="H20" s="706"/>
    </row>
    <row r="21" spans="1:65" ht="24" hidden="1" customHeight="1">
      <c r="A21" s="633" t="s">
        <v>20</v>
      </c>
      <c r="B21" s="648">
        <v>0</v>
      </c>
      <c r="C21" s="633"/>
      <c r="E21" s="633" t="s">
        <v>20</v>
      </c>
      <c r="F21" s="648">
        <v>0</v>
      </c>
      <c r="G21" s="633"/>
      <c r="H21" s="706"/>
    </row>
    <row r="22" spans="1:65" ht="24" hidden="1" customHeight="1">
      <c r="A22" s="633"/>
      <c r="B22" s="648"/>
      <c r="C22" s="633"/>
      <c r="E22" s="633"/>
      <c r="F22" s="648"/>
      <c r="G22" s="633"/>
      <c r="H22" s="706"/>
    </row>
    <row r="23" spans="1:65" ht="8.25" hidden="1" customHeight="1">
      <c r="A23" s="643"/>
      <c r="B23" s="649"/>
      <c r="C23" s="650"/>
      <c r="D23" s="651"/>
      <c r="E23" s="643"/>
      <c r="F23" s="649"/>
      <c r="G23" s="650"/>
      <c r="H23" s="706"/>
    </row>
    <row r="24" spans="1:65" ht="16.5" hidden="1" customHeight="1">
      <c r="A24" s="643" t="s">
        <v>24</v>
      </c>
      <c r="B24" s="649"/>
      <c r="C24" s="633"/>
      <c r="D24" s="651"/>
      <c r="E24" s="643" t="s">
        <v>24</v>
      </c>
      <c r="F24" s="649"/>
      <c r="G24" s="633"/>
      <c r="H24" s="706"/>
    </row>
    <row r="25" spans="1:65" ht="24" hidden="1" customHeight="1">
      <c r="A25" s="633" t="s">
        <v>25</v>
      </c>
      <c r="B25" s="648">
        <v>0</v>
      </c>
      <c r="C25" s="633"/>
      <c r="D25" s="651"/>
      <c r="E25" s="633" t="s">
        <v>25</v>
      </c>
      <c r="F25" s="648">
        <v>0</v>
      </c>
      <c r="G25" s="633"/>
      <c r="H25" s="706"/>
    </row>
    <row r="26" spans="1:65" ht="24" customHeight="1">
      <c r="A26" s="724" t="s">
        <v>26</v>
      </c>
      <c r="B26" s="725">
        <v>83389</v>
      </c>
      <c r="C26" s="653"/>
      <c r="E26" s="724" t="s">
        <v>26</v>
      </c>
      <c r="F26" s="725">
        <f>'118'!$B$30</f>
        <v>787854</v>
      </c>
      <c r="G26" s="654"/>
      <c r="H26" s="728">
        <f>F26-B26</f>
        <v>704465</v>
      </c>
    </row>
    <row r="27" spans="1:65" ht="24" customHeight="1">
      <c r="A27" s="724" t="s">
        <v>27</v>
      </c>
      <c r="B27" s="725">
        <v>131692.69</v>
      </c>
      <c r="C27" s="633"/>
      <c r="E27" s="724" t="s">
        <v>27</v>
      </c>
      <c r="F27" s="725">
        <f>'118'!$B$31</f>
        <v>526712.81000000006</v>
      </c>
      <c r="G27" s="639"/>
      <c r="H27" s="655">
        <f>F27-B27</f>
        <v>395020.12000000005</v>
      </c>
    </row>
    <row r="28" spans="1:65" ht="24" hidden="1" customHeight="1">
      <c r="A28" s="651"/>
      <c r="B28" s="788">
        <v>131692.69</v>
      </c>
      <c r="C28" s="657"/>
      <c r="E28" s="651" t="s">
        <v>28</v>
      </c>
      <c r="F28" s="788">
        <f>F27</f>
        <v>526712.81000000006</v>
      </c>
      <c r="G28" s="658"/>
      <c r="H28" s="642"/>
      <c r="BE28" s="659"/>
      <c r="BF28" s="647"/>
      <c r="BG28" s="647"/>
      <c r="BH28" s="647"/>
      <c r="BI28" s="647"/>
      <c r="BJ28" s="647"/>
      <c r="BK28" s="647"/>
      <c r="BL28" s="647"/>
      <c r="BM28" s="647"/>
    </row>
    <row r="29" spans="1:65" ht="24" hidden="1" customHeight="1">
      <c r="A29" s="633" t="s">
        <v>29</v>
      </c>
      <c r="B29" s="789"/>
      <c r="C29" s="657"/>
      <c r="E29" s="633" t="s">
        <v>29</v>
      </c>
      <c r="F29" s="789"/>
      <c r="G29" s="658"/>
      <c r="H29" s="642"/>
    </row>
    <row r="30" spans="1:65" ht="24" hidden="1" customHeight="1">
      <c r="A30" s="633" t="s">
        <v>30</v>
      </c>
      <c r="B30" s="789">
        <v>0</v>
      </c>
      <c r="C30" s="633"/>
      <c r="E30" s="633" t="s">
        <v>30</v>
      </c>
      <c r="F30" s="789">
        <v>0</v>
      </c>
      <c r="G30" s="639"/>
      <c r="H30" s="642"/>
    </row>
    <row r="31" spans="1:65" ht="24" hidden="1" customHeight="1">
      <c r="A31" s="633" t="s">
        <v>35</v>
      </c>
      <c r="B31" s="789">
        <v>0</v>
      </c>
      <c r="C31" s="633"/>
      <c r="E31" s="633" t="s">
        <v>35</v>
      </c>
      <c r="F31" s="789">
        <v>0</v>
      </c>
      <c r="G31" s="639"/>
      <c r="H31" s="642"/>
    </row>
    <row r="32" spans="1:65" ht="24" hidden="1" customHeight="1">
      <c r="A32" s="633" t="s">
        <v>36</v>
      </c>
      <c r="B32" s="789">
        <v>0</v>
      </c>
      <c r="C32" s="633"/>
      <c r="E32" s="633" t="s">
        <v>36</v>
      </c>
      <c r="F32" s="789">
        <v>0</v>
      </c>
      <c r="G32" s="639"/>
      <c r="H32" s="642">
        <f>+H26+H27-H39</f>
        <v>217154.9600000002</v>
      </c>
    </row>
    <row r="33" spans="1:65" ht="15" customHeight="1">
      <c r="A33" s="643" t="s">
        <v>37</v>
      </c>
      <c r="B33" s="790"/>
      <c r="C33" s="633"/>
      <c r="D33" s="651"/>
      <c r="E33" s="643" t="s">
        <v>37</v>
      </c>
      <c r="F33" s="790"/>
      <c r="G33" s="639"/>
      <c r="H33" s="642">
        <f>+H26+H27-H36-H39</f>
        <v>216033.48000000021</v>
      </c>
    </row>
    <row r="34" spans="1:65" ht="15" customHeight="1">
      <c r="A34" s="633" t="s">
        <v>38</v>
      </c>
      <c r="B34" s="791">
        <v>0</v>
      </c>
      <c r="C34" s="653"/>
      <c r="E34" s="633" t="s">
        <v>38</v>
      </c>
      <c r="F34" s="791">
        <v>0</v>
      </c>
      <c r="G34" s="654"/>
      <c r="H34" s="642"/>
    </row>
    <row r="35" spans="1:65" ht="24" customHeight="1">
      <c r="A35" s="724" t="s">
        <v>39</v>
      </c>
      <c r="B35" s="725">
        <v>97805</v>
      </c>
      <c r="C35" s="633"/>
      <c r="E35" s="724" t="s">
        <v>39</v>
      </c>
      <c r="F35" s="725">
        <f>'118'!$B$43</f>
        <v>131182</v>
      </c>
      <c r="G35" s="639"/>
      <c r="H35" s="655">
        <f>F35-B35</f>
        <v>33377</v>
      </c>
      <c r="BE35" s="659"/>
      <c r="BF35" s="647"/>
      <c r="BG35" s="647"/>
      <c r="BH35" s="647"/>
      <c r="BI35" s="647"/>
      <c r="BJ35" s="647"/>
      <c r="BK35" s="647"/>
      <c r="BL35" s="647"/>
      <c r="BM35" s="647"/>
    </row>
    <row r="36" spans="1:65" ht="24" customHeight="1">
      <c r="A36" s="724" t="s">
        <v>40</v>
      </c>
      <c r="B36" s="725">
        <v>0</v>
      </c>
      <c r="C36" s="633"/>
      <c r="E36" s="724" t="s">
        <v>40</v>
      </c>
      <c r="F36" s="725">
        <f>'118'!$B$44</f>
        <v>1121.48</v>
      </c>
      <c r="G36" s="639"/>
      <c r="H36" s="655">
        <f>F36-B36</f>
        <v>1121.48</v>
      </c>
      <c r="BE36" s="647"/>
      <c r="BF36" s="647"/>
      <c r="BG36" s="647"/>
      <c r="BH36" s="647"/>
      <c r="BI36" s="647"/>
      <c r="BJ36" s="647"/>
      <c r="BK36" s="647"/>
      <c r="BL36" s="647"/>
      <c r="BM36" s="647"/>
    </row>
    <row r="37" spans="1:65" ht="13.5" customHeight="1">
      <c r="A37" s="661" t="s">
        <v>41</v>
      </c>
      <c r="B37" s="792">
        <v>0</v>
      </c>
      <c r="C37" s="662"/>
      <c r="E37" s="661" t="s">
        <v>41</v>
      </c>
      <c r="F37" s="792">
        <v>0</v>
      </c>
      <c r="G37" s="663"/>
      <c r="H37" s="642"/>
    </row>
    <row r="38" spans="1:65" ht="13.5" customHeight="1">
      <c r="A38" s="633" t="s">
        <v>43</v>
      </c>
      <c r="B38" s="793">
        <v>0</v>
      </c>
      <c r="C38" s="633"/>
      <c r="E38" s="633" t="s">
        <v>43</v>
      </c>
      <c r="F38" s="793">
        <v>0</v>
      </c>
      <c r="G38" s="639"/>
      <c r="H38" s="642"/>
    </row>
    <row r="39" spans="1:65" ht="24" customHeight="1">
      <c r="A39" s="724" t="s">
        <v>44</v>
      </c>
      <c r="B39" s="725">
        <v>137863.67999999999</v>
      </c>
      <c r="C39" s="633"/>
      <c r="E39" s="724" t="s">
        <v>44</v>
      </c>
      <c r="F39" s="725">
        <f>'118'!$B$48</f>
        <v>1020193.84</v>
      </c>
      <c r="G39" s="639"/>
      <c r="H39" s="655">
        <f>F39-B39</f>
        <v>882330.15999999992</v>
      </c>
    </row>
    <row r="40" spans="1:65" ht="24" customHeight="1" thickBot="1">
      <c r="A40" s="633" t="s">
        <v>45</v>
      </c>
      <c r="B40" s="725">
        <v>137863.67999999999</v>
      </c>
      <c r="C40" s="664"/>
      <c r="D40" s="665"/>
      <c r="E40" s="633" t="s">
        <v>45</v>
      </c>
      <c r="F40" s="725">
        <f>F39</f>
        <v>1020193.84</v>
      </c>
      <c r="G40" s="666"/>
      <c r="H40" s="721"/>
    </row>
    <row r="41" spans="1:65" ht="24" customHeight="1">
      <c r="A41" s="633" t="s">
        <v>46</v>
      </c>
      <c r="B41" s="648">
        <v>0</v>
      </c>
      <c r="C41" s="633"/>
      <c r="E41" s="633" t="s">
        <v>46</v>
      </c>
      <c r="F41" s="668">
        <v>0</v>
      </c>
      <c r="G41" s="633"/>
    </row>
    <row r="42" spans="1:65" ht="24" hidden="1" customHeight="1">
      <c r="A42" s="633" t="s">
        <v>47</v>
      </c>
      <c r="B42" s="648">
        <v>0</v>
      </c>
      <c r="C42" s="633"/>
      <c r="E42" s="633" t="s">
        <v>47</v>
      </c>
      <c r="F42" s="648">
        <v>0</v>
      </c>
      <c r="G42" s="633"/>
    </row>
    <row r="43" spans="1:65" ht="8.25" hidden="1" customHeight="1">
      <c r="A43" s="643"/>
      <c r="B43" s="649">
        <v>0</v>
      </c>
      <c r="C43" s="650"/>
      <c r="D43" s="651"/>
      <c r="E43" s="643"/>
      <c r="F43" s="649">
        <v>0</v>
      </c>
      <c r="G43" s="650"/>
    </row>
    <row r="44" spans="1:65" ht="24" hidden="1" customHeight="1">
      <c r="A44" s="643" t="s">
        <v>48</v>
      </c>
      <c r="B44" s="644"/>
      <c r="C44" s="633"/>
      <c r="E44" s="643" t="s">
        <v>48</v>
      </c>
      <c r="F44" s="644"/>
      <c r="G44" s="633"/>
    </row>
    <row r="45" spans="1:65" ht="24" hidden="1" customHeight="1">
      <c r="A45" s="633"/>
      <c r="B45" s="648">
        <v>0</v>
      </c>
      <c r="C45" s="633"/>
      <c r="E45" s="633"/>
      <c r="F45" s="648">
        <v>0</v>
      </c>
      <c r="G45" s="633"/>
    </row>
    <row r="46" spans="1:65" ht="24" hidden="1" customHeight="1">
      <c r="A46" s="633" t="s">
        <v>49</v>
      </c>
      <c r="B46" s="648">
        <v>0</v>
      </c>
      <c r="C46" s="633"/>
      <c r="E46" s="633" t="s">
        <v>49</v>
      </c>
      <c r="F46" s="648">
        <f>F49</f>
        <v>0</v>
      </c>
      <c r="G46" s="633"/>
    </row>
    <row r="47" spans="1:65" ht="24" hidden="1" customHeight="1">
      <c r="A47" s="633" t="s">
        <v>50</v>
      </c>
      <c r="B47" s="648">
        <v>0</v>
      </c>
      <c r="C47" s="633"/>
      <c r="E47" s="633" t="s">
        <v>50</v>
      </c>
      <c r="F47" s="648">
        <v>0</v>
      </c>
      <c r="G47" s="633"/>
    </row>
    <row r="48" spans="1:65" ht="24" hidden="1" customHeight="1">
      <c r="A48" s="633" t="s">
        <v>51</v>
      </c>
      <c r="B48" s="648">
        <v>0</v>
      </c>
      <c r="C48" s="633"/>
      <c r="E48" s="633" t="s">
        <v>51</v>
      </c>
      <c r="F48" s="648">
        <v>0</v>
      </c>
      <c r="G48" s="633"/>
    </row>
    <row r="49" spans="1:7" ht="24" hidden="1" customHeight="1">
      <c r="A49" s="633"/>
      <c r="B49" s="648">
        <v>0</v>
      </c>
      <c r="C49" s="633"/>
      <c r="E49" s="633"/>
      <c r="F49" s="648">
        <v>0</v>
      </c>
      <c r="G49" s="633"/>
    </row>
    <row r="50" spans="1:7" ht="24" hidden="1" customHeight="1">
      <c r="A50" s="633" t="s">
        <v>52</v>
      </c>
      <c r="B50" s="648">
        <v>0</v>
      </c>
      <c r="C50" s="633"/>
      <c r="E50" s="633" t="s">
        <v>52</v>
      </c>
      <c r="F50" s="648">
        <v>0</v>
      </c>
      <c r="G50" s="633"/>
    </row>
    <row r="51" spans="1:7" ht="24" hidden="1" customHeight="1">
      <c r="A51" s="633" t="s">
        <v>53</v>
      </c>
      <c r="B51" s="648">
        <v>0</v>
      </c>
      <c r="C51" s="633"/>
      <c r="E51" s="633" t="s">
        <v>53</v>
      </c>
      <c r="F51" s="648">
        <v>0</v>
      </c>
      <c r="G51" s="633"/>
    </row>
    <row r="52" spans="1:7" ht="24" hidden="1" customHeight="1">
      <c r="A52" s="633" t="s">
        <v>54</v>
      </c>
      <c r="B52" s="648">
        <v>0</v>
      </c>
      <c r="C52" s="633"/>
      <c r="E52" s="633" t="s">
        <v>54</v>
      </c>
      <c r="F52" s="648">
        <v>0</v>
      </c>
      <c r="G52" s="633"/>
    </row>
    <row r="53" spans="1:7" ht="24" hidden="1" customHeight="1">
      <c r="A53" s="633" t="s">
        <v>55</v>
      </c>
      <c r="B53" s="648">
        <v>0</v>
      </c>
      <c r="C53" s="633"/>
      <c r="E53" s="633" t="s">
        <v>55</v>
      </c>
      <c r="F53" s="648">
        <v>0</v>
      </c>
      <c r="G53" s="633"/>
    </row>
    <row r="54" spans="1:7" ht="24" hidden="1" customHeight="1">
      <c r="A54" s="633" t="s">
        <v>56</v>
      </c>
      <c r="B54" s="648">
        <v>0</v>
      </c>
      <c r="C54" s="633"/>
      <c r="E54" s="633" t="s">
        <v>56</v>
      </c>
      <c r="F54" s="648">
        <v>0</v>
      </c>
      <c r="G54" s="633"/>
    </row>
    <row r="55" spans="1:7" ht="24" hidden="1" customHeight="1">
      <c r="A55" s="633" t="s">
        <v>57</v>
      </c>
      <c r="B55" s="648">
        <v>0</v>
      </c>
      <c r="C55" s="633"/>
      <c r="E55" s="633" t="s">
        <v>57</v>
      </c>
      <c r="F55" s="648">
        <v>0</v>
      </c>
      <c r="G55" s="633"/>
    </row>
    <row r="56" spans="1:7" ht="24" hidden="1" customHeight="1">
      <c r="A56" s="633"/>
      <c r="B56" s="648">
        <v>0</v>
      </c>
      <c r="C56" s="633"/>
      <c r="E56" s="633"/>
      <c r="F56" s="648">
        <v>0</v>
      </c>
      <c r="G56" s="633"/>
    </row>
    <row r="57" spans="1:7" ht="24" hidden="1" customHeight="1">
      <c r="A57" s="633" t="s">
        <v>58</v>
      </c>
      <c r="B57" s="648">
        <v>0</v>
      </c>
      <c r="C57" s="633"/>
      <c r="E57" s="633" t="s">
        <v>58</v>
      </c>
      <c r="F57" s="648">
        <v>0</v>
      </c>
      <c r="G57" s="633"/>
    </row>
    <row r="58" spans="1:7" ht="24" hidden="1" customHeight="1">
      <c r="A58" s="633" t="s">
        <v>59</v>
      </c>
      <c r="B58" s="669"/>
      <c r="C58" s="633"/>
      <c r="E58" s="633" t="s">
        <v>59</v>
      </c>
      <c r="F58" s="669"/>
      <c r="G58" s="633"/>
    </row>
    <row r="59" spans="1:7" ht="24" hidden="1" customHeight="1">
      <c r="A59" s="633" t="s">
        <v>60</v>
      </c>
      <c r="B59" s="669"/>
      <c r="C59" s="633"/>
      <c r="E59" s="633" t="s">
        <v>60</v>
      </c>
      <c r="F59" s="669"/>
      <c r="G59" s="633"/>
    </row>
    <row r="60" spans="1:7" ht="24" hidden="1" customHeight="1">
      <c r="A60" s="633" t="s">
        <v>61</v>
      </c>
      <c r="B60" s="669"/>
      <c r="C60" s="633"/>
      <c r="E60" s="633" t="s">
        <v>61</v>
      </c>
      <c r="F60" s="669"/>
      <c r="G60" s="633"/>
    </row>
    <row r="61" spans="1:7" ht="24" hidden="1" customHeight="1">
      <c r="A61" s="633" t="s">
        <v>103</v>
      </c>
      <c r="B61" s="669"/>
      <c r="C61" s="633"/>
      <c r="E61" s="633" t="s">
        <v>103</v>
      </c>
      <c r="F61" s="669"/>
      <c r="G61" s="633"/>
    </row>
    <row r="62" spans="1:7" ht="24" hidden="1" customHeight="1">
      <c r="A62" s="633"/>
      <c r="B62" s="669"/>
      <c r="C62" s="633"/>
      <c r="E62" s="633"/>
      <c r="F62" s="669"/>
      <c r="G62" s="633"/>
    </row>
    <row r="63" spans="1:7" ht="24" hidden="1" customHeight="1">
      <c r="A63" s="633"/>
      <c r="B63" s="648"/>
      <c r="C63" s="633"/>
      <c r="E63" s="633"/>
      <c r="F63" s="648"/>
      <c r="G63" s="633"/>
    </row>
    <row r="64" spans="1:7" ht="24" hidden="1" customHeight="1">
      <c r="A64" s="633"/>
      <c r="B64" s="648"/>
      <c r="C64" s="633"/>
      <c r="E64" s="633"/>
      <c r="F64" s="648"/>
      <c r="G64" s="633"/>
    </row>
    <row r="65" spans="1:7" ht="24" hidden="1" customHeight="1">
      <c r="A65" s="633"/>
      <c r="B65" s="648"/>
      <c r="C65" s="633"/>
      <c r="E65" s="633"/>
      <c r="F65" s="648"/>
      <c r="G65" s="633"/>
    </row>
    <row r="66" spans="1:7" ht="24" hidden="1" customHeight="1">
      <c r="A66" s="633"/>
      <c r="B66" s="648"/>
      <c r="C66" s="633"/>
      <c r="E66" s="633"/>
      <c r="F66" s="648"/>
      <c r="G66" s="633"/>
    </row>
    <row r="67" spans="1:7" ht="24" hidden="1" customHeight="1">
      <c r="A67" s="633"/>
      <c r="B67" s="648"/>
      <c r="C67" s="633"/>
      <c r="E67" s="633"/>
      <c r="F67" s="648"/>
      <c r="G67" s="633"/>
    </row>
    <row r="68" spans="1:7" ht="24" hidden="1" customHeight="1">
      <c r="A68" s="633"/>
      <c r="B68" s="648"/>
      <c r="C68" s="633"/>
      <c r="E68" s="633"/>
      <c r="F68" s="648"/>
      <c r="G68" s="633"/>
    </row>
    <row r="69" spans="1:7" ht="15.75" customHeight="1"/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00FF00"/>
  </sheetPr>
  <dimension ref="A1:GV37"/>
  <sheetViews>
    <sheetView workbookViewId="0">
      <pane xSplit="9" ySplit="31" topLeftCell="J32" activePane="bottomRight" state="frozen"/>
      <selection pane="topRight" activeCell="J1" sqref="J1"/>
      <selection pane="bottomLeft" activeCell="A32" sqref="A32"/>
      <selection pane="bottomRight" activeCell="B8" sqref="B8:B31"/>
    </sheetView>
  </sheetViews>
  <sheetFormatPr defaultColWidth="3" defaultRowHeight="15.75"/>
  <cols>
    <col min="1" max="1" width="36.85546875" style="629" bestFit="1" customWidth="1"/>
    <col min="2" max="2" width="25" style="634" bestFit="1" customWidth="1"/>
    <col min="3" max="3" width="4.5703125" style="629" customWidth="1"/>
    <col min="4" max="4" width="8.7109375" style="629" hidden="1" customWidth="1"/>
    <col min="5" max="5" width="36.85546875" style="629" bestFit="1" customWidth="1"/>
    <col min="6" max="6" width="24.5703125" style="634" customWidth="1"/>
    <col min="7" max="7" width="4.5703125" style="629" hidden="1" customWidth="1"/>
    <col min="8" max="8" width="15.85546875" style="629" customWidth="1"/>
    <col min="9" max="9" width="15.570312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 customWidth="1"/>
    <col min="223" max="223" width="0.42578125" style="629" customWidth="1"/>
    <col min="224" max="231" width="3" style="629" customWidth="1"/>
    <col min="232" max="232" width="0.42578125" style="629" customWidth="1"/>
    <col min="233" max="238" width="3" style="629" customWidth="1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 customWidth="1"/>
    <col min="249" max="249" width="0.42578125" style="629" customWidth="1"/>
    <col min="250" max="16384" width="3" style="629"/>
  </cols>
  <sheetData>
    <row r="1" spans="1:10">
      <c r="A1" s="626" t="s">
        <v>749</v>
      </c>
      <c r="B1" s="627"/>
      <c r="C1" s="628"/>
      <c r="E1" s="626" t="s">
        <v>748</v>
      </c>
      <c r="F1" s="627"/>
      <c r="G1" s="628"/>
    </row>
    <row r="2" spans="1:10" ht="16.5">
      <c r="A2" s="631" t="s">
        <v>0</v>
      </c>
      <c r="B2" s="624" t="s">
        <v>751</v>
      </c>
      <c r="C2" s="632" t="s">
        <v>2</v>
      </c>
      <c r="E2" s="631" t="s">
        <v>0</v>
      </c>
      <c r="F2" s="624" t="s">
        <v>751</v>
      </c>
      <c r="G2" s="632" t="s">
        <v>2</v>
      </c>
    </row>
    <row r="3" spans="1:10">
      <c r="A3" s="631"/>
      <c r="B3" s="624"/>
      <c r="C3" s="633"/>
      <c r="E3" s="631"/>
      <c r="F3" s="624"/>
      <c r="G3" s="633"/>
    </row>
    <row r="4" spans="1:10" ht="24" customHeight="1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 ht="24" customHeight="1">
      <c r="C5" s="633"/>
      <c r="G5" s="633"/>
    </row>
    <row r="6" spans="1:10" ht="24" customHeight="1">
      <c r="A6" s="635" t="s">
        <v>5</v>
      </c>
      <c r="B6" s="636">
        <v>95</v>
      </c>
      <c r="C6" s="633"/>
      <c r="E6" s="635" t="s">
        <v>5</v>
      </c>
      <c r="F6" s="636">
        <v>95</v>
      </c>
      <c r="G6" s="633"/>
    </row>
    <row r="7" spans="1:10" ht="24" customHeight="1" thickBot="1">
      <c r="A7" s="637" t="s">
        <v>6</v>
      </c>
      <c r="B7" s="638" t="s">
        <v>110</v>
      </c>
      <c r="C7" s="633"/>
      <c r="E7" s="637" t="s">
        <v>6</v>
      </c>
      <c r="F7" s="638" t="str">
        <f>B7</f>
        <v>AMAZING AMBER</v>
      </c>
      <c r="G7" s="633"/>
      <c r="H7" s="706" t="s">
        <v>779</v>
      </c>
    </row>
    <row r="8" spans="1:10" ht="24" customHeight="1">
      <c r="A8" s="724" t="s">
        <v>71</v>
      </c>
      <c r="B8" s="725">
        <v>33786.51</v>
      </c>
      <c r="C8" s="633"/>
      <c r="E8" s="724" t="s">
        <v>71</v>
      </c>
      <c r="F8" s="725">
        <f>'95'!$B$8</f>
        <v>206191.71</v>
      </c>
      <c r="G8" s="639"/>
      <c r="H8" s="728">
        <f>F8-B8</f>
        <v>172405.19999999998</v>
      </c>
      <c r="I8" s="687" t="s">
        <v>753</v>
      </c>
    </row>
    <row r="9" spans="1:10" ht="24" hidden="1" customHeight="1">
      <c r="A9" s="633" t="s">
        <v>754</v>
      </c>
      <c r="B9" s="794"/>
      <c r="C9" s="633"/>
      <c r="E9" s="633" t="s">
        <v>754</v>
      </c>
      <c r="F9" s="794"/>
      <c r="G9" s="639"/>
      <c r="H9" s="642"/>
    </row>
    <row r="10" spans="1:10" ht="24" hidden="1" customHeight="1">
      <c r="A10" s="633" t="s">
        <v>755</v>
      </c>
      <c r="B10" s="794"/>
      <c r="C10" s="633"/>
      <c r="E10" s="633" t="s">
        <v>755</v>
      </c>
      <c r="F10" s="794"/>
      <c r="G10" s="639"/>
      <c r="H10" s="642"/>
      <c r="I10" s="629">
        <v>20</v>
      </c>
    </row>
    <row r="11" spans="1:10" ht="24" hidden="1" customHeight="1">
      <c r="A11" s="633" t="s">
        <v>756</v>
      </c>
      <c r="B11" s="794"/>
      <c r="C11" s="633"/>
      <c r="E11" s="633" t="s">
        <v>756</v>
      </c>
      <c r="F11" s="794"/>
      <c r="G11" s="639"/>
      <c r="H11" s="642"/>
    </row>
    <row r="12" spans="1:10" ht="24" hidden="1" customHeight="1">
      <c r="A12" s="633" t="s">
        <v>757</v>
      </c>
      <c r="B12" s="794">
        <v>0</v>
      </c>
      <c r="C12" s="633"/>
      <c r="E12" s="633" t="s">
        <v>757</v>
      </c>
      <c r="F12" s="794">
        <v>0</v>
      </c>
      <c r="G12" s="639"/>
      <c r="H12" s="642"/>
    </row>
    <row r="13" spans="1:10" ht="24" hidden="1" customHeight="1">
      <c r="A13" s="633" t="s">
        <v>758</v>
      </c>
      <c r="B13" s="794"/>
      <c r="C13" s="633"/>
      <c r="D13" s="647"/>
      <c r="E13" s="633" t="s">
        <v>758</v>
      </c>
      <c r="F13" s="794"/>
      <c r="G13" s="639"/>
      <c r="H13" s="646"/>
      <c r="I13" s="647"/>
      <c r="J13" s="647"/>
    </row>
    <row r="14" spans="1:10" ht="24" hidden="1" customHeight="1">
      <c r="A14" s="633" t="s">
        <v>337</v>
      </c>
      <c r="B14" s="794"/>
      <c r="C14" s="633"/>
      <c r="D14" s="647"/>
      <c r="E14" s="633" t="s">
        <v>337</v>
      </c>
      <c r="F14" s="794"/>
      <c r="G14" s="639"/>
      <c r="H14" s="646"/>
      <c r="I14" s="647"/>
      <c r="J14" s="647"/>
    </row>
    <row r="15" spans="1:10" ht="24" hidden="1" customHeight="1">
      <c r="A15" s="633" t="s">
        <v>759</v>
      </c>
      <c r="B15" s="794"/>
      <c r="C15" s="633"/>
      <c r="D15" s="647"/>
      <c r="E15" s="633" t="s">
        <v>759</v>
      </c>
      <c r="F15" s="794"/>
      <c r="G15" s="639"/>
      <c r="H15" s="646"/>
      <c r="I15" s="647"/>
      <c r="J15" s="647"/>
    </row>
    <row r="16" spans="1:10" ht="24" hidden="1" customHeight="1">
      <c r="A16" s="633" t="s">
        <v>760</v>
      </c>
      <c r="B16" s="794"/>
      <c r="C16" s="633"/>
      <c r="D16" s="647"/>
      <c r="E16" s="633" t="s">
        <v>760</v>
      </c>
      <c r="F16" s="794"/>
      <c r="G16" s="639"/>
      <c r="H16" s="646"/>
      <c r="I16" s="647"/>
      <c r="J16" s="647"/>
    </row>
    <row r="17" spans="1:12" ht="24" hidden="1" customHeight="1">
      <c r="A17" s="633" t="s">
        <v>761</v>
      </c>
      <c r="B17" s="794">
        <v>0</v>
      </c>
      <c r="C17" s="633"/>
      <c r="D17" s="647"/>
      <c r="E17" s="633" t="s">
        <v>761</v>
      </c>
      <c r="F17" s="794">
        <v>0</v>
      </c>
      <c r="G17" s="639"/>
      <c r="H17" s="646"/>
      <c r="I17" s="647"/>
      <c r="J17" s="647"/>
    </row>
    <row r="18" spans="1:12" ht="24" hidden="1" customHeight="1">
      <c r="A18" s="633" t="s">
        <v>762</v>
      </c>
      <c r="B18" s="794">
        <v>0</v>
      </c>
      <c r="C18" s="633"/>
      <c r="D18" s="647"/>
      <c r="E18" s="633" t="s">
        <v>762</v>
      </c>
      <c r="F18" s="794">
        <v>0</v>
      </c>
      <c r="G18" s="639"/>
      <c r="H18" s="646"/>
      <c r="I18" s="647"/>
      <c r="J18" s="647"/>
    </row>
    <row r="19" spans="1:12" ht="24" hidden="1" customHeight="1">
      <c r="A19" s="633" t="s">
        <v>763</v>
      </c>
      <c r="B19" s="794"/>
      <c r="C19" s="633"/>
      <c r="E19" s="633" t="s">
        <v>763</v>
      </c>
      <c r="F19" s="794"/>
      <c r="G19" s="639"/>
      <c r="H19" s="642"/>
    </row>
    <row r="20" spans="1:12" ht="24" customHeight="1">
      <c r="A20" s="633" t="s">
        <v>764</v>
      </c>
      <c r="B20" s="794"/>
      <c r="C20" s="633"/>
      <c r="E20" s="633" t="s">
        <v>764</v>
      </c>
      <c r="F20" s="794"/>
      <c r="G20" s="639"/>
      <c r="H20" s="642"/>
    </row>
    <row r="21" spans="1:12" ht="24" customHeight="1">
      <c r="A21" s="633" t="s">
        <v>765</v>
      </c>
      <c r="B21" s="794">
        <v>0</v>
      </c>
      <c r="C21" s="633"/>
      <c r="E21" s="633" t="s">
        <v>765</v>
      </c>
      <c r="F21" s="794">
        <v>0</v>
      </c>
      <c r="G21" s="639"/>
      <c r="H21" s="642"/>
    </row>
    <row r="22" spans="1:12" ht="24" customHeight="1">
      <c r="A22" s="724" t="s">
        <v>770</v>
      </c>
      <c r="B22" s="725">
        <v>30578.52</v>
      </c>
      <c r="C22" s="633"/>
      <c r="E22" s="724" t="s">
        <v>770</v>
      </c>
      <c r="F22" s="725">
        <f>'95'!$B$21</f>
        <v>169686.99</v>
      </c>
      <c r="G22" s="639"/>
      <c r="H22" s="655">
        <f>F22-B22</f>
        <v>139108.47</v>
      </c>
      <c r="I22" s="687" t="s">
        <v>771</v>
      </c>
    </row>
    <row r="23" spans="1:12" ht="24" hidden="1" customHeight="1">
      <c r="A23" s="633" t="s">
        <v>769</v>
      </c>
      <c r="B23" s="794">
        <v>186</v>
      </c>
      <c r="C23" s="633"/>
      <c r="E23" s="633" t="s">
        <v>769</v>
      </c>
      <c r="F23" s="794">
        <v>186</v>
      </c>
      <c r="G23" s="639"/>
      <c r="H23" s="655">
        <f>F23-B23</f>
        <v>0</v>
      </c>
      <c r="I23" s="687" t="s">
        <v>771</v>
      </c>
      <c r="K23" s="687"/>
      <c r="L23" s="689"/>
    </row>
    <row r="24" spans="1:12" ht="24" hidden="1" customHeight="1">
      <c r="A24" s="633" t="s">
        <v>772</v>
      </c>
      <c r="B24" s="794">
        <v>0</v>
      </c>
      <c r="C24" s="633"/>
      <c r="E24" s="633" t="s">
        <v>772</v>
      </c>
      <c r="F24" s="794">
        <v>0</v>
      </c>
      <c r="G24" s="639"/>
      <c r="H24" s="642">
        <f>F24-B24</f>
        <v>0</v>
      </c>
    </row>
    <row r="25" spans="1:12" ht="24" hidden="1" customHeight="1">
      <c r="A25" s="633" t="s">
        <v>773</v>
      </c>
      <c r="B25" s="794">
        <v>0</v>
      </c>
      <c r="C25" s="633"/>
      <c r="E25" s="633" t="s">
        <v>773</v>
      </c>
      <c r="F25" s="794">
        <v>0</v>
      </c>
      <c r="G25" s="639"/>
      <c r="H25" s="642"/>
    </row>
    <row r="26" spans="1:12" ht="15.75" customHeight="1">
      <c r="A26" s="633" t="s">
        <v>774</v>
      </c>
      <c r="B26" s="794">
        <v>0</v>
      </c>
      <c r="C26" s="633"/>
      <c r="E26" s="633" t="s">
        <v>774</v>
      </c>
      <c r="F26" s="794">
        <v>0</v>
      </c>
      <c r="G26" s="639"/>
      <c r="H26" s="642"/>
    </row>
    <row r="27" spans="1:12" ht="15.75" customHeight="1">
      <c r="A27" s="633" t="s">
        <v>775</v>
      </c>
      <c r="B27" s="794">
        <v>0</v>
      </c>
      <c r="C27" s="633"/>
      <c r="E27" s="633" t="s">
        <v>775</v>
      </c>
      <c r="F27" s="794">
        <v>0</v>
      </c>
      <c r="G27" s="639"/>
      <c r="H27" s="642"/>
    </row>
    <row r="28" spans="1:12" ht="15.75" customHeight="1">
      <c r="A28" s="633" t="s">
        <v>776</v>
      </c>
      <c r="B28" s="794">
        <v>0</v>
      </c>
      <c r="C28" s="650"/>
      <c r="E28" s="633" t="s">
        <v>776</v>
      </c>
      <c r="F28" s="794">
        <v>0</v>
      </c>
      <c r="G28" s="650"/>
      <c r="H28" s="642"/>
    </row>
    <row r="29" spans="1:12" ht="15.75" customHeight="1">
      <c r="A29" s="633" t="s">
        <v>777</v>
      </c>
      <c r="B29" s="794">
        <v>0</v>
      </c>
      <c r="C29" s="633"/>
      <c r="E29" s="633" t="s">
        <v>777</v>
      </c>
      <c r="F29" s="794">
        <v>0</v>
      </c>
      <c r="G29" s="639"/>
      <c r="H29" s="642"/>
      <c r="I29" s="691"/>
    </row>
    <row r="30" spans="1:12" ht="24" customHeight="1">
      <c r="A30" s="724" t="s">
        <v>767</v>
      </c>
      <c r="B30" s="725">
        <v>10644.51</v>
      </c>
      <c r="C30" s="633"/>
      <c r="E30" s="724" t="s">
        <v>767</v>
      </c>
      <c r="F30" s="725">
        <f>'95'!$B$12</f>
        <v>59733.71</v>
      </c>
      <c r="G30" s="639"/>
      <c r="H30" s="655">
        <f>F30-B30</f>
        <v>49089.2</v>
      </c>
      <c r="I30" s="687" t="s">
        <v>768</v>
      </c>
    </row>
    <row r="31" spans="1:12" ht="24" customHeight="1" thickBot="1">
      <c r="A31" s="724" t="s">
        <v>766</v>
      </c>
      <c r="B31" s="725">
        <v>23142</v>
      </c>
      <c r="C31" s="653"/>
      <c r="E31" s="724" t="s">
        <v>766</v>
      </c>
      <c r="F31" s="725">
        <f>'95'!$B$28</f>
        <v>146458</v>
      </c>
      <c r="G31" s="654"/>
      <c r="H31" s="729">
        <f>F31-B31</f>
        <v>123316</v>
      </c>
      <c r="I31" s="687" t="s">
        <v>573</v>
      </c>
    </row>
    <row r="32" spans="1:12">
      <c r="H32" s="690"/>
    </row>
    <row r="33" spans="8:8">
      <c r="H33" s="690"/>
    </row>
    <row r="34" spans="8:8">
      <c r="H34" s="690"/>
    </row>
    <row r="35" spans="8:8">
      <c r="H35" s="690"/>
    </row>
    <row r="36" spans="8:8">
      <c r="H36" s="690"/>
    </row>
    <row r="37" spans="8:8">
      <c r="H37" s="690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FF00"/>
  </sheetPr>
  <dimension ref="A1:GV59"/>
  <sheetViews>
    <sheetView workbookViewId="0">
      <pane xSplit="8" ySplit="59" topLeftCell="I60" activePane="bottomRight" state="frozen"/>
      <selection pane="topRight" activeCell="I1" sqref="I1"/>
      <selection pane="bottomLeft" activeCell="A60" sqref="A60"/>
      <selection pane="bottomRight" activeCell="B12" sqref="B12:B37"/>
    </sheetView>
  </sheetViews>
  <sheetFormatPr defaultColWidth="3" defaultRowHeight="15.75"/>
  <cols>
    <col min="1" max="1" width="44.5703125" style="629" customWidth="1"/>
    <col min="2" max="2" width="28.7109375" style="629" customWidth="1"/>
    <col min="3" max="3" width="4.5703125" style="629" customWidth="1"/>
    <col min="4" max="4" width="8.7109375" style="629" customWidth="1"/>
    <col min="5" max="5" width="48.28515625" style="629" customWidth="1"/>
    <col min="6" max="6" width="28.7109375" style="629" customWidth="1"/>
    <col min="7" max="7" width="4.5703125" style="629" customWidth="1"/>
    <col min="8" max="8" width="12.42578125" style="629" bestFit="1" customWidth="1"/>
    <col min="9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 customWidth="1"/>
    <col min="223" max="223" width="0.42578125" style="629" customWidth="1"/>
    <col min="224" max="231" width="3" style="629" customWidth="1"/>
    <col min="232" max="232" width="0.42578125" style="629" customWidth="1"/>
    <col min="233" max="238" width="3" style="629" customWidth="1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 customWidth="1"/>
    <col min="249" max="249" width="0.42578125" style="629" customWidth="1"/>
    <col min="250" max="16384" width="3" style="629"/>
  </cols>
  <sheetData>
    <row r="1" spans="1:10">
      <c r="A1" s="628" t="s">
        <v>749</v>
      </c>
      <c r="B1" s="628"/>
      <c r="C1" s="628"/>
      <c r="E1" s="628" t="s">
        <v>748</v>
      </c>
      <c r="F1" s="628"/>
      <c r="G1" s="628"/>
    </row>
    <row r="2" spans="1:10" ht="16.5">
      <c r="A2" s="631" t="s">
        <v>0</v>
      </c>
      <c r="B2" s="795" t="s">
        <v>111</v>
      </c>
      <c r="C2" s="632" t="s">
        <v>2</v>
      </c>
      <c r="E2" s="631" t="s">
        <v>0</v>
      </c>
      <c r="F2" s="795" t="s">
        <v>111</v>
      </c>
      <c r="G2" s="632" t="s">
        <v>2</v>
      </c>
    </row>
    <row r="3" spans="1:10">
      <c r="A3" s="631"/>
      <c r="B3" s="795" t="s">
        <v>112</v>
      </c>
      <c r="C3" s="633"/>
      <c r="E3" s="631"/>
      <c r="F3" s="795" t="s">
        <v>112</v>
      </c>
      <c r="G3" s="633"/>
    </row>
    <row r="4" spans="1:10">
      <c r="A4" s="631" t="s">
        <v>4</v>
      </c>
      <c r="B4" s="796">
        <v>1</v>
      </c>
      <c r="C4" s="633"/>
      <c r="E4" s="631" t="s">
        <v>4</v>
      </c>
      <c r="F4" s="796">
        <v>1</v>
      </c>
      <c r="G4" s="633"/>
    </row>
    <row r="5" spans="1:10" ht="12.75" customHeight="1">
      <c r="C5" s="633"/>
      <c r="G5" s="633"/>
    </row>
    <row r="6" spans="1:10" ht="16.5">
      <c r="A6" s="635" t="s">
        <v>5</v>
      </c>
      <c r="B6" s="797">
        <v>35</v>
      </c>
      <c r="C6" s="633"/>
      <c r="E6" s="635" t="s">
        <v>5</v>
      </c>
      <c r="F6" s="797">
        <v>35</v>
      </c>
      <c r="G6" s="633"/>
    </row>
    <row r="7" spans="1:10" ht="24" customHeight="1" thickBot="1">
      <c r="A7" s="637" t="s">
        <v>6</v>
      </c>
      <c r="B7" s="798" t="s">
        <v>112</v>
      </c>
      <c r="C7" s="633"/>
      <c r="E7" s="637" t="s">
        <v>6</v>
      </c>
      <c r="F7" s="798" t="s">
        <v>112</v>
      </c>
      <c r="G7" s="633"/>
      <c r="H7" s="629" t="s">
        <v>779</v>
      </c>
    </row>
    <row r="8" spans="1:10" ht="24" hidden="1" customHeight="1">
      <c r="A8" s="633" t="s">
        <v>136</v>
      </c>
      <c r="B8" s="760"/>
      <c r="C8" s="633"/>
      <c r="E8" s="633" t="s">
        <v>136</v>
      </c>
      <c r="F8" s="760"/>
      <c r="G8" s="633"/>
    </row>
    <row r="9" spans="1:10" ht="24" hidden="1" customHeight="1">
      <c r="A9" s="633" t="s">
        <v>115</v>
      </c>
      <c r="B9" s="760"/>
      <c r="C9" s="633"/>
      <c r="E9" s="633" t="s">
        <v>115</v>
      </c>
      <c r="F9" s="760"/>
      <c r="G9" s="633"/>
    </row>
    <row r="10" spans="1:10" ht="24" hidden="1" customHeight="1">
      <c r="A10" s="633" t="s">
        <v>116</v>
      </c>
      <c r="B10" s="760"/>
      <c r="C10" s="633"/>
      <c r="E10" s="633" t="s">
        <v>116</v>
      </c>
      <c r="F10" s="760"/>
      <c r="G10" s="633"/>
    </row>
    <row r="11" spans="1:10" ht="24" customHeight="1">
      <c r="A11" s="633" t="s">
        <v>117</v>
      </c>
      <c r="B11" s="990">
        <v>0</v>
      </c>
      <c r="C11" s="633"/>
      <c r="E11" s="633" t="s">
        <v>117</v>
      </c>
      <c r="F11" s="800">
        <v>0</v>
      </c>
      <c r="G11" s="639"/>
      <c r="H11" s="693"/>
    </row>
    <row r="12" spans="1:10" ht="24" customHeight="1">
      <c r="A12" s="724" t="s">
        <v>118</v>
      </c>
      <c r="B12" s="725">
        <v>0</v>
      </c>
      <c r="C12" s="801"/>
      <c r="D12" s="645"/>
      <c r="E12" s="724" t="s">
        <v>118</v>
      </c>
      <c r="F12" s="725">
        <f>'35'!B12</f>
        <v>0</v>
      </c>
      <c r="G12" s="639"/>
      <c r="H12" s="802">
        <f>F12-B12</f>
        <v>0</v>
      </c>
    </row>
    <row r="13" spans="1:10" ht="24" customHeight="1">
      <c r="A13" s="724" t="s">
        <v>119</v>
      </c>
      <c r="B13" s="725">
        <v>0</v>
      </c>
      <c r="C13" s="801"/>
      <c r="D13" s="645"/>
      <c r="E13" s="724" t="s">
        <v>119</v>
      </c>
      <c r="F13" s="725">
        <f>'35'!B13</f>
        <v>32000</v>
      </c>
      <c r="G13" s="639"/>
      <c r="H13" s="802">
        <f>F13-B13</f>
        <v>32000</v>
      </c>
      <c r="I13" s="647"/>
      <c r="J13" s="733"/>
    </row>
    <row r="14" spans="1:10" ht="24" hidden="1" customHeight="1">
      <c r="A14" s="633" t="s">
        <v>120</v>
      </c>
      <c r="B14" s="760"/>
      <c r="C14" s="633"/>
      <c r="D14" s="647"/>
      <c r="E14" s="633" t="s">
        <v>120</v>
      </c>
      <c r="F14" s="793"/>
      <c r="G14" s="639"/>
      <c r="H14" s="803"/>
      <c r="I14" s="647"/>
      <c r="J14" s="647"/>
    </row>
    <row r="15" spans="1:10" ht="24" hidden="1" customHeight="1">
      <c r="A15" s="633" t="s">
        <v>121</v>
      </c>
      <c r="B15" s="760">
        <v>0</v>
      </c>
      <c r="C15" s="633"/>
      <c r="D15" s="647"/>
      <c r="E15" s="633" t="s">
        <v>121</v>
      </c>
      <c r="F15" s="793">
        <v>0</v>
      </c>
      <c r="G15" s="639"/>
      <c r="H15" s="803"/>
      <c r="I15" s="647"/>
      <c r="J15" s="647"/>
    </row>
    <row r="16" spans="1:10" ht="24" hidden="1" customHeight="1">
      <c r="A16" s="633" t="s">
        <v>122</v>
      </c>
      <c r="B16" s="760"/>
      <c r="C16" s="633"/>
      <c r="D16" s="647"/>
      <c r="E16" s="633" t="s">
        <v>122</v>
      </c>
      <c r="F16" s="793"/>
      <c r="G16" s="639"/>
      <c r="H16" s="803"/>
      <c r="I16" s="647"/>
      <c r="J16" s="647"/>
    </row>
    <row r="17" spans="1:65" ht="24" hidden="1" customHeight="1">
      <c r="A17" s="633" t="s">
        <v>123</v>
      </c>
      <c r="B17" s="760"/>
      <c r="C17" s="633"/>
      <c r="D17" s="647"/>
      <c r="E17" s="633" t="s">
        <v>123</v>
      </c>
      <c r="F17" s="793"/>
      <c r="G17" s="639"/>
      <c r="H17" s="803"/>
      <c r="I17" s="647"/>
      <c r="J17" s="647"/>
    </row>
    <row r="18" spans="1:65" ht="24" hidden="1" customHeight="1">
      <c r="A18" s="633" t="s">
        <v>124</v>
      </c>
      <c r="B18" s="760"/>
      <c r="C18" s="633"/>
      <c r="D18" s="647"/>
      <c r="E18" s="633" t="s">
        <v>124</v>
      </c>
      <c r="F18" s="793"/>
      <c r="G18" s="639"/>
      <c r="H18" s="803"/>
      <c r="I18" s="647"/>
      <c r="J18" s="647"/>
    </row>
    <row r="19" spans="1:65" ht="24" hidden="1" customHeight="1">
      <c r="A19" s="633" t="s">
        <v>125</v>
      </c>
      <c r="B19" s="760"/>
      <c r="C19" s="633"/>
      <c r="E19" s="633" t="s">
        <v>125</v>
      </c>
      <c r="F19" s="793"/>
      <c r="G19" s="639"/>
      <c r="H19" s="804"/>
    </row>
    <row r="20" spans="1:65" ht="8.25" hidden="1" customHeight="1">
      <c r="A20" s="643"/>
      <c r="B20" s="650"/>
      <c r="C20" s="650"/>
      <c r="D20" s="651"/>
      <c r="E20" s="643"/>
      <c r="F20" s="790"/>
      <c r="G20" s="650"/>
      <c r="H20" s="804"/>
    </row>
    <row r="21" spans="1:65" ht="24" hidden="1" customHeight="1">
      <c r="A21" s="643" t="s">
        <v>126</v>
      </c>
      <c r="B21" s="760">
        <v>0</v>
      </c>
      <c r="C21" s="643"/>
      <c r="D21" s="651"/>
      <c r="E21" s="643" t="s">
        <v>126</v>
      </c>
      <c r="F21" s="793">
        <v>0</v>
      </c>
      <c r="G21" s="639"/>
      <c r="H21" s="804"/>
    </row>
    <row r="22" spans="1:65" ht="24" hidden="1" customHeight="1">
      <c r="A22" s="633" t="s">
        <v>127</v>
      </c>
      <c r="B22" s="760"/>
      <c r="C22" s="633"/>
      <c r="E22" s="633" t="s">
        <v>127</v>
      </c>
      <c r="F22" s="793"/>
      <c r="G22" s="639"/>
      <c r="H22" s="804"/>
    </row>
    <row r="23" spans="1:65" ht="24" hidden="1" customHeight="1">
      <c r="A23" s="633" t="s">
        <v>128</v>
      </c>
      <c r="B23" s="760">
        <v>0</v>
      </c>
      <c r="C23" s="633"/>
      <c r="E23" s="633" t="s">
        <v>128</v>
      </c>
      <c r="F23" s="793">
        <v>0</v>
      </c>
      <c r="G23" s="639"/>
      <c r="H23" s="804"/>
    </row>
    <row r="24" spans="1:65" ht="24" hidden="1" customHeight="1">
      <c r="A24" s="633" t="s">
        <v>129</v>
      </c>
      <c r="B24" s="760">
        <v>0</v>
      </c>
      <c r="C24" s="633"/>
      <c r="E24" s="633" t="s">
        <v>129</v>
      </c>
      <c r="F24" s="793">
        <v>0</v>
      </c>
      <c r="G24" s="639"/>
      <c r="H24" s="804"/>
    </row>
    <row r="25" spans="1:65" ht="24" hidden="1" customHeight="1">
      <c r="A25" s="633" t="s">
        <v>130</v>
      </c>
      <c r="B25" s="760"/>
      <c r="C25" s="633"/>
      <c r="E25" s="633" t="s">
        <v>130</v>
      </c>
      <c r="F25" s="793"/>
      <c r="G25" s="639"/>
      <c r="H25" s="804"/>
    </row>
    <row r="26" spans="1:65" ht="8.25" customHeight="1">
      <c r="A26" s="643"/>
      <c r="B26" s="650"/>
      <c r="C26" s="650"/>
      <c r="D26" s="651"/>
      <c r="E26" s="643"/>
      <c r="F26" s="790"/>
      <c r="G26" s="650"/>
      <c r="H26" s="804"/>
    </row>
    <row r="27" spans="1:65" ht="24" customHeight="1">
      <c r="A27" s="633" t="s">
        <v>131</v>
      </c>
      <c r="B27" s="760"/>
      <c r="C27" s="633"/>
      <c r="E27" s="633" t="s">
        <v>131</v>
      </c>
      <c r="F27" s="793"/>
      <c r="G27" s="639"/>
      <c r="H27" s="804"/>
    </row>
    <row r="28" spans="1:65" ht="24" hidden="1" customHeight="1">
      <c r="A28" s="633"/>
      <c r="B28" s="760"/>
      <c r="C28" s="633"/>
      <c r="E28" s="633"/>
      <c r="F28" s="793"/>
      <c r="G28" s="639"/>
      <c r="H28" s="804"/>
    </row>
    <row r="29" spans="1:65" ht="24" hidden="1" customHeight="1">
      <c r="A29" s="633" t="s">
        <v>132</v>
      </c>
      <c r="B29" s="760"/>
      <c r="C29" s="633"/>
      <c r="E29" s="633" t="s">
        <v>132</v>
      </c>
      <c r="F29" s="793"/>
      <c r="G29" s="639"/>
      <c r="H29" s="804"/>
    </row>
    <row r="30" spans="1:65" ht="24" hidden="1" customHeight="1">
      <c r="A30" s="633" t="s">
        <v>133</v>
      </c>
      <c r="B30" s="760"/>
      <c r="C30" s="633"/>
      <c r="E30" s="633" t="s">
        <v>133</v>
      </c>
      <c r="F30" s="793"/>
      <c r="G30" s="639"/>
      <c r="H30" s="804"/>
    </row>
    <row r="31" spans="1:65" ht="24" hidden="1" customHeight="1">
      <c r="A31" s="633" t="s">
        <v>134</v>
      </c>
      <c r="B31" s="760"/>
      <c r="C31" s="633"/>
      <c r="E31" s="633" t="s">
        <v>134</v>
      </c>
      <c r="F31" s="793"/>
      <c r="G31" s="639"/>
      <c r="H31" s="804"/>
    </row>
    <row r="32" spans="1:65" ht="24" hidden="1" customHeight="1">
      <c r="B32" s="731"/>
      <c r="F32" s="805"/>
      <c r="H32" s="804"/>
      <c r="BE32" s="659"/>
      <c r="BF32" s="647"/>
      <c r="BG32" s="647"/>
      <c r="BH32" s="647"/>
      <c r="BI32" s="647"/>
      <c r="BJ32" s="647"/>
      <c r="BK32" s="647"/>
      <c r="BL32" s="647"/>
      <c r="BM32" s="647"/>
    </row>
    <row r="33" spans="1:8" ht="24" customHeight="1">
      <c r="A33" s="633" t="s">
        <v>136</v>
      </c>
      <c r="B33" s="760"/>
      <c r="C33" s="633"/>
      <c r="E33" s="633" t="s">
        <v>136</v>
      </c>
      <c r="F33" s="793"/>
      <c r="G33" s="639"/>
      <c r="H33" s="804"/>
    </row>
    <row r="34" spans="1:8" ht="24" customHeight="1">
      <c r="A34" s="633" t="s">
        <v>116</v>
      </c>
      <c r="B34" s="760"/>
      <c r="C34" s="633"/>
      <c r="E34" s="633" t="s">
        <v>116</v>
      </c>
      <c r="F34" s="793"/>
      <c r="G34" s="639"/>
      <c r="H34" s="804"/>
    </row>
    <row r="35" spans="1:8" ht="8.25" customHeight="1">
      <c r="A35" s="643"/>
      <c r="B35" s="650"/>
      <c r="C35" s="650"/>
      <c r="E35" s="643"/>
      <c r="F35" s="790"/>
      <c r="G35" s="650"/>
      <c r="H35" s="804"/>
    </row>
    <row r="36" spans="1:8" ht="24" customHeight="1">
      <c r="A36" s="724" t="s">
        <v>145</v>
      </c>
      <c r="B36" s="725">
        <v>92394</v>
      </c>
      <c r="C36" s="633"/>
      <c r="E36" s="724" t="s">
        <v>145</v>
      </c>
      <c r="F36" s="725">
        <f>'35'!$B$43</f>
        <v>222875</v>
      </c>
      <c r="G36" s="639"/>
      <c r="H36" s="806">
        <f>F36-B36</f>
        <v>130481</v>
      </c>
    </row>
    <row r="37" spans="1:8" ht="24" customHeight="1">
      <c r="A37" s="724" t="s">
        <v>148</v>
      </c>
      <c r="B37" s="725">
        <v>53621</v>
      </c>
      <c r="C37" s="633"/>
      <c r="E37" s="724" t="s">
        <v>148</v>
      </c>
      <c r="F37" s="725">
        <f>'35'!$B$46</f>
        <v>126918</v>
      </c>
      <c r="G37" s="639"/>
      <c r="H37" s="806">
        <f>F37-B37</f>
        <v>73297</v>
      </c>
    </row>
    <row r="38" spans="1:8" ht="8.25" customHeight="1">
      <c r="A38" s="643"/>
      <c r="B38" s="650"/>
      <c r="C38" s="650"/>
      <c r="D38" s="651"/>
      <c r="E38" s="643"/>
      <c r="F38" s="650"/>
      <c r="G38" s="650"/>
      <c r="H38" s="696"/>
    </row>
    <row r="39" spans="1:8" ht="31.5" hidden="1">
      <c r="A39" s="775" t="s">
        <v>786</v>
      </c>
      <c r="B39" s="760"/>
      <c r="C39" s="633"/>
      <c r="E39" s="775" t="s">
        <v>786</v>
      </c>
      <c r="F39" s="760"/>
      <c r="G39" s="643"/>
    </row>
    <row r="40" spans="1:8" ht="31.5" hidden="1">
      <c r="A40" s="775" t="s">
        <v>787</v>
      </c>
      <c r="B40" s="760"/>
      <c r="C40" s="639"/>
      <c r="E40" s="775" t="s">
        <v>787</v>
      </c>
      <c r="F40" s="760"/>
      <c r="G40" s="742"/>
    </row>
    <row r="41" spans="1:8" ht="8.25" hidden="1" customHeight="1">
      <c r="A41" s="643"/>
      <c r="B41" s="650"/>
      <c r="C41" s="650"/>
      <c r="D41" s="651"/>
      <c r="E41" s="643"/>
      <c r="F41" s="650"/>
      <c r="G41" s="650"/>
    </row>
    <row r="42" spans="1:8" ht="24" hidden="1" customHeight="1">
      <c r="A42" s="807" t="s">
        <v>788</v>
      </c>
      <c r="B42" s="808"/>
      <c r="C42" s="809"/>
      <c r="E42" s="807" t="s">
        <v>788</v>
      </c>
      <c r="F42" s="808"/>
      <c r="G42" s="773"/>
    </row>
    <row r="43" spans="1:8" ht="24" hidden="1" customHeight="1">
      <c r="A43" s="633" t="s">
        <v>789</v>
      </c>
      <c r="B43" s="760"/>
      <c r="C43" s="633"/>
      <c r="E43" s="633" t="s">
        <v>789</v>
      </c>
      <c r="F43" s="760"/>
      <c r="G43" s="643"/>
    </row>
    <row r="44" spans="1:8" ht="24" hidden="1" customHeight="1">
      <c r="A44" s="633" t="s">
        <v>790</v>
      </c>
      <c r="B44" s="760"/>
      <c r="C44" s="633"/>
      <c r="E44" s="633" t="s">
        <v>790</v>
      </c>
      <c r="F44" s="760"/>
      <c r="G44" s="643"/>
    </row>
    <row r="45" spans="1:8" ht="24" hidden="1" customHeight="1">
      <c r="A45" s="633" t="s">
        <v>791</v>
      </c>
      <c r="B45" s="760"/>
      <c r="C45" s="633"/>
      <c r="E45" s="633" t="s">
        <v>791</v>
      </c>
      <c r="F45" s="760"/>
      <c r="G45" s="643"/>
    </row>
    <row r="46" spans="1:8" ht="24" hidden="1" customHeight="1">
      <c r="A46" s="633" t="s">
        <v>792</v>
      </c>
      <c r="B46" s="760"/>
      <c r="C46" s="633"/>
      <c r="E46" s="633" t="s">
        <v>792</v>
      </c>
      <c r="F46" s="760"/>
      <c r="G46" s="643"/>
    </row>
    <row r="47" spans="1:8" ht="15.75" hidden="1" customHeight="1">
      <c r="G47" s="651"/>
    </row>
    <row r="48" spans="1:8" ht="16.5" hidden="1">
      <c r="A48" s="810" t="s">
        <v>793</v>
      </c>
      <c r="B48" s="799"/>
      <c r="E48" s="810" t="s">
        <v>793</v>
      </c>
      <c r="F48" s="799"/>
      <c r="G48" s="651"/>
    </row>
    <row r="49" spans="1:7" hidden="1">
      <c r="A49" s="639" t="s">
        <v>794</v>
      </c>
      <c r="B49" s="811"/>
      <c r="E49" s="639" t="s">
        <v>794</v>
      </c>
      <c r="F49" s="811"/>
      <c r="G49" s="651"/>
    </row>
    <row r="50" spans="1:7" hidden="1">
      <c r="A50" s="639" t="s">
        <v>795</v>
      </c>
      <c r="B50" s="811"/>
      <c r="E50" s="639" t="s">
        <v>795</v>
      </c>
      <c r="F50" s="811"/>
      <c r="G50" s="651"/>
    </row>
    <row r="51" spans="1:7" hidden="1">
      <c r="A51" s="639" t="s">
        <v>796</v>
      </c>
      <c r="B51" s="811"/>
      <c r="E51" s="639" t="s">
        <v>796</v>
      </c>
      <c r="F51" s="811"/>
      <c r="G51" s="651"/>
    </row>
    <row r="52" spans="1:7" hidden="1">
      <c r="A52" s="639" t="s">
        <v>797</v>
      </c>
      <c r="B52" s="811"/>
      <c r="E52" s="639" t="s">
        <v>797</v>
      </c>
      <c r="F52" s="811"/>
      <c r="G52" s="651"/>
    </row>
    <row r="53" spans="1:7" hidden="1">
      <c r="A53" s="639" t="s">
        <v>798</v>
      </c>
      <c r="B53" s="811"/>
      <c r="E53" s="639" t="s">
        <v>798</v>
      </c>
      <c r="F53" s="811"/>
      <c r="G53" s="651"/>
    </row>
    <row r="54" spans="1:7" hidden="1">
      <c r="A54" s="639" t="s">
        <v>799</v>
      </c>
      <c r="B54" s="811"/>
      <c r="E54" s="639" t="s">
        <v>799</v>
      </c>
      <c r="F54" s="811"/>
      <c r="G54" s="651"/>
    </row>
    <row r="55" spans="1:7" hidden="1">
      <c r="A55" s="639" t="s">
        <v>800</v>
      </c>
      <c r="B55" s="811"/>
      <c r="E55" s="639" t="s">
        <v>800</v>
      </c>
      <c r="F55" s="811"/>
      <c r="G55" s="651"/>
    </row>
    <row r="56" spans="1:7" hidden="1">
      <c r="A56" s="639" t="s">
        <v>797</v>
      </c>
      <c r="B56" s="811"/>
      <c r="E56" s="639" t="s">
        <v>797</v>
      </c>
      <c r="F56" s="811"/>
      <c r="G56" s="651"/>
    </row>
    <row r="57" spans="1:7" hidden="1">
      <c r="A57" s="639" t="s">
        <v>801</v>
      </c>
      <c r="B57" s="811"/>
      <c r="E57" s="639" t="s">
        <v>801</v>
      </c>
      <c r="F57" s="811"/>
      <c r="G57" s="651"/>
    </row>
    <row r="58" spans="1:7" hidden="1">
      <c r="A58" s="639" t="s">
        <v>802</v>
      </c>
      <c r="B58" s="811"/>
      <c r="E58" s="639" t="s">
        <v>802</v>
      </c>
      <c r="F58" s="811"/>
      <c r="G58" s="651"/>
    </row>
    <row r="59" spans="1:7" hidden="1">
      <c r="A59" s="639" t="s">
        <v>803</v>
      </c>
      <c r="B59" s="811"/>
      <c r="E59" s="639" t="s">
        <v>803</v>
      </c>
      <c r="F59" s="811"/>
      <c r="G59" s="651"/>
    </row>
  </sheetData>
  <pageMargins left="0.70000000000000007" right="0.70000000000000007" top="1.1437007874015745" bottom="1.1437007874015745" header="0.74999999999999989" footer="0.74999999999999989"/>
  <pageSetup scale="81" fitToWidth="0" fitToHeight="0" orientation="portrait" r:id="rId1"/>
  <headerFooter alignWithMargins="0"/>
  <colBreaks count="2" manualBreakCount="2">
    <brk id="10" man="1"/>
    <brk id="11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00FF00"/>
  </sheetPr>
  <dimension ref="A1:GV69"/>
  <sheetViews>
    <sheetView workbookViewId="0">
      <selection activeCell="B26" sqref="B26:B40"/>
    </sheetView>
  </sheetViews>
  <sheetFormatPr defaultColWidth="3" defaultRowHeight="15.75"/>
  <cols>
    <col min="1" max="1" width="45.7109375" style="629" bestFit="1" customWidth="1"/>
    <col min="2" max="2" width="18" style="634" bestFit="1" customWidth="1"/>
    <col min="3" max="3" width="2" style="629" customWidth="1"/>
    <col min="4" max="4" width="2.5703125" style="629" customWidth="1"/>
    <col min="5" max="5" width="45.7109375" style="629" bestFit="1" customWidth="1"/>
    <col min="6" max="6" width="23.5703125" style="634" customWidth="1"/>
    <col min="7" max="7" width="4.5703125" style="629" customWidth="1"/>
    <col min="8" max="8" width="15.28515625" style="629" customWidth="1"/>
    <col min="9" max="9" width="8.14062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/>
    <col min="223" max="223" width="0.42578125" style="629" customWidth="1"/>
    <col min="224" max="231" width="3" style="629"/>
    <col min="232" max="232" width="0.42578125" style="629" customWidth="1"/>
    <col min="233" max="238" width="3" style="629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/>
    <col min="249" max="249" width="0.42578125" style="629" customWidth="1"/>
    <col min="250" max="16384" width="3" style="629"/>
  </cols>
  <sheetData>
    <row r="1" spans="1:10">
      <c r="A1" s="626" t="s">
        <v>749</v>
      </c>
      <c r="B1" s="627"/>
      <c r="C1" s="628"/>
      <c r="E1" s="626" t="s">
        <v>748</v>
      </c>
      <c r="F1" s="627"/>
      <c r="G1" s="628"/>
    </row>
    <row r="2" spans="1:10" ht="16.5">
      <c r="A2" s="631" t="s">
        <v>0</v>
      </c>
      <c r="B2" s="624" t="s">
        <v>1</v>
      </c>
      <c r="C2" s="632" t="s">
        <v>2</v>
      </c>
      <c r="E2" s="631" t="s">
        <v>0</v>
      </c>
      <c r="F2" s="624" t="s">
        <v>1</v>
      </c>
      <c r="G2" s="632" t="s">
        <v>2</v>
      </c>
    </row>
    <row r="3" spans="1:10">
      <c r="A3" s="631"/>
      <c r="B3" s="624" t="s">
        <v>3</v>
      </c>
      <c r="C3" s="633"/>
      <c r="E3" s="631"/>
      <c r="F3" s="624" t="s">
        <v>3</v>
      </c>
      <c r="G3" s="633"/>
    </row>
    <row r="4" spans="1:10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 ht="12.75" hidden="1" customHeight="1">
      <c r="C5" s="633"/>
      <c r="G5" s="633"/>
    </row>
    <row r="6" spans="1:10" ht="16.5">
      <c r="A6" s="635" t="s">
        <v>5</v>
      </c>
      <c r="B6" s="636">
        <v>113</v>
      </c>
      <c r="C6" s="633"/>
      <c r="E6" s="635" t="s">
        <v>5</v>
      </c>
      <c r="F6" s="636">
        <f>+B6</f>
        <v>113</v>
      </c>
      <c r="G6" s="633"/>
    </row>
    <row r="7" spans="1:10" ht="24" customHeight="1" thickBot="1">
      <c r="A7" s="637" t="s">
        <v>6</v>
      </c>
      <c r="B7" s="638" t="s">
        <v>7</v>
      </c>
      <c r="C7" s="633"/>
      <c r="E7" s="637" t="s">
        <v>6</v>
      </c>
      <c r="F7" s="638" t="s">
        <v>7</v>
      </c>
      <c r="G7" s="633"/>
      <c r="H7" s="706" t="s">
        <v>779</v>
      </c>
    </row>
    <row r="8" spans="1:10" ht="24" hidden="1" customHeight="1">
      <c r="A8" s="633" t="s">
        <v>8</v>
      </c>
      <c r="B8" s="641"/>
      <c r="C8" s="633"/>
      <c r="E8" s="633" t="s">
        <v>8</v>
      </c>
      <c r="F8" s="641"/>
      <c r="G8" s="633"/>
      <c r="H8" s="706"/>
    </row>
    <row r="9" spans="1:10" ht="24" hidden="1" customHeight="1">
      <c r="A9" s="633" t="s">
        <v>9</v>
      </c>
      <c r="B9" s="641"/>
      <c r="C9" s="633"/>
      <c r="E9" s="633" t="s">
        <v>9</v>
      </c>
      <c r="F9" s="641"/>
      <c r="G9" s="633"/>
      <c r="H9" s="706"/>
    </row>
    <row r="10" spans="1:10" ht="24" hidden="1" customHeight="1">
      <c r="A10" s="633" t="s">
        <v>93</v>
      </c>
      <c r="B10" s="641"/>
      <c r="C10" s="633"/>
      <c r="E10" s="633" t="s">
        <v>93</v>
      </c>
      <c r="F10" s="641"/>
      <c r="G10" s="633"/>
      <c r="H10" s="706"/>
    </row>
    <row r="11" spans="1:10" ht="24" hidden="1" customHeight="1">
      <c r="A11" s="633" t="s">
        <v>95</v>
      </c>
      <c r="B11" s="641"/>
      <c r="C11" s="633"/>
      <c r="E11" s="633" t="s">
        <v>95</v>
      </c>
      <c r="F11" s="641"/>
      <c r="G11" s="633"/>
      <c r="H11" s="706"/>
    </row>
    <row r="12" spans="1:10" ht="24" hidden="1" customHeight="1">
      <c r="A12" s="633"/>
      <c r="B12" s="641"/>
      <c r="C12" s="633"/>
      <c r="E12" s="633"/>
      <c r="F12" s="641"/>
      <c r="G12" s="633"/>
      <c r="H12" s="706"/>
    </row>
    <row r="13" spans="1:10" ht="24" hidden="1" customHeight="1">
      <c r="A13" s="643" t="s">
        <v>12</v>
      </c>
      <c r="B13" s="644"/>
      <c r="C13" s="643"/>
      <c r="D13" s="645"/>
      <c r="E13" s="643" t="s">
        <v>12</v>
      </c>
      <c r="F13" s="644"/>
      <c r="G13" s="633"/>
      <c r="H13" s="733"/>
      <c r="I13" s="647"/>
      <c r="J13" s="647"/>
    </row>
    <row r="14" spans="1:10" ht="24" hidden="1" customHeight="1">
      <c r="A14" s="643" t="s">
        <v>13</v>
      </c>
      <c r="B14" s="644"/>
      <c r="C14" s="643"/>
      <c r="D14" s="645"/>
      <c r="E14" s="643" t="s">
        <v>13</v>
      </c>
      <c r="F14" s="644"/>
      <c r="G14" s="633"/>
      <c r="H14" s="733"/>
      <c r="I14" s="647"/>
      <c r="J14" s="647"/>
    </row>
    <row r="15" spans="1:10" ht="24" hidden="1" customHeight="1">
      <c r="A15" s="643" t="s">
        <v>96</v>
      </c>
      <c r="B15" s="644"/>
      <c r="C15" s="643"/>
      <c r="D15" s="645"/>
      <c r="E15" s="643" t="s">
        <v>96</v>
      </c>
      <c r="F15" s="644"/>
      <c r="G15" s="633"/>
      <c r="H15" s="733"/>
      <c r="I15" s="647"/>
      <c r="J15" s="647"/>
    </row>
    <row r="16" spans="1:10" ht="24" hidden="1" customHeight="1">
      <c r="A16" s="633" t="s">
        <v>15</v>
      </c>
      <c r="B16" s="648">
        <v>0</v>
      </c>
      <c r="C16" s="633"/>
      <c r="D16" s="647"/>
      <c r="E16" s="633" t="s">
        <v>15</v>
      </c>
      <c r="F16" s="648">
        <v>0</v>
      </c>
      <c r="G16" s="633"/>
      <c r="H16" s="733"/>
      <c r="I16" s="647"/>
      <c r="J16" s="647"/>
    </row>
    <row r="17" spans="1:65" ht="24" hidden="1" customHeight="1">
      <c r="A17" s="633" t="s">
        <v>16</v>
      </c>
      <c r="B17" s="648">
        <v>0</v>
      </c>
      <c r="C17" s="633"/>
      <c r="D17" s="647"/>
      <c r="E17" s="633" t="s">
        <v>16</v>
      </c>
      <c r="F17" s="648">
        <v>0</v>
      </c>
      <c r="G17" s="633"/>
      <c r="H17" s="733"/>
      <c r="I17" s="647"/>
      <c r="J17" s="647"/>
    </row>
    <row r="18" spans="1:65" ht="24" hidden="1" customHeight="1">
      <c r="A18" s="633" t="s">
        <v>17</v>
      </c>
      <c r="B18" s="648"/>
      <c r="C18" s="633"/>
      <c r="D18" s="647"/>
      <c r="E18" s="633" t="s">
        <v>17</v>
      </c>
      <c r="F18" s="648"/>
      <c r="G18" s="633"/>
      <c r="H18" s="733"/>
      <c r="I18" s="647"/>
      <c r="J18" s="647"/>
    </row>
    <row r="19" spans="1:65" ht="24" hidden="1" customHeight="1">
      <c r="A19" s="633" t="s">
        <v>97</v>
      </c>
      <c r="B19" s="648"/>
      <c r="C19" s="633"/>
      <c r="E19" s="633" t="s">
        <v>97</v>
      </c>
      <c r="F19" s="648"/>
      <c r="G19" s="633"/>
      <c r="H19" s="706"/>
    </row>
    <row r="20" spans="1:65" ht="24" hidden="1" customHeight="1">
      <c r="A20" s="633" t="s">
        <v>19</v>
      </c>
      <c r="B20" s="648">
        <v>0</v>
      </c>
      <c r="C20" s="633"/>
      <c r="E20" s="633" t="s">
        <v>19</v>
      </c>
      <c r="F20" s="648">
        <v>0</v>
      </c>
      <c r="G20" s="633"/>
      <c r="H20" s="706"/>
    </row>
    <row r="21" spans="1:65" ht="24" hidden="1" customHeight="1">
      <c r="A21" s="633" t="s">
        <v>20</v>
      </c>
      <c r="B21" s="648">
        <v>0</v>
      </c>
      <c r="C21" s="633"/>
      <c r="E21" s="633" t="s">
        <v>20</v>
      </c>
      <c r="F21" s="648">
        <v>0</v>
      </c>
      <c r="G21" s="633"/>
      <c r="H21" s="706"/>
    </row>
    <row r="22" spans="1:65" ht="24" hidden="1" customHeight="1">
      <c r="A22" s="633"/>
      <c r="B22" s="648"/>
      <c r="C22" s="633"/>
      <c r="E22" s="633"/>
      <c r="F22" s="648"/>
      <c r="G22" s="633"/>
      <c r="H22" s="706"/>
    </row>
    <row r="23" spans="1:65" ht="8.25" hidden="1" customHeight="1">
      <c r="A23" s="643"/>
      <c r="B23" s="649"/>
      <c r="C23" s="650"/>
      <c r="D23" s="651"/>
      <c r="E23" s="643"/>
      <c r="F23" s="649"/>
      <c r="G23" s="650"/>
      <c r="H23" s="706"/>
    </row>
    <row r="24" spans="1:65" ht="16.5" hidden="1" customHeight="1">
      <c r="A24" s="643" t="s">
        <v>24</v>
      </c>
      <c r="B24" s="649"/>
      <c r="C24" s="633"/>
      <c r="D24" s="651"/>
      <c r="E24" s="643" t="s">
        <v>24</v>
      </c>
      <c r="F24" s="649"/>
      <c r="G24" s="633"/>
      <c r="H24" s="706"/>
    </row>
    <row r="25" spans="1:65" ht="24" hidden="1" customHeight="1">
      <c r="A25" s="633" t="s">
        <v>25</v>
      </c>
      <c r="B25" s="793">
        <v>0</v>
      </c>
      <c r="C25" s="633"/>
      <c r="D25" s="651"/>
      <c r="E25" s="633" t="s">
        <v>25</v>
      </c>
      <c r="F25" s="793">
        <v>0</v>
      </c>
      <c r="G25" s="633"/>
      <c r="H25" s="706"/>
    </row>
    <row r="26" spans="1:65" ht="24" customHeight="1">
      <c r="A26" s="724" t="s">
        <v>26</v>
      </c>
      <c r="B26" s="725">
        <v>92684</v>
      </c>
      <c r="C26" s="653"/>
      <c r="E26" s="724" t="s">
        <v>26</v>
      </c>
      <c r="F26" s="725">
        <f>+'113'!$B$30</f>
        <v>977092</v>
      </c>
      <c r="G26" s="654"/>
      <c r="H26" s="812">
        <f>F26-B26</f>
        <v>884408</v>
      </c>
    </row>
    <row r="27" spans="1:65" ht="24" customHeight="1">
      <c r="A27" s="724" t="s">
        <v>27</v>
      </c>
      <c r="B27" s="725">
        <v>154305.03</v>
      </c>
      <c r="C27" s="633"/>
      <c r="E27" s="724" t="s">
        <v>27</v>
      </c>
      <c r="F27" s="725">
        <f>+'113'!$B$31</f>
        <v>896713.58</v>
      </c>
      <c r="G27" s="639"/>
      <c r="H27" s="813">
        <f>F27-B27</f>
        <v>742408.54999999993</v>
      </c>
    </row>
    <row r="28" spans="1:65" ht="24" hidden="1" customHeight="1">
      <c r="A28" s="651"/>
      <c r="B28" s="788">
        <v>154305.03</v>
      </c>
      <c r="C28" s="657"/>
      <c r="E28" s="651" t="s">
        <v>28</v>
      </c>
      <c r="F28" s="788">
        <f>F27</f>
        <v>896713.58</v>
      </c>
      <c r="G28" s="658"/>
      <c r="H28" s="814"/>
      <c r="BE28" s="659"/>
      <c r="BF28" s="647"/>
      <c r="BG28" s="647"/>
      <c r="BH28" s="647"/>
      <c r="BI28" s="647"/>
      <c r="BJ28" s="647"/>
      <c r="BK28" s="647"/>
      <c r="BL28" s="647"/>
      <c r="BM28" s="647"/>
    </row>
    <row r="29" spans="1:65" ht="24" hidden="1" customHeight="1">
      <c r="A29" s="633" t="s">
        <v>29</v>
      </c>
      <c r="B29" s="789"/>
      <c r="C29" s="657"/>
      <c r="E29" s="633" t="s">
        <v>29</v>
      </c>
      <c r="F29" s="789"/>
      <c r="G29" s="658"/>
      <c r="H29" s="814"/>
    </row>
    <row r="30" spans="1:65" ht="24" hidden="1" customHeight="1">
      <c r="A30" s="633" t="s">
        <v>30</v>
      </c>
      <c r="B30" s="789">
        <v>0</v>
      </c>
      <c r="C30" s="633"/>
      <c r="E30" s="633" t="s">
        <v>30</v>
      </c>
      <c r="F30" s="789">
        <v>0</v>
      </c>
      <c r="G30" s="639"/>
      <c r="H30" s="814"/>
    </row>
    <row r="31" spans="1:65" ht="24" hidden="1" customHeight="1">
      <c r="A31" s="633" t="s">
        <v>35</v>
      </c>
      <c r="B31" s="789">
        <v>0</v>
      </c>
      <c r="C31" s="633"/>
      <c r="E31" s="633" t="s">
        <v>35</v>
      </c>
      <c r="F31" s="789">
        <v>0</v>
      </c>
      <c r="G31" s="639"/>
      <c r="H31" s="814"/>
    </row>
    <row r="32" spans="1:65" ht="24" hidden="1" customHeight="1">
      <c r="A32" s="633" t="s">
        <v>36</v>
      </c>
      <c r="B32" s="789">
        <v>0</v>
      </c>
      <c r="C32" s="633"/>
      <c r="E32" s="633" t="s">
        <v>36</v>
      </c>
      <c r="F32" s="789">
        <v>0</v>
      </c>
      <c r="G32" s="639"/>
      <c r="H32" s="814">
        <f>+H26+H27-H39</f>
        <v>275593.93999999971</v>
      </c>
    </row>
    <row r="33" spans="1:65" ht="24" customHeight="1">
      <c r="A33" s="643" t="s">
        <v>37</v>
      </c>
      <c r="B33" s="790"/>
      <c r="C33" s="633"/>
      <c r="D33" s="651"/>
      <c r="E33" s="643" t="s">
        <v>37</v>
      </c>
      <c r="F33" s="790"/>
      <c r="G33" s="639"/>
      <c r="H33" s="814">
        <f>+H26+H27-H36-H39</f>
        <v>273891.29999999981</v>
      </c>
    </row>
    <row r="34" spans="1:65" ht="24" customHeight="1">
      <c r="A34" s="633" t="s">
        <v>38</v>
      </c>
      <c r="B34" s="791">
        <v>0</v>
      </c>
      <c r="C34" s="653"/>
      <c r="E34" s="633" t="s">
        <v>38</v>
      </c>
      <c r="F34" s="791">
        <v>0</v>
      </c>
      <c r="G34" s="654"/>
      <c r="H34" s="814"/>
    </row>
    <row r="35" spans="1:65" ht="24" customHeight="1">
      <c r="A35" s="724" t="s">
        <v>39</v>
      </c>
      <c r="B35" s="725">
        <v>50237.5</v>
      </c>
      <c r="C35" s="633"/>
      <c r="E35" s="724" t="s">
        <v>39</v>
      </c>
      <c r="F35" s="725">
        <f>+'113'!$B$43</f>
        <v>104337.5</v>
      </c>
      <c r="G35" s="639"/>
      <c r="H35" s="813">
        <f>F35-B35</f>
        <v>54100</v>
      </c>
      <c r="BE35" s="659"/>
      <c r="BF35" s="647"/>
      <c r="BG35" s="647"/>
      <c r="BH35" s="647"/>
      <c r="BI35" s="647"/>
      <c r="BJ35" s="647"/>
      <c r="BK35" s="647"/>
      <c r="BL35" s="647"/>
      <c r="BM35" s="647"/>
    </row>
    <row r="36" spans="1:65" ht="24" customHeight="1">
      <c r="A36" s="724" t="s">
        <v>40</v>
      </c>
      <c r="B36" s="725">
        <v>9.9</v>
      </c>
      <c r="C36" s="633"/>
      <c r="E36" s="724" t="s">
        <v>40</v>
      </c>
      <c r="F36" s="725">
        <f>+'113'!$B$44</f>
        <v>1712.54</v>
      </c>
      <c r="G36" s="639"/>
      <c r="H36" s="813">
        <f>F36-B36</f>
        <v>1702.6399999999999</v>
      </c>
      <c r="BE36" s="647"/>
      <c r="BF36" s="647"/>
      <c r="BG36" s="647"/>
      <c r="BH36" s="647"/>
      <c r="BI36" s="647"/>
      <c r="BJ36" s="647"/>
      <c r="BK36" s="647"/>
      <c r="BL36" s="647"/>
      <c r="BM36" s="647"/>
    </row>
    <row r="37" spans="1:65" ht="16.5" customHeight="1">
      <c r="A37" s="661" t="s">
        <v>41</v>
      </c>
      <c r="B37" s="792">
        <v>0</v>
      </c>
      <c r="C37" s="662"/>
      <c r="E37" s="661" t="s">
        <v>41</v>
      </c>
      <c r="F37" s="792">
        <v>0</v>
      </c>
      <c r="G37" s="663"/>
      <c r="H37" s="814"/>
    </row>
    <row r="38" spans="1:65" ht="16.5" customHeight="1">
      <c r="A38" s="633" t="s">
        <v>43</v>
      </c>
      <c r="B38" s="793">
        <v>0</v>
      </c>
      <c r="C38" s="633"/>
      <c r="E38" s="633" t="s">
        <v>43</v>
      </c>
      <c r="F38" s="793">
        <v>0</v>
      </c>
      <c r="G38" s="639"/>
      <c r="H38" s="814"/>
    </row>
    <row r="39" spans="1:65" ht="24" customHeight="1">
      <c r="A39" s="724" t="s">
        <v>44</v>
      </c>
      <c r="B39" s="725">
        <v>154910.48000000001</v>
      </c>
      <c r="C39" s="633"/>
      <c r="E39" s="724" t="s">
        <v>44</v>
      </c>
      <c r="F39" s="725">
        <f>+'113'!B49</f>
        <v>1506133.09</v>
      </c>
      <c r="G39" s="639"/>
      <c r="H39" s="813">
        <f>F39-B39</f>
        <v>1351222.61</v>
      </c>
    </row>
    <row r="40" spans="1:65" ht="24" customHeight="1" thickBot="1">
      <c r="A40" s="633" t="s">
        <v>45</v>
      </c>
      <c r="B40" s="725">
        <v>154910.48000000001</v>
      </c>
      <c r="C40" s="664"/>
      <c r="D40" s="665"/>
      <c r="E40" s="633" t="s">
        <v>45</v>
      </c>
      <c r="F40" s="725">
        <f>F39</f>
        <v>1506133.09</v>
      </c>
      <c r="G40" s="666"/>
      <c r="H40" s="815"/>
    </row>
    <row r="41" spans="1:65" ht="24" hidden="1" customHeight="1">
      <c r="A41" s="633" t="s">
        <v>46</v>
      </c>
      <c r="B41" s="648">
        <v>0</v>
      </c>
      <c r="C41" s="633"/>
      <c r="E41" s="633" t="s">
        <v>46</v>
      </c>
      <c r="F41" s="668">
        <v>0</v>
      </c>
      <c r="G41" s="633"/>
    </row>
    <row r="42" spans="1:65" ht="24" hidden="1" customHeight="1">
      <c r="A42" s="633" t="s">
        <v>47</v>
      </c>
      <c r="B42" s="648">
        <v>0</v>
      </c>
      <c r="C42" s="633"/>
      <c r="E42" s="633" t="s">
        <v>47</v>
      </c>
      <c r="F42" s="648">
        <v>0</v>
      </c>
      <c r="G42" s="633"/>
    </row>
    <row r="43" spans="1:65" ht="8.25" hidden="1" customHeight="1">
      <c r="A43" s="643"/>
      <c r="B43" s="649">
        <v>0</v>
      </c>
      <c r="C43" s="650"/>
      <c r="D43" s="651"/>
      <c r="E43" s="643"/>
      <c r="F43" s="649">
        <v>0</v>
      </c>
      <c r="G43" s="650"/>
    </row>
    <row r="44" spans="1:65" ht="24" hidden="1" customHeight="1">
      <c r="A44" s="643" t="s">
        <v>48</v>
      </c>
      <c r="B44" s="644"/>
      <c r="C44" s="633"/>
      <c r="E44" s="643" t="s">
        <v>48</v>
      </c>
      <c r="F44" s="644"/>
      <c r="G44" s="633"/>
    </row>
    <row r="45" spans="1:65" ht="24" hidden="1" customHeight="1">
      <c r="A45" s="633"/>
      <c r="B45" s="648">
        <v>0</v>
      </c>
      <c r="C45" s="633"/>
      <c r="E45" s="633"/>
      <c r="F45" s="648">
        <v>0</v>
      </c>
      <c r="G45" s="633"/>
    </row>
    <row r="46" spans="1:65" ht="24" hidden="1" customHeight="1">
      <c r="A46" s="633" t="s">
        <v>49</v>
      </c>
      <c r="B46" s="648">
        <v>0</v>
      </c>
      <c r="C46" s="633"/>
      <c r="E46" s="633" t="s">
        <v>49</v>
      </c>
      <c r="F46" s="648">
        <f>F49</f>
        <v>0</v>
      </c>
      <c r="G46" s="633"/>
    </row>
    <row r="47" spans="1:65" ht="24" hidden="1" customHeight="1">
      <c r="A47" s="633" t="s">
        <v>50</v>
      </c>
      <c r="B47" s="648">
        <v>0</v>
      </c>
      <c r="C47" s="633"/>
      <c r="E47" s="633" t="s">
        <v>50</v>
      </c>
      <c r="F47" s="648">
        <v>0</v>
      </c>
      <c r="G47" s="633"/>
    </row>
    <row r="48" spans="1:65" ht="24" hidden="1" customHeight="1">
      <c r="A48" s="633" t="s">
        <v>51</v>
      </c>
      <c r="B48" s="648">
        <v>0</v>
      </c>
      <c r="C48" s="633"/>
      <c r="E48" s="633" t="s">
        <v>51</v>
      </c>
      <c r="F48" s="648">
        <v>0</v>
      </c>
      <c r="G48" s="633"/>
    </row>
    <row r="49" spans="1:7" ht="24" hidden="1" customHeight="1">
      <c r="A49" s="633"/>
      <c r="B49" s="648">
        <v>0</v>
      </c>
      <c r="C49" s="633"/>
      <c r="E49" s="633"/>
      <c r="F49" s="648">
        <v>0</v>
      </c>
      <c r="G49" s="633"/>
    </row>
    <row r="50" spans="1:7" ht="24" hidden="1" customHeight="1">
      <c r="A50" s="633" t="s">
        <v>52</v>
      </c>
      <c r="B50" s="648">
        <v>0</v>
      </c>
      <c r="C50" s="633"/>
      <c r="E50" s="633" t="s">
        <v>52</v>
      </c>
      <c r="F50" s="648">
        <v>0</v>
      </c>
      <c r="G50" s="633"/>
    </row>
    <row r="51" spans="1:7" ht="24" hidden="1" customHeight="1">
      <c r="A51" s="633" t="s">
        <v>53</v>
      </c>
      <c r="B51" s="648">
        <v>0</v>
      </c>
      <c r="C51" s="633"/>
      <c r="E51" s="633" t="s">
        <v>53</v>
      </c>
      <c r="F51" s="648">
        <v>0</v>
      </c>
      <c r="G51" s="633"/>
    </row>
    <row r="52" spans="1:7" ht="24" hidden="1" customHeight="1">
      <c r="A52" s="633" t="s">
        <v>54</v>
      </c>
      <c r="B52" s="648">
        <v>0</v>
      </c>
      <c r="C52" s="633"/>
      <c r="E52" s="633" t="s">
        <v>54</v>
      </c>
      <c r="F52" s="648">
        <v>0</v>
      </c>
      <c r="G52" s="633"/>
    </row>
    <row r="53" spans="1:7" ht="24" hidden="1" customHeight="1">
      <c r="A53" s="633" t="s">
        <v>55</v>
      </c>
      <c r="B53" s="648">
        <v>0</v>
      </c>
      <c r="C53" s="633"/>
      <c r="E53" s="633" t="s">
        <v>55</v>
      </c>
      <c r="F53" s="648">
        <v>0</v>
      </c>
      <c r="G53" s="633"/>
    </row>
    <row r="54" spans="1:7" ht="24" hidden="1" customHeight="1">
      <c r="A54" s="633" t="s">
        <v>56</v>
      </c>
      <c r="B54" s="648">
        <v>0</v>
      </c>
      <c r="C54" s="633"/>
      <c r="E54" s="633" t="s">
        <v>56</v>
      </c>
      <c r="F54" s="648">
        <v>0</v>
      </c>
      <c r="G54" s="633"/>
    </row>
    <row r="55" spans="1:7" ht="24" hidden="1" customHeight="1">
      <c r="A55" s="633" t="s">
        <v>57</v>
      </c>
      <c r="B55" s="648">
        <v>0</v>
      </c>
      <c r="C55" s="633"/>
      <c r="E55" s="633" t="s">
        <v>57</v>
      </c>
      <c r="F55" s="648">
        <v>0</v>
      </c>
      <c r="G55" s="633"/>
    </row>
    <row r="56" spans="1:7" ht="24" hidden="1" customHeight="1">
      <c r="A56" s="633"/>
      <c r="B56" s="648">
        <v>0</v>
      </c>
      <c r="C56" s="633"/>
      <c r="E56" s="633"/>
      <c r="F56" s="648">
        <v>0</v>
      </c>
      <c r="G56" s="633"/>
    </row>
    <row r="57" spans="1:7" ht="24" hidden="1" customHeight="1">
      <c r="A57" s="633" t="s">
        <v>58</v>
      </c>
      <c r="B57" s="648">
        <v>0</v>
      </c>
      <c r="C57" s="633"/>
      <c r="E57" s="633" t="s">
        <v>58</v>
      </c>
      <c r="F57" s="648">
        <v>0</v>
      </c>
      <c r="G57" s="633"/>
    </row>
    <row r="58" spans="1:7" ht="24" hidden="1" customHeight="1">
      <c r="A58" s="633" t="s">
        <v>59</v>
      </c>
      <c r="B58" s="669"/>
      <c r="C58" s="633"/>
      <c r="E58" s="633" t="s">
        <v>59</v>
      </c>
      <c r="F58" s="669"/>
      <c r="G58" s="633"/>
    </row>
    <row r="59" spans="1:7" ht="24" hidden="1" customHeight="1">
      <c r="A59" s="633" t="s">
        <v>60</v>
      </c>
      <c r="B59" s="669"/>
      <c r="C59" s="633"/>
      <c r="E59" s="633" t="s">
        <v>60</v>
      </c>
      <c r="F59" s="669"/>
      <c r="G59" s="633"/>
    </row>
    <row r="60" spans="1:7" ht="24" hidden="1" customHeight="1">
      <c r="A60" s="633" t="s">
        <v>61</v>
      </c>
      <c r="B60" s="669"/>
      <c r="C60" s="633"/>
      <c r="E60" s="633" t="s">
        <v>61</v>
      </c>
      <c r="F60" s="669"/>
      <c r="G60" s="633"/>
    </row>
    <row r="61" spans="1:7" ht="24" hidden="1" customHeight="1">
      <c r="A61" s="633" t="s">
        <v>103</v>
      </c>
      <c r="B61" s="669"/>
      <c r="C61" s="633"/>
      <c r="E61" s="633" t="s">
        <v>103</v>
      </c>
      <c r="F61" s="669"/>
      <c r="G61" s="633"/>
    </row>
    <row r="62" spans="1:7" ht="24" hidden="1" customHeight="1">
      <c r="A62" s="633"/>
      <c r="B62" s="669"/>
      <c r="C62" s="633"/>
      <c r="E62" s="633"/>
      <c r="F62" s="669"/>
      <c r="G62" s="633"/>
    </row>
    <row r="63" spans="1:7" ht="24" hidden="1" customHeight="1">
      <c r="A63" s="633"/>
      <c r="B63" s="648"/>
      <c r="C63" s="633"/>
      <c r="E63" s="633"/>
      <c r="F63" s="648"/>
      <c r="G63" s="633"/>
    </row>
    <row r="64" spans="1:7" ht="24" hidden="1" customHeight="1">
      <c r="A64" s="633"/>
      <c r="B64" s="648"/>
      <c r="C64" s="633"/>
      <c r="E64" s="633"/>
      <c r="F64" s="648"/>
      <c r="G64" s="633"/>
    </row>
    <row r="65" spans="1:7" ht="24" hidden="1" customHeight="1">
      <c r="A65" s="633"/>
      <c r="B65" s="648"/>
      <c r="C65" s="633"/>
      <c r="E65" s="633"/>
      <c r="F65" s="648"/>
      <c r="G65" s="633"/>
    </row>
    <row r="66" spans="1:7" ht="24" hidden="1" customHeight="1">
      <c r="A66" s="633"/>
      <c r="B66" s="648"/>
      <c r="C66" s="633"/>
      <c r="E66" s="633"/>
      <c r="F66" s="648"/>
      <c r="G66" s="633"/>
    </row>
    <row r="67" spans="1:7" ht="24" hidden="1" customHeight="1">
      <c r="A67" s="633"/>
      <c r="B67" s="648"/>
      <c r="C67" s="633"/>
      <c r="E67" s="633"/>
      <c r="F67" s="648"/>
      <c r="G67" s="633"/>
    </row>
    <row r="68" spans="1:7" ht="24" hidden="1" customHeight="1">
      <c r="A68" s="633"/>
      <c r="B68" s="648"/>
      <c r="C68" s="633"/>
      <c r="E68" s="633"/>
      <c r="F68" s="648"/>
      <c r="G68" s="633"/>
    </row>
    <row r="69" spans="1:7" ht="15.75" customHeight="1"/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00FF00"/>
  </sheetPr>
  <dimension ref="A1:GD89"/>
  <sheetViews>
    <sheetView zoomScale="90" zoomScaleNormal="90" workbookViewId="0">
      <pane xSplit="7" ySplit="46" topLeftCell="H75" activePane="bottomRight" state="frozen"/>
      <selection activeCell="F26" sqref="F26"/>
      <selection pane="topRight" activeCell="F26" sqref="F26"/>
      <selection pane="bottomLeft" activeCell="F26" sqref="F26"/>
      <selection pane="bottomRight" activeCell="B30" sqref="B30:B46"/>
    </sheetView>
  </sheetViews>
  <sheetFormatPr defaultColWidth="8.7109375" defaultRowHeight="15.75"/>
  <cols>
    <col min="1" max="1" width="35.85546875" style="629" customWidth="1"/>
    <col min="2" max="2" width="25.140625" style="629" bestFit="1" customWidth="1"/>
    <col min="3" max="3" width="9.42578125" style="629" customWidth="1"/>
    <col min="4" max="4" width="33.28515625" style="629" customWidth="1"/>
    <col min="5" max="5" width="25.140625" style="629" bestFit="1" customWidth="1"/>
    <col min="6" max="6" width="21.7109375" style="629" customWidth="1"/>
    <col min="7" max="7" width="19.85546875" style="629" customWidth="1"/>
    <col min="8" max="177" width="8.7109375" style="629" customWidth="1"/>
    <col min="178" max="178" width="30.140625" style="629" customWidth="1"/>
    <col min="179" max="179" width="28.7109375" style="629" customWidth="1"/>
    <col min="180" max="180" width="4.5703125" style="629" customWidth="1"/>
    <col min="181" max="181" width="2.140625" style="629" customWidth="1"/>
    <col min="182" max="186" width="12.28515625" style="629" hidden="1" customWidth="1"/>
    <col min="187" max="187" width="0.42578125" style="629" customWidth="1"/>
    <col min="188" max="195" width="3.7109375" style="629" customWidth="1"/>
    <col min="196" max="196" width="0.42578125" style="629" customWidth="1"/>
    <col min="197" max="197" width="2.85546875" style="629" customWidth="1"/>
    <col min="198" max="204" width="3" style="629" customWidth="1"/>
    <col min="205" max="205" width="0.42578125" style="629" customWidth="1"/>
    <col min="206" max="213" width="3" style="629" customWidth="1"/>
    <col min="214" max="214" width="0.42578125" style="629" customWidth="1"/>
    <col min="215" max="220" width="3" style="629" customWidth="1"/>
    <col min="221" max="221" width="3.140625" style="629" customWidth="1"/>
    <col min="222" max="222" width="3.5703125" style="629" customWidth="1"/>
    <col min="223" max="223" width="0.85546875" style="629" customWidth="1"/>
    <col min="224" max="230" width="3" style="629" customWidth="1"/>
    <col min="231" max="231" width="0.42578125" style="629" customWidth="1"/>
    <col min="232" max="239" width="3" style="629" customWidth="1"/>
    <col min="240" max="240" width="0.28515625" style="629" customWidth="1"/>
    <col min="241" max="16384" width="8.7109375" style="629"/>
  </cols>
  <sheetData>
    <row r="1" spans="1:7">
      <c r="A1" s="629" t="s">
        <v>804</v>
      </c>
      <c r="D1" s="629" t="s">
        <v>782</v>
      </c>
    </row>
    <row r="2" spans="1:7">
      <c r="A2" s="819"/>
      <c r="B2" s="820"/>
      <c r="D2" s="819"/>
      <c r="E2" s="820"/>
    </row>
    <row r="3" spans="1:7">
      <c r="A3" s="631" t="s">
        <v>0</v>
      </c>
      <c r="B3" s="816" t="s">
        <v>111</v>
      </c>
      <c r="D3" s="631" t="s">
        <v>0</v>
      </c>
      <c r="E3" s="816" t="s">
        <v>111</v>
      </c>
    </row>
    <row r="4" spans="1:7">
      <c r="A4" s="631"/>
      <c r="B4" s="816" t="s">
        <v>36</v>
      </c>
      <c r="D4" s="631"/>
      <c r="E4" s="816" t="s">
        <v>36</v>
      </c>
    </row>
    <row r="5" spans="1:7">
      <c r="A5" s="631" t="s">
        <v>4</v>
      </c>
      <c r="B5" s="817">
        <v>0.01</v>
      </c>
      <c r="D5" s="631" t="s">
        <v>4</v>
      </c>
      <c r="E5" s="817">
        <v>0.01</v>
      </c>
    </row>
    <row r="6" spans="1:7" ht="12.75" customHeight="1">
      <c r="B6" s="821"/>
      <c r="E6" s="821"/>
    </row>
    <row r="7" spans="1:7" ht="16.5">
      <c r="A7" s="635" t="s">
        <v>5</v>
      </c>
      <c r="B7" s="822">
        <v>27</v>
      </c>
      <c r="D7" s="635" t="s">
        <v>5</v>
      </c>
      <c r="E7" s="822">
        <v>27</v>
      </c>
    </row>
    <row r="8" spans="1:7" ht="24" customHeight="1" thickBot="1">
      <c r="A8" s="637" t="s">
        <v>6</v>
      </c>
      <c r="B8" s="823" t="s">
        <v>163</v>
      </c>
      <c r="D8" s="637" t="s">
        <v>6</v>
      </c>
      <c r="E8" s="823" t="s">
        <v>163</v>
      </c>
      <c r="F8" s="1080" t="s">
        <v>779</v>
      </c>
      <c r="G8" s="1080"/>
    </row>
    <row r="9" spans="1:7" ht="17.25" hidden="1" customHeight="1" thickBot="1">
      <c r="A9" s="643" t="s">
        <v>164</v>
      </c>
      <c r="B9" s="824"/>
      <c r="C9" s="821"/>
      <c r="D9" s="643" t="s">
        <v>164</v>
      </c>
      <c r="E9" s="824"/>
      <c r="F9" s="825"/>
      <c r="G9" s="825"/>
    </row>
    <row r="10" spans="1:7" ht="17.25" hidden="1" customHeight="1" thickBot="1">
      <c r="A10" s="633"/>
      <c r="B10" s="826"/>
      <c r="C10" s="821"/>
      <c r="D10" s="633"/>
      <c r="E10" s="826"/>
      <c r="F10" s="827"/>
      <c r="G10" s="827"/>
    </row>
    <row r="11" spans="1:7" ht="17.25" hidden="1" customHeight="1" thickBot="1">
      <c r="A11" s="633" t="s">
        <v>166</v>
      </c>
      <c r="B11" s="826"/>
      <c r="C11" s="821"/>
      <c r="D11" s="633" t="s">
        <v>166</v>
      </c>
      <c r="E11" s="826"/>
      <c r="F11" s="827"/>
      <c r="G11" s="827"/>
    </row>
    <row r="12" spans="1:7" ht="17.25" hidden="1" customHeight="1" thickBot="1">
      <c r="A12" s="643" t="s">
        <v>167</v>
      </c>
      <c r="B12" s="824"/>
      <c r="C12" s="821"/>
      <c r="D12" s="643" t="s">
        <v>167</v>
      </c>
      <c r="E12" s="824"/>
      <c r="F12" s="827"/>
      <c r="G12" s="827"/>
    </row>
    <row r="13" spans="1:7" ht="17.25" hidden="1" customHeight="1" thickBot="1">
      <c r="A13" s="643" t="s">
        <v>168</v>
      </c>
      <c r="B13" s="824"/>
      <c r="C13" s="821"/>
      <c r="D13" s="643" t="s">
        <v>168</v>
      </c>
      <c r="E13" s="824"/>
      <c r="F13" s="827"/>
      <c r="G13" s="827"/>
    </row>
    <row r="14" spans="1:7" ht="17.25" hidden="1" customHeight="1" thickBot="1">
      <c r="A14" s="643" t="s">
        <v>169</v>
      </c>
      <c r="B14" s="824">
        <v>0</v>
      </c>
      <c r="C14" s="821"/>
      <c r="D14" s="643" t="s">
        <v>169</v>
      </c>
      <c r="E14" s="824">
        <v>0</v>
      </c>
      <c r="F14" s="827"/>
      <c r="G14" s="827"/>
    </row>
    <row r="15" spans="1:7" ht="17.25" hidden="1" customHeight="1" thickBot="1">
      <c r="A15" s="633" t="s">
        <v>170</v>
      </c>
      <c r="B15" s="828"/>
      <c r="C15" s="821"/>
      <c r="D15" s="633" t="s">
        <v>170</v>
      </c>
      <c r="E15" s="828"/>
      <c r="F15" s="827"/>
      <c r="G15" s="827"/>
    </row>
    <row r="16" spans="1:7" ht="17.25" hidden="1" customHeight="1" thickBot="1">
      <c r="A16" s="633" t="s">
        <v>171</v>
      </c>
      <c r="B16" s="828"/>
      <c r="C16" s="821"/>
      <c r="D16" s="633" t="s">
        <v>171</v>
      </c>
      <c r="E16" s="828"/>
      <c r="F16" s="827"/>
      <c r="G16" s="827"/>
    </row>
    <row r="17" spans="1:12" ht="17.25" hidden="1" customHeight="1" thickBot="1">
      <c r="A17" s="633" t="s">
        <v>172</v>
      </c>
      <c r="B17" s="828"/>
      <c r="C17" s="821"/>
      <c r="D17" s="633" t="s">
        <v>172</v>
      </c>
      <c r="E17" s="828"/>
      <c r="F17" s="827"/>
      <c r="G17" s="827"/>
    </row>
    <row r="18" spans="1:12" ht="17.25" hidden="1" customHeight="1" thickBot="1">
      <c r="A18" s="633" t="s">
        <v>173</v>
      </c>
      <c r="B18" s="828"/>
      <c r="C18" s="821"/>
      <c r="D18" s="633" t="s">
        <v>173</v>
      </c>
      <c r="E18" s="828"/>
      <c r="F18" s="827"/>
      <c r="G18" s="827"/>
    </row>
    <row r="19" spans="1:12" ht="17.25" hidden="1" customHeight="1" thickBot="1">
      <c r="A19" s="633" t="s">
        <v>174</v>
      </c>
      <c r="B19" s="828"/>
      <c r="C19" s="821"/>
      <c r="D19" s="633" t="s">
        <v>174</v>
      </c>
      <c r="E19" s="828"/>
      <c r="F19" s="827"/>
      <c r="G19" s="827"/>
    </row>
    <row r="20" spans="1:12" ht="17.25" hidden="1" customHeight="1" thickBot="1">
      <c r="A20" s="633"/>
      <c r="B20" s="828"/>
      <c r="C20" s="821"/>
      <c r="D20" s="633"/>
      <c r="E20" s="828"/>
      <c r="F20" s="827"/>
      <c r="G20" s="827"/>
    </row>
    <row r="21" spans="1:12" ht="17.25" hidden="1" customHeight="1" thickBot="1">
      <c r="A21" s="633" t="s">
        <v>175</v>
      </c>
      <c r="B21" s="828"/>
      <c r="C21" s="821"/>
      <c r="D21" s="633" t="s">
        <v>175</v>
      </c>
      <c r="E21" s="828"/>
      <c r="F21" s="827"/>
      <c r="G21" s="827"/>
    </row>
    <row r="22" spans="1:12" ht="17.25" hidden="1" customHeight="1" thickBot="1">
      <c r="A22" s="633"/>
      <c r="B22" s="828"/>
      <c r="C22" s="821"/>
      <c r="D22" s="633"/>
      <c r="E22" s="828"/>
      <c r="F22" s="827"/>
      <c r="G22" s="827"/>
    </row>
    <row r="23" spans="1:12" ht="17.25" hidden="1" customHeight="1" thickBot="1">
      <c r="A23" s="633" t="s">
        <v>176</v>
      </c>
      <c r="B23" s="829"/>
      <c r="C23" s="830"/>
      <c r="D23" s="633" t="s">
        <v>176</v>
      </c>
      <c r="E23" s="829"/>
      <c r="F23" s="827"/>
      <c r="G23" s="827"/>
    </row>
    <row r="24" spans="1:12" ht="17.25" hidden="1" customHeight="1" thickBot="1">
      <c r="A24" s="633" t="s">
        <v>177</v>
      </c>
      <c r="B24" s="829"/>
      <c r="C24" s="830"/>
      <c r="D24" s="633" t="s">
        <v>177</v>
      </c>
      <c r="E24" s="829"/>
      <c r="F24" s="827"/>
      <c r="G24" s="827"/>
    </row>
    <row r="25" spans="1:12" ht="17.25" hidden="1" customHeight="1" thickBot="1">
      <c r="A25" s="633" t="s">
        <v>178</v>
      </c>
      <c r="B25" s="829"/>
      <c r="C25" s="830"/>
      <c r="D25" s="633" t="s">
        <v>178</v>
      </c>
      <c r="E25" s="829"/>
      <c r="F25" s="827"/>
      <c r="G25" s="827"/>
    </row>
    <row r="26" spans="1:12" ht="17.25" hidden="1" customHeight="1" thickBot="1">
      <c r="A26" s="633" t="s">
        <v>179</v>
      </c>
      <c r="B26" s="829"/>
      <c r="C26" s="830"/>
      <c r="D26" s="633" t="s">
        <v>179</v>
      </c>
      <c r="E26" s="829"/>
      <c r="F26" s="827"/>
      <c r="G26" s="827"/>
    </row>
    <row r="27" spans="1:12" ht="17.25" hidden="1" customHeight="1" thickBot="1">
      <c r="A27" s="643"/>
      <c r="B27" s="824"/>
      <c r="C27" s="831"/>
      <c r="D27" s="643"/>
      <c r="E27" s="824"/>
      <c r="F27" s="827"/>
      <c r="G27" s="827"/>
    </row>
    <row r="28" spans="1:12" ht="11.25" customHeight="1">
      <c r="A28" s="643" t="s">
        <v>180</v>
      </c>
      <c r="B28" s="824"/>
      <c r="C28" s="831">
        <v>0</v>
      </c>
      <c r="D28" s="643" t="s">
        <v>180</v>
      </c>
      <c r="E28" s="832"/>
      <c r="F28" s="833"/>
      <c r="G28" s="834"/>
    </row>
    <row r="29" spans="1:12" ht="11.25" customHeight="1">
      <c r="A29" s="633" t="s">
        <v>181</v>
      </c>
      <c r="B29" s="629">
        <v>0</v>
      </c>
      <c r="C29" s="831"/>
      <c r="D29" s="633" t="s">
        <v>181</v>
      </c>
      <c r="E29" s="835">
        <v>0</v>
      </c>
      <c r="F29" s="836"/>
      <c r="G29" s="837"/>
    </row>
    <row r="30" spans="1:12" ht="24" customHeight="1">
      <c r="A30" s="724" t="s">
        <v>182</v>
      </c>
      <c r="B30" s="838">
        <v>4527500</v>
      </c>
      <c r="C30" s="831"/>
      <c r="D30" s="724" t="s">
        <v>182</v>
      </c>
      <c r="E30" s="838">
        <f>'27'!$B$29</f>
        <v>14848500</v>
      </c>
      <c r="F30" s="839">
        <f>+E30-B30</f>
        <v>10321000</v>
      </c>
      <c r="G30" s="840">
        <f>+F30*E5</f>
        <v>103210</v>
      </c>
    </row>
    <row r="31" spans="1:12" ht="24" customHeight="1">
      <c r="A31" s="724" t="s">
        <v>183</v>
      </c>
      <c r="B31" s="838">
        <v>2016571</v>
      </c>
      <c r="C31" s="831"/>
      <c r="D31" s="724" t="s">
        <v>183</v>
      </c>
      <c r="E31" s="838">
        <f>'27'!$B$30</f>
        <v>7689801</v>
      </c>
      <c r="F31" s="839">
        <f>+E31-B31</f>
        <v>5673230</v>
      </c>
      <c r="G31" s="840">
        <f>+F31*E5</f>
        <v>56732.3</v>
      </c>
    </row>
    <row r="32" spans="1:12" ht="16.5" hidden="1" customHeight="1">
      <c r="A32" s="633" t="s">
        <v>184</v>
      </c>
      <c r="B32" s="841"/>
      <c r="C32" s="831"/>
      <c r="D32" s="633" t="s">
        <v>184</v>
      </c>
      <c r="E32" s="841"/>
      <c r="F32" s="836"/>
      <c r="G32" s="837"/>
      <c r="L32" s="842"/>
    </row>
    <row r="33" spans="1:11" ht="16.5" hidden="1" customHeight="1">
      <c r="A33" s="643" t="s">
        <v>185</v>
      </c>
      <c r="B33" s="832"/>
      <c r="C33" s="831"/>
      <c r="D33" s="643" t="s">
        <v>185</v>
      </c>
      <c r="E33" s="832"/>
      <c r="F33" s="843"/>
      <c r="G33" s="844"/>
    </row>
    <row r="34" spans="1:11" ht="16.5" hidden="1" customHeight="1">
      <c r="A34" s="633" t="s">
        <v>186</v>
      </c>
      <c r="B34" s="841"/>
      <c r="C34" s="831"/>
      <c r="D34" s="633" t="s">
        <v>186</v>
      </c>
      <c r="E34" s="841"/>
      <c r="F34" s="836"/>
      <c r="G34" s="837"/>
    </row>
    <row r="35" spans="1:11" ht="16.5" hidden="1" customHeight="1">
      <c r="A35" s="633" t="s">
        <v>187</v>
      </c>
      <c r="B35" s="841"/>
      <c r="C35" s="831"/>
      <c r="D35" s="633" t="s">
        <v>187</v>
      </c>
      <c r="E35" s="841"/>
      <c r="F35" s="836"/>
      <c r="G35" s="837"/>
    </row>
    <row r="36" spans="1:11" ht="16.5" hidden="1" customHeight="1">
      <c r="A36" s="633" t="s">
        <v>99</v>
      </c>
      <c r="B36" s="841"/>
      <c r="C36" s="831"/>
      <c r="D36" s="633" t="s">
        <v>99</v>
      </c>
      <c r="E36" s="841"/>
      <c r="F36" s="836"/>
      <c r="G36" s="837"/>
    </row>
    <row r="37" spans="1:11" ht="16.5" hidden="1" customHeight="1">
      <c r="A37" s="633" t="s">
        <v>188</v>
      </c>
      <c r="B37" s="835"/>
      <c r="C37" s="831"/>
      <c r="D37" s="633" t="s">
        <v>188</v>
      </c>
      <c r="E37" s="835"/>
      <c r="F37" s="836"/>
      <c r="G37" s="844"/>
    </row>
    <row r="38" spans="1:11" ht="16.5" hidden="1" customHeight="1">
      <c r="A38" s="633" t="s">
        <v>189</v>
      </c>
      <c r="B38" s="841"/>
      <c r="C38" s="831"/>
      <c r="D38" s="633" t="s">
        <v>189</v>
      </c>
      <c r="E38" s="841"/>
      <c r="F38" s="836"/>
      <c r="G38" s="837"/>
      <c r="K38" s="842"/>
    </row>
    <row r="39" spans="1:11" ht="16.5" hidden="1" customHeight="1">
      <c r="A39" s="633"/>
      <c r="B39" s="793"/>
      <c r="C39" s="831"/>
      <c r="D39" s="633"/>
      <c r="E39" s="793"/>
      <c r="F39" s="836"/>
      <c r="G39" s="837"/>
    </row>
    <row r="40" spans="1:11" ht="16.5" hidden="1" customHeight="1">
      <c r="A40" s="633" t="s">
        <v>190</v>
      </c>
      <c r="B40" s="841"/>
      <c r="C40" s="831"/>
      <c r="D40" s="633" t="s">
        <v>190</v>
      </c>
      <c r="E40" s="841"/>
      <c r="F40" s="836"/>
      <c r="G40" s="837"/>
    </row>
    <row r="41" spans="1:11" ht="15.75" customHeight="1">
      <c r="A41" s="633"/>
      <c r="B41" s="841"/>
      <c r="C41" s="831"/>
      <c r="D41" s="633"/>
      <c r="E41" s="841"/>
      <c r="F41" s="836"/>
      <c r="G41" s="837"/>
    </row>
    <row r="42" spans="1:11" ht="24" customHeight="1">
      <c r="A42" s="633" t="s">
        <v>52</v>
      </c>
      <c r="B42" s="841"/>
      <c r="C42" s="831"/>
      <c r="D42" s="633" t="s">
        <v>52</v>
      </c>
      <c r="E42" s="841"/>
      <c r="F42" s="836"/>
      <c r="G42" s="837"/>
    </row>
    <row r="43" spans="1:11" ht="24" customHeight="1">
      <c r="A43" s="643" t="s">
        <v>192</v>
      </c>
      <c r="B43" s="832"/>
      <c r="C43" s="831"/>
      <c r="D43" s="643" t="s">
        <v>192</v>
      </c>
      <c r="E43" s="832"/>
      <c r="F43" s="843"/>
      <c r="G43" s="844"/>
    </row>
    <row r="44" spans="1:11" ht="24" customHeight="1">
      <c r="A44" s="633" t="s">
        <v>193</v>
      </c>
      <c r="B44" s="841">
        <v>0</v>
      </c>
      <c r="C44" s="831"/>
      <c r="D44" s="633" t="s">
        <v>193</v>
      </c>
      <c r="E44" s="841">
        <v>0</v>
      </c>
      <c r="F44" s="836"/>
      <c r="G44" s="837"/>
    </row>
    <row r="45" spans="1:11" ht="24" customHeight="1">
      <c r="A45" s="724" t="s">
        <v>194</v>
      </c>
      <c r="B45" s="838">
        <v>5409355</v>
      </c>
      <c r="C45" s="831"/>
      <c r="D45" s="724" t="s">
        <v>194</v>
      </c>
      <c r="E45" s="838">
        <f>'27'!$B$45</f>
        <v>16790158</v>
      </c>
      <c r="F45" s="839">
        <f>+E45-B45</f>
        <v>11380803</v>
      </c>
      <c r="G45" s="840">
        <f>+F45*E5</f>
        <v>113808.03</v>
      </c>
    </row>
    <row r="46" spans="1:11" ht="24" customHeight="1">
      <c r="A46" s="643" t="s">
        <v>195</v>
      </c>
      <c r="B46" s="838">
        <v>5409355</v>
      </c>
      <c r="C46" s="831"/>
      <c r="D46" s="643" t="s">
        <v>195</v>
      </c>
      <c r="E46" s="838">
        <f>E45</f>
        <v>16790158</v>
      </c>
      <c r="F46" s="843"/>
      <c r="G46" s="844"/>
    </row>
    <row r="47" spans="1:11" ht="24" customHeight="1">
      <c r="A47" s="633" t="s">
        <v>196</v>
      </c>
      <c r="B47" s="841"/>
      <c r="C47" s="831"/>
      <c r="D47" s="633" t="s">
        <v>196</v>
      </c>
      <c r="E47" s="841"/>
      <c r="F47" s="836"/>
      <c r="G47" s="837"/>
    </row>
    <row r="48" spans="1:11" ht="24" hidden="1" customHeight="1">
      <c r="A48" s="633" t="s">
        <v>197</v>
      </c>
      <c r="B48" s="841"/>
      <c r="C48" s="831"/>
      <c r="D48" s="633" t="s">
        <v>197</v>
      </c>
      <c r="E48" s="841"/>
      <c r="F48" s="836"/>
      <c r="G48" s="837"/>
    </row>
    <row r="49" spans="1:7" ht="24" hidden="1" customHeight="1">
      <c r="A49" s="633" t="s">
        <v>198</v>
      </c>
      <c r="B49" s="841"/>
      <c r="C49" s="831"/>
      <c r="D49" s="633" t="s">
        <v>198</v>
      </c>
      <c r="E49" s="841"/>
      <c r="F49" s="836"/>
      <c r="G49" s="837"/>
    </row>
    <row r="50" spans="1:7" ht="24" hidden="1" customHeight="1">
      <c r="A50" s="633" t="s">
        <v>199</v>
      </c>
      <c r="B50" s="841"/>
      <c r="C50" s="831"/>
      <c r="D50" s="633" t="s">
        <v>199</v>
      </c>
      <c r="E50" s="841"/>
      <c r="F50" s="836"/>
      <c r="G50" s="837"/>
    </row>
    <row r="51" spans="1:7" ht="24" customHeight="1">
      <c r="A51" s="724" t="s">
        <v>200</v>
      </c>
      <c r="B51" s="838">
        <f>'27'!$B$51</f>
        <v>50898</v>
      </c>
      <c r="C51" s="831"/>
      <c r="D51" s="724" t="s">
        <v>200</v>
      </c>
      <c r="E51" s="838">
        <f>'27'!$B$51</f>
        <v>50898</v>
      </c>
      <c r="F51" s="839">
        <f>E51-B51</f>
        <v>0</v>
      </c>
      <c r="G51" s="840">
        <f>+F51*0.01</f>
        <v>0</v>
      </c>
    </row>
    <row r="52" spans="1:7" ht="24" customHeight="1" thickBot="1">
      <c r="A52" s="818" t="s">
        <v>36</v>
      </c>
      <c r="B52" s="846"/>
      <c r="C52" s="845"/>
      <c r="D52" s="818" t="s">
        <v>36</v>
      </c>
      <c r="E52" s="846"/>
      <c r="F52" s="847"/>
      <c r="G52" s="848"/>
    </row>
    <row r="53" spans="1:7" ht="15.75" hidden="1" customHeight="1">
      <c r="A53" s="633" t="s">
        <v>201</v>
      </c>
      <c r="B53" s="828"/>
      <c r="C53" s="831"/>
      <c r="D53" s="633" t="s">
        <v>201</v>
      </c>
      <c r="E53" s="828"/>
    </row>
    <row r="54" spans="1:7" ht="15.75" hidden="1" customHeight="1">
      <c r="A54" s="633" t="s">
        <v>202</v>
      </c>
      <c r="B54" s="828"/>
      <c r="C54" s="831"/>
      <c r="D54" s="633" t="s">
        <v>202</v>
      </c>
      <c r="E54" s="828"/>
    </row>
    <row r="55" spans="1:7" ht="15.75" hidden="1" customHeight="1">
      <c r="A55" s="633" t="s">
        <v>203</v>
      </c>
      <c r="B55" s="828"/>
      <c r="C55" s="831"/>
      <c r="D55" s="633" t="s">
        <v>203</v>
      </c>
      <c r="E55" s="828"/>
    </row>
    <row r="56" spans="1:7" ht="15.75" hidden="1" customHeight="1">
      <c r="A56" s="643"/>
      <c r="B56" s="824"/>
      <c r="C56" s="831"/>
      <c r="D56" s="643"/>
      <c r="E56" s="824"/>
    </row>
    <row r="57" spans="1:7" ht="15.75" hidden="1" customHeight="1">
      <c r="A57" s="633" t="s">
        <v>58</v>
      </c>
      <c r="B57" s="828"/>
      <c r="C57" s="831"/>
      <c r="D57" s="633" t="s">
        <v>58</v>
      </c>
      <c r="E57" s="828"/>
    </row>
    <row r="58" spans="1:7" ht="15.75" hidden="1" customHeight="1">
      <c r="A58" s="633" t="s">
        <v>205</v>
      </c>
      <c r="B58" s="828"/>
      <c r="C58" s="831"/>
      <c r="D58" s="633" t="s">
        <v>205</v>
      </c>
      <c r="E58" s="828"/>
    </row>
    <row r="59" spans="1:7" ht="15.75" hidden="1" customHeight="1">
      <c r="A59" s="633" t="s">
        <v>206</v>
      </c>
      <c r="B59" s="828"/>
      <c r="C59" s="831"/>
      <c r="D59" s="633" t="s">
        <v>206</v>
      </c>
      <c r="E59" s="828"/>
    </row>
    <row r="60" spans="1:7" ht="15.75" hidden="1" customHeight="1">
      <c r="A60" s="633" t="s">
        <v>207</v>
      </c>
      <c r="B60" s="828"/>
      <c r="C60" s="831"/>
      <c r="D60" s="633" t="s">
        <v>207</v>
      </c>
      <c r="E60" s="828"/>
    </row>
    <row r="61" spans="1:7" ht="15.75" hidden="1" customHeight="1">
      <c r="A61" s="633" t="s">
        <v>208</v>
      </c>
      <c r="B61" s="828"/>
      <c r="C61" s="831"/>
      <c r="D61" s="633" t="s">
        <v>208</v>
      </c>
      <c r="E61" s="828"/>
    </row>
    <row r="62" spans="1:7" ht="15.75" hidden="1" customHeight="1">
      <c r="A62" s="633" t="s">
        <v>209</v>
      </c>
      <c r="B62" s="828"/>
      <c r="C62" s="831"/>
      <c r="D62" s="633" t="s">
        <v>209</v>
      </c>
      <c r="E62" s="828"/>
    </row>
    <row r="63" spans="1:7" ht="15.75" hidden="1" customHeight="1">
      <c r="A63" s="633" t="s">
        <v>210</v>
      </c>
      <c r="B63" s="828"/>
      <c r="C63" s="831"/>
      <c r="D63" s="633" t="s">
        <v>210</v>
      </c>
      <c r="E63" s="828"/>
    </row>
    <row r="64" spans="1:7" ht="15.75" hidden="1" customHeight="1">
      <c r="A64" s="643"/>
      <c r="B64" s="824"/>
      <c r="C64" s="831"/>
      <c r="D64" s="643"/>
      <c r="E64" s="824"/>
    </row>
    <row r="65" spans="1:5" ht="16.5" hidden="1" customHeight="1">
      <c r="A65" s="772" t="s">
        <v>211</v>
      </c>
      <c r="B65" s="828"/>
      <c r="C65" s="831"/>
      <c r="D65" s="772" t="s">
        <v>211</v>
      </c>
      <c r="E65" s="828"/>
    </row>
    <row r="66" spans="1:5" ht="15.75" hidden="1" customHeight="1">
      <c r="A66" s="643" t="s">
        <v>212</v>
      </c>
      <c r="B66" s="824"/>
      <c r="C66" s="831"/>
      <c r="D66" s="643" t="s">
        <v>212</v>
      </c>
      <c r="E66" s="824"/>
    </row>
    <row r="67" spans="1:5" ht="15.75" hidden="1" customHeight="1">
      <c r="A67" s="643" t="s">
        <v>213</v>
      </c>
      <c r="B67" s="824"/>
      <c r="C67" s="831"/>
      <c r="D67" s="643" t="s">
        <v>213</v>
      </c>
      <c r="E67" s="824"/>
    </row>
    <row r="68" spans="1:5" ht="15.75" hidden="1" customHeight="1">
      <c r="A68" s="643" t="s">
        <v>52</v>
      </c>
      <c r="B68" s="824"/>
      <c r="C68" s="831"/>
      <c r="D68" s="643" t="s">
        <v>52</v>
      </c>
      <c r="E68" s="824"/>
    </row>
    <row r="69" spans="1:5" ht="15.75" hidden="1" customHeight="1">
      <c r="A69" s="643" t="s">
        <v>214</v>
      </c>
      <c r="B69" s="824"/>
      <c r="C69" s="831"/>
      <c r="D69" s="643" t="s">
        <v>214</v>
      </c>
      <c r="E69" s="824"/>
    </row>
    <row r="70" spans="1:5" ht="15.75" hidden="1" customHeight="1">
      <c r="A70" s="643" t="s">
        <v>215</v>
      </c>
      <c r="B70" s="824"/>
      <c r="C70" s="831"/>
      <c r="D70" s="643" t="s">
        <v>215</v>
      </c>
      <c r="E70" s="824"/>
    </row>
    <row r="71" spans="1:5" ht="15.75" hidden="1" customHeight="1">
      <c r="A71" s="643" t="s">
        <v>125</v>
      </c>
      <c r="B71" s="824"/>
      <c r="C71" s="831"/>
      <c r="D71" s="643" t="s">
        <v>125</v>
      </c>
      <c r="E71" s="824"/>
    </row>
    <row r="72" spans="1:5" ht="15.75" hidden="1" customHeight="1">
      <c r="A72" s="633"/>
      <c r="B72" s="828"/>
      <c r="C72" s="831"/>
      <c r="D72" s="633"/>
      <c r="E72" s="828"/>
    </row>
    <row r="73" spans="1:5" ht="15.75" hidden="1" customHeight="1">
      <c r="A73" s="633"/>
      <c r="B73" s="828"/>
      <c r="C73" s="831"/>
      <c r="D73" s="633"/>
      <c r="E73" s="828"/>
    </row>
    <row r="74" spans="1:5" ht="18.75" customHeight="1">
      <c r="C74" s="651"/>
    </row>
    <row r="75" spans="1:5" ht="18.75" customHeight="1">
      <c r="C75" s="651"/>
    </row>
    <row r="76" spans="1:5" ht="18.75" customHeight="1">
      <c r="C76" s="651"/>
    </row>
    <row r="77" spans="1:5" ht="18.75" customHeight="1">
      <c r="C77" s="651"/>
    </row>
    <row r="78" spans="1:5" ht="18.75" customHeight="1">
      <c r="C78" s="651"/>
    </row>
    <row r="79" spans="1:5" ht="18.75" customHeight="1">
      <c r="C79" s="651"/>
    </row>
    <row r="80" spans="1:5" ht="18.75" customHeight="1">
      <c r="C80" s="651"/>
    </row>
    <row r="81" spans="3:3" ht="18.75" customHeight="1">
      <c r="C81" s="651"/>
    </row>
    <row r="82" spans="3:3" ht="18.75" customHeight="1"/>
    <row r="83" spans="3:3" ht="18.75" customHeight="1"/>
    <row r="84" spans="3:3" ht="24" customHeight="1"/>
    <row r="85" spans="3:3" ht="24" customHeight="1"/>
    <row r="86" spans="3:3" ht="24" customHeight="1"/>
    <row r="87" spans="3:3" ht="24" customHeight="1"/>
    <row r="88" spans="3:3" ht="24" customHeight="1"/>
    <row r="89" spans="3:3" ht="15.75" customHeight="1"/>
  </sheetData>
  <mergeCells count="1">
    <mergeCell ref="F8:G8"/>
  </mergeCells>
  <pageMargins left="0.70000000000000007" right="0.70000000000000007" top="1.1437007874015745" bottom="1.1437007874015745" header="0.74999999999999989" footer="0.74999999999999989"/>
  <pageSetup scale="82" fitToWidth="0" fitToHeight="0" orientation="portrait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00FF00"/>
  </sheetPr>
  <dimension ref="A1:BB67"/>
  <sheetViews>
    <sheetView workbookViewId="0">
      <selection activeCell="B19" sqref="B19:B26"/>
    </sheetView>
  </sheetViews>
  <sheetFormatPr defaultColWidth="8.7109375" defaultRowHeight="15.75"/>
  <cols>
    <col min="1" max="1" width="42.140625" style="629" customWidth="1"/>
    <col min="2" max="2" width="20.7109375" style="629" bestFit="1" customWidth="1"/>
    <col min="3" max="3" width="4.5703125" style="629" customWidth="1"/>
    <col min="4" max="4" width="3.7109375" style="629" customWidth="1"/>
    <col min="5" max="5" width="36" style="629" bestFit="1" customWidth="1"/>
    <col min="6" max="6" width="20.7109375" style="629" bestFit="1" customWidth="1"/>
    <col min="7" max="7" width="2.42578125" style="629" bestFit="1" customWidth="1"/>
    <col min="8" max="8" width="12.28515625" style="629" bestFit="1" customWidth="1"/>
    <col min="9" max="9" width="11.140625" style="629" bestFit="1" customWidth="1"/>
    <col min="10" max="10" width="6.28515625" style="629" customWidth="1"/>
    <col min="11" max="11" width="7.42578125" style="629" customWidth="1"/>
    <col min="12" max="19" width="3" style="629" customWidth="1"/>
    <col min="20" max="20" width="0.42578125" style="629" customWidth="1"/>
    <col min="21" max="26" width="3" style="629" customWidth="1"/>
    <col min="27" max="27" width="3.140625" style="629" customWidth="1"/>
    <col min="28" max="28" width="3.5703125" style="629" customWidth="1"/>
    <col min="29" max="29" width="0.85546875" style="629" customWidth="1"/>
    <col min="30" max="36" width="3" style="629" customWidth="1"/>
    <col min="37" max="37" width="0.42578125" style="629" customWidth="1"/>
    <col min="38" max="45" width="3" style="629" customWidth="1"/>
    <col min="46" max="46" width="0.28515625" style="629" customWidth="1"/>
    <col min="47" max="16384" width="8.7109375" style="629"/>
  </cols>
  <sheetData>
    <row r="1" spans="1:54">
      <c r="A1" s="629" t="s">
        <v>804</v>
      </c>
      <c r="E1" s="629" t="s">
        <v>782</v>
      </c>
    </row>
    <row r="2" spans="1:54">
      <c r="A2" s="849"/>
      <c r="B2" s="849"/>
      <c r="C2" s="849"/>
      <c r="E2" s="849"/>
      <c r="F2" s="849"/>
      <c r="G2" s="849"/>
    </row>
    <row r="3" spans="1:54">
      <c r="A3" s="631" t="s">
        <v>0</v>
      </c>
      <c r="B3" s="795" t="s">
        <v>111</v>
      </c>
      <c r="C3" s="795" t="s">
        <v>220</v>
      </c>
      <c r="E3" s="631" t="s">
        <v>0</v>
      </c>
      <c r="F3" s="795" t="s">
        <v>111</v>
      </c>
      <c r="G3" s="795" t="s">
        <v>220</v>
      </c>
    </row>
    <row r="4" spans="1:54">
      <c r="A4" s="631"/>
      <c r="B4" s="795" t="s">
        <v>221</v>
      </c>
      <c r="C4" s="795"/>
      <c r="E4" s="631"/>
      <c r="F4" s="795" t="s">
        <v>221</v>
      </c>
      <c r="G4" s="795"/>
    </row>
    <row r="5" spans="1:54">
      <c r="A5" s="631" t="s">
        <v>4</v>
      </c>
      <c r="B5" s="796">
        <f>0.02</f>
        <v>0.02</v>
      </c>
      <c r="C5" s="795" t="s">
        <v>222</v>
      </c>
      <c r="E5" s="631" t="s">
        <v>4</v>
      </c>
      <c r="F5" s="796">
        <f>0.02</f>
        <v>0.02</v>
      </c>
      <c r="G5" s="795" t="s">
        <v>222</v>
      </c>
    </row>
    <row r="6" spans="1:54" ht="12.75" hidden="1" customHeight="1"/>
    <row r="7" spans="1:54" ht="17.25" thickBot="1">
      <c r="A7" s="635" t="s">
        <v>5</v>
      </c>
      <c r="B7" s="797">
        <v>15</v>
      </c>
      <c r="E7" s="635" t="s">
        <v>5</v>
      </c>
      <c r="F7" s="797">
        <v>15</v>
      </c>
    </row>
    <row r="8" spans="1:54" ht="24" customHeight="1" thickBot="1">
      <c r="A8" s="637" t="s">
        <v>6</v>
      </c>
      <c r="B8" s="850" t="s">
        <v>223</v>
      </c>
      <c r="C8" s="851"/>
      <c r="D8" s="852"/>
      <c r="E8" s="637" t="s">
        <v>6</v>
      </c>
      <c r="F8" s="850" t="s">
        <v>223</v>
      </c>
      <c r="G8" s="853"/>
      <c r="H8" s="1081" t="s">
        <v>779</v>
      </c>
      <c r="I8" s="1082"/>
    </row>
    <row r="9" spans="1:54" ht="24" customHeight="1">
      <c r="A9" s="633" t="s">
        <v>224</v>
      </c>
      <c r="B9" s="811"/>
      <c r="C9" s="633">
        <v>0</v>
      </c>
      <c r="E9" s="633" t="s">
        <v>224</v>
      </c>
      <c r="F9" s="811"/>
      <c r="G9" s="639"/>
      <c r="H9" s="854"/>
      <c r="I9" s="855"/>
      <c r="AT9" s="856"/>
    </row>
    <row r="10" spans="1:54" ht="24" hidden="1" customHeight="1">
      <c r="A10" s="633" t="s">
        <v>12</v>
      </c>
      <c r="B10" s="811"/>
      <c r="C10" s="633"/>
      <c r="E10" s="633" t="s">
        <v>12</v>
      </c>
      <c r="F10" s="811"/>
      <c r="G10" s="639"/>
      <c r="H10" s="857"/>
      <c r="I10" s="858"/>
      <c r="AT10" s="659"/>
      <c r="AU10" s="647"/>
      <c r="AV10" s="647"/>
      <c r="AW10" s="647"/>
      <c r="AX10" s="647"/>
      <c r="AY10" s="647"/>
      <c r="AZ10" s="647"/>
      <c r="BA10" s="647"/>
      <c r="BB10" s="647"/>
    </row>
    <row r="11" spans="1:54" ht="24" hidden="1" customHeight="1">
      <c r="A11" s="633" t="s">
        <v>225</v>
      </c>
      <c r="B11" s="811"/>
      <c r="C11" s="633"/>
      <c r="E11" s="633" t="s">
        <v>225</v>
      </c>
      <c r="F11" s="811"/>
      <c r="G11" s="639"/>
      <c r="H11" s="859"/>
      <c r="I11" s="858"/>
      <c r="AT11" s="659"/>
      <c r="AU11" s="647"/>
      <c r="AV11" s="647"/>
      <c r="AW11" s="647"/>
      <c r="AX11" s="647"/>
      <c r="AY11" s="647"/>
      <c r="AZ11" s="647"/>
      <c r="BA11" s="647"/>
      <c r="BB11" s="647"/>
    </row>
    <row r="12" spans="1:54" ht="24" hidden="1" customHeight="1">
      <c r="A12" s="633" t="s">
        <v>226</v>
      </c>
      <c r="B12" s="811"/>
      <c r="C12" s="633"/>
      <c r="E12" s="633" t="s">
        <v>226</v>
      </c>
      <c r="F12" s="811"/>
      <c r="G12" s="639"/>
      <c r="H12" s="859"/>
      <c r="I12" s="858"/>
      <c r="J12" s="629" t="s">
        <v>778</v>
      </c>
      <c r="AT12" s="659"/>
      <c r="AU12" s="647"/>
      <c r="AV12" s="647"/>
      <c r="AW12" s="647"/>
      <c r="AX12" s="647"/>
      <c r="AY12" s="647"/>
      <c r="AZ12" s="647"/>
      <c r="BA12" s="647"/>
      <c r="BB12" s="647"/>
    </row>
    <row r="13" spans="1:54" ht="24" hidden="1" customHeight="1">
      <c r="A13" s="633" t="s">
        <v>227</v>
      </c>
      <c r="B13" s="829"/>
      <c r="C13" s="633"/>
      <c r="E13" s="633" t="s">
        <v>227</v>
      </c>
      <c r="F13" s="829"/>
      <c r="G13" s="639"/>
      <c r="H13" s="859"/>
      <c r="I13" s="858"/>
      <c r="AT13" s="659"/>
      <c r="AU13" s="647"/>
      <c r="AV13" s="647"/>
      <c r="AW13" s="647"/>
      <c r="AX13" s="647"/>
      <c r="AY13" s="647"/>
      <c r="AZ13" s="647"/>
      <c r="BA13" s="647"/>
      <c r="BB13" s="647"/>
    </row>
    <row r="14" spans="1:54" ht="24" hidden="1" customHeight="1">
      <c r="A14" s="633" t="s">
        <v>228</v>
      </c>
      <c r="B14" s="829"/>
      <c r="C14" s="633"/>
      <c r="E14" s="633" t="s">
        <v>228</v>
      </c>
      <c r="F14" s="829"/>
      <c r="G14" s="639"/>
      <c r="H14" s="859"/>
      <c r="I14" s="858"/>
      <c r="AT14" s="659"/>
      <c r="AU14" s="647"/>
      <c r="AV14" s="647"/>
      <c r="AW14" s="647"/>
      <c r="AX14" s="647"/>
      <c r="AY14" s="647"/>
      <c r="AZ14" s="647"/>
      <c r="BA14" s="647"/>
      <c r="BB14" s="647"/>
    </row>
    <row r="15" spans="1:54" ht="24" hidden="1" customHeight="1">
      <c r="B15" s="731"/>
      <c r="F15" s="731"/>
      <c r="H15" s="859"/>
      <c r="I15" s="858"/>
      <c r="AT15" s="659"/>
      <c r="AU15" s="647"/>
      <c r="AV15" s="647"/>
      <c r="AW15" s="647"/>
      <c r="AX15" s="647"/>
      <c r="AY15" s="647"/>
      <c r="AZ15" s="647"/>
      <c r="BA15" s="647"/>
      <c r="BB15" s="647"/>
    </row>
    <row r="16" spans="1:54" ht="24" hidden="1" customHeight="1">
      <c r="A16" s="643" t="s">
        <v>229</v>
      </c>
      <c r="B16" s="860"/>
      <c r="C16" s="643"/>
      <c r="E16" s="643" t="s">
        <v>229</v>
      </c>
      <c r="F16" s="861"/>
      <c r="G16" s="742"/>
      <c r="H16" s="862"/>
      <c r="I16" s="863"/>
      <c r="AT16" s="659"/>
      <c r="AU16" s="647"/>
      <c r="AV16" s="647"/>
      <c r="AW16" s="647"/>
      <c r="AX16" s="647"/>
      <c r="AY16" s="647"/>
      <c r="AZ16" s="647"/>
      <c r="BA16" s="647"/>
      <c r="BB16" s="647"/>
    </row>
    <row r="17" spans="1:54" ht="24" hidden="1" customHeight="1">
      <c r="A17" s="643" t="s">
        <v>212</v>
      </c>
      <c r="B17" s="860"/>
      <c r="C17" s="643"/>
      <c r="E17" s="643" t="s">
        <v>212</v>
      </c>
      <c r="F17" s="861"/>
      <c r="G17" s="742"/>
      <c r="H17" s="859"/>
      <c r="I17" s="858"/>
      <c r="AT17" s="659"/>
      <c r="AU17" s="647"/>
      <c r="AV17" s="647"/>
      <c r="AW17" s="647"/>
      <c r="AX17" s="647"/>
      <c r="AY17" s="647"/>
      <c r="AZ17" s="647"/>
      <c r="BA17" s="647"/>
      <c r="BB17" s="647"/>
    </row>
    <row r="18" spans="1:54" ht="24" hidden="1" customHeight="1">
      <c r="A18" s="643" t="s">
        <v>230</v>
      </c>
      <c r="B18" s="860">
        <v>0</v>
      </c>
      <c r="C18" s="643"/>
      <c r="E18" s="643" t="s">
        <v>230</v>
      </c>
      <c r="F18" s="861">
        <v>0</v>
      </c>
      <c r="G18" s="742"/>
      <c r="H18" s="859"/>
      <c r="I18" s="858"/>
      <c r="AT18" s="659"/>
      <c r="AU18" s="647"/>
      <c r="AV18" s="647"/>
      <c r="AW18" s="647"/>
      <c r="AX18" s="647"/>
      <c r="AY18" s="647"/>
      <c r="AZ18" s="647"/>
      <c r="BA18" s="647"/>
      <c r="BB18" s="647"/>
    </row>
    <row r="19" spans="1:54" ht="24" customHeight="1">
      <c r="A19" s="724" t="s">
        <v>231</v>
      </c>
      <c r="B19" s="725">
        <v>41712000</v>
      </c>
      <c r="C19" s="864"/>
      <c r="E19" s="724" t="s">
        <v>231</v>
      </c>
      <c r="F19" s="725">
        <f>'15'!$B$18</f>
        <v>43701000</v>
      </c>
      <c r="G19" s="865"/>
      <c r="H19" s="866">
        <f>F19-B19</f>
        <v>1989000</v>
      </c>
      <c r="I19" s="867">
        <f>+H19*0.02</f>
        <v>39780</v>
      </c>
      <c r="K19" s="868">
        <f>I16-I24</f>
        <v>-56324.160000000003</v>
      </c>
      <c r="AT19" s="659"/>
      <c r="AU19" s="647"/>
      <c r="AV19" s="647"/>
      <c r="AW19" s="647"/>
      <c r="AX19" s="647"/>
      <c r="AY19" s="647"/>
      <c r="AZ19" s="647"/>
      <c r="BA19" s="647"/>
      <c r="BB19" s="647"/>
    </row>
    <row r="20" spans="1:54" ht="24" customHeight="1">
      <c r="A20" s="724" t="s">
        <v>232</v>
      </c>
      <c r="B20" s="725">
        <v>29224208</v>
      </c>
      <c r="C20" s="864"/>
      <c r="E20" s="724" t="s">
        <v>232</v>
      </c>
      <c r="F20" s="725">
        <f>'15'!$B$19</f>
        <v>30956527</v>
      </c>
      <c r="G20" s="865"/>
      <c r="H20" s="866">
        <f>F20-B20</f>
        <v>1732319</v>
      </c>
      <c r="I20" s="867">
        <f>+H20*0.02</f>
        <v>34646.379999999997</v>
      </c>
      <c r="AT20" s="659"/>
      <c r="AU20" s="647"/>
      <c r="AV20" s="647"/>
      <c r="AW20" s="647"/>
      <c r="AX20" s="647"/>
      <c r="AY20" s="647"/>
      <c r="AZ20" s="647"/>
      <c r="BA20" s="647"/>
      <c r="BB20" s="647"/>
    </row>
    <row r="21" spans="1:54" ht="24" customHeight="1">
      <c r="A21" s="633" t="s">
        <v>29</v>
      </c>
      <c r="B21" s="789"/>
      <c r="C21" s="643"/>
      <c r="E21" s="633" t="s">
        <v>29</v>
      </c>
      <c r="F21" s="789"/>
      <c r="G21" s="742"/>
      <c r="H21" s="869"/>
      <c r="I21" s="870"/>
      <c r="AT21" s="659"/>
    </row>
    <row r="22" spans="1:54" ht="24" customHeight="1">
      <c r="A22" s="724" t="s">
        <v>233</v>
      </c>
      <c r="B22" s="725">
        <v>59312047</v>
      </c>
      <c r="C22" s="643"/>
      <c r="E22" s="724" t="s">
        <v>233</v>
      </c>
      <c r="F22" s="725">
        <f>'15'!$B$21</f>
        <v>62339395</v>
      </c>
      <c r="G22" s="742"/>
      <c r="H22" s="871"/>
      <c r="I22" s="872"/>
      <c r="AT22" s="659"/>
    </row>
    <row r="23" spans="1:54" ht="24" customHeight="1">
      <c r="A23" s="643" t="s">
        <v>213</v>
      </c>
      <c r="B23" s="788"/>
      <c r="C23" s="643"/>
      <c r="E23" s="643" t="s">
        <v>213</v>
      </c>
      <c r="F23" s="788"/>
      <c r="G23" s="742"/>
      <c r="H23" s="869"/>
      <c r="I23" s="870"/>
      <c r="AT23" s="659"/>
    </row>
    <row r="24" spans="1:54" ht="24" customHeight="1">
      <c r="A24" s="724" t="s">
        <v>234</v>
      </c>
      <c r="B24" s="725">
        <v>56392627</v>
      </c>
      <c r="C24" s="864"/>
      <c r="E24" s="724" t="s">
        <v>234</v>
      </c>
      <c r="F24" s="725">
        <f>'15'!$B$23</f>
        <v>59208835</v>
      </c>
      <c r="G24" s="865"/>
      <c r="H24" s="866">
        <f>F24-B24</f>
        <v>2816208</v>
      </c>
      <c r="I24" s="867">
        <f>+H24*0.02</f>
        <v>56324.160000000003</v>
      </c>
      <c r="AT24" s="659"/>
    </row>
    <row r="25" spans="1:54" ht="24" customHeight="1">
      <c r="A25" s="724" t="s">
        <v>235</v>
      </c>
      <c r="B25" s="725">
        <v>2919420</v>
      </c>
      <c r="C25" s="643"/>
      <c r="E25" s="724" t="s">
        <v>235</v>
      </c>
      <c r="F25" s="725">
        <f>'15'!$B$24</f>
        <v>3130560</v>
      </c>
      <c r="G25" s="742"/>
      <c r="H25" s="866">
        <f>F25-B25</f>
        <v>211140</v>
      </c>
      <c r="I25" s="867">
        <f>H25*F5</f>
        <v>4222.8</v>
      </c>
      <c r="AT25" s="659"/>
    </row>
    <row r="26" spans="1:54" ht="24" customHeight="1">
      <c r="A26" s="724" t="s">
        <v>236</v>
      </c>
      <c r="B26" s="725">
        <v>0</v>
      </c>
      <c r="C26" s="643"/>
      <c r="E26" s="724" t="s">
        <v>236</v>
      </c>
      <c r="F26" s="725">
        <f>'15'!$B$25</f>
        <v>0</v>
      </c>
      <c r="G26" s="742"/>
      <c r="H26" s="866">
        <f>F26-B26</f>
        <v>0</v>
      </c>
      <c r="I26" s="867">
        <f>H26*F5</f>
        <v>0</v>
      </c>
      <c r="AT26" s="659"/>
    </row>
    <row r="27" spans="1:54" ht="8.25" customHeight="1" thickBot="1">
      <c r="A27" s="643"/>
      <c r="B27" s="860"/>
      <c r="C27" s="643"/>
      <c r="E27" s="643"/>
      <c r="F27" s="860"/>
      <c r="G27" s="742"/>
      <c r="H27" s="873"/>
      <c r="I27" s="874"/>
      <c r="AT27" s="659"/>
    </row>
    <row r="28" spans="1:54" ht="24" hidden="1" customHeight="1">
      <c r="A28" s="643" t="s">
        <v>237</v>
      </c>
      <c r="B28" s="860"/>
      <c r="C28" s="643"/>
      <c r="E28" s="643" t="s">
        <v>237</v>
      </c>
      <c r="F28" s="860"/>
      <c r="G28" s="643"/>
      <c r="H28" s="651"/>
      <c r="I28" s="651"/>
      <c r="AT28" s="659"/>
    </row>
    <row r="29" spans="1:54" ht="24" hidden="1" customHeight="1">
      <c r="A29" s="643" t="s">
        <v>238</v>
      </c>
      <c r="B29" s="860"/>
      <c r="C29" s="643"/>
      <c r="E29" s="643" t="s">
        <v>238</v>
      </c>
      <c r="F29" s="860"/>
      <c r="G29" s="643"/>
      <c r="H29" s="651"/>
      <c r="I29" s="651"/>
      <c r="AT29" s="659"/>
    </row>
    <row r="30" spans="1:54" ht="24" hidden="1" customHeight="1">
      <c r="A30" s="643" t="s">
        <v>239</v>
      </c>
      <c r="B30" s="860"/>
      <c r="C30" s="643"/>
      <c r="E30" s="643" t="s">
        <v>239</v>
      </c>
      <c r="F30" s="860"/>
      <c r="G30" s="643"/>
      <c r="AT30" s="659"/>
    </row>
    <row r="31" spans="1:54" ht="24" hidden="1" customHeight="1">
      <c r="A31" s="875"/>
      <c r="B31" s="876"/>
      <c r="C31" s="875"/>
      <c r="D31" s="875"/>
      <c r="E31" s="875"/>
      <c r="F31" s="876"/>
      <c r="G31" s="875"/>
      <c r="H31" s="875"/>
      <c r="I31" s="875"/>
      <c r="AT31" s="659"/>
    </row>
    <row r="32" spans="1:54" ht="24" hidden="1" customHeight="1">
      <c r="A32" s="643" t="s">
        <v>240</v>
      </c>
      <c r="B32" s="860">
        <v>0</v>
      </c>
      <c r="C32" s="643"/>
      <c r="E32" s="643" t="s">
        <v>240</v>
      </c>
      <c r="F32" s="860">
        <v>0</v>
      </c>
      <c r="G32" s="643"/>
      <c r="AT32" s="659"/>
    </row>
    <row r="33" spans="1:46" ht="24" hidden="1" customHeight="1">
      <c r="A33" s="651"/>
      <c r="B33" s="734"/>
      <c r="C33" s="651"/>
      <c r="E33" s="651"/>
      <c r="F33" s="734"/>
      <c r="G33" s="651"/>
      <c r="AT33" s="659"/>
    </row>
    <row r="34" spans="1:46" ht="24" hidden="1" customHeight="1">
      <c r="A34" s="643" t="s">
        <v>58</v>
      </c>
      <c r="B34" s="860"/>
      <c r="C34" s="643"/>
      <c r="E34" s="643" t="s">
        <v>58</v>
      </c>
      <c r="F34" s="860"/>
      <c r="G34" s="643"/>
      <c r="AT34" s="659"/>
    </row>
    <row r="35" spans="1:46" ht="24" hidden="1" customHeight="1">
      <c r="A35" s="643" t="s">
        <v>241</v>
      </c>
      <c r="B35" s="860"/>
      <c r="C35" s="643"/>
      <c r="E35" s="643" t="s">
        <v>241</v>
      </c>
      <c r="F35" s="860"/>
      <c r="G35" s="643"/>
      <c r="AT35" s="659"/>
    </row>
    <row r="36" spans="1:46" ht="24" hidden="1" customHeight="1">
      <c r="A36" s="643" t="s">
        <v>206</v>
      </c>
      <c r="B36" s="860"/>
      <c r="C36" s="643"/>
      <c r="E36" s="643" t="s">
        <v>206</v>
      </c>
      <c r="F36" s="860"/>
      <c r="G36" s="643"/>
      <c r="AT36" s="659"/>
    </row>
    <row r="37" spans="1:46" ht="24" hidden="1" customHeight="1">
      <c r="A37" s="651"/>
      <c r="B37" s="734"/>
      <c r="C37" s="651"/>
      <c r="E37" s="651"/>
      <c r="F37" s="734"/>
      <c r="G37" s="651"/>
      <c r="AT37" s="659"/>
    </row>
    <row r="38" spans="1:46" ht="24" hidden="1" customHeight="1">
      <c r="A38" s="643" t="s">
        <v>115</v>
      </c>
      <c r="B38" s="860"/>
      <c r="C38" s="643"/>
      <c r="E38" s="643" t="s">
        <v>115</v>
      </c>
      <c r="F38" s="860"/>
      <c r="G38" s="643"/>
      <c r="AT38" s="659"/>
    </row>
    <row r="39" spans="1:46" ht="24" hidden="1" customHeight="1">
      <c r="A39" s="643" t="s">
        <v>242</v>
      </c>
      <c r="B39" s="860"/>
      <c r="C39" s="643"/>
      <c r="E39" s="643" t="s">
        <v>242</v>
      </c>
      <c r="F39" s="860"/>
      <c r="G39" s="643"/>
      <c r="AT39" s="659"/>
    </row>
    <row r="40" spans="1:46" ht="24" hidden="1" customHeight="1">
      <c r="A40" s="643" t="s">
        <v>117</v>
      </c>
      <c r="B40" s="860"/>
      <c r="C40" s="643"/>
      <c r="E40" s="643" t="s">
        <v>117</v>
      </c>
      <c r="F40" s="860"/>
      <c r="G40" s="643"/>
      <c r="AT40" s="659"/>
    </row>
    <row r="41" spans="1:46" ht="8.25" hidden="1" customHeight="1">
      <c r="A41" s="643"/>
      <c r="B41" s="860"/>
      <c r="C41" s="643"/>
      <c r="E41" s="643"/>
      <c r="F41" s="860"/>
      <c r="G41" s="643"/>
      <c r="AT41" s="659"/>
    </row>
    <row r="42" spans="1:46" ht="24" hidden="1" customHeight="1">
      <c r="A42" s="651"/>
      <c r="B42" s="734"/>
      <c r="C42" s="651"/>
      <c r="E42" s="651"/>
      <c r="F42" s="734"/>
      <c r="G42" s="651"/>
      <c r="AT42" s="659"/>
    </row>
    <row r="43" spans="1:46" ht="24" hidden="1" customHeight="1">
      <c r="A43" s="643" t="s">
        <v>243</v>
      </c>
      <c r="B43" s="877"/>
      <c r="C43" s="643"/>
      <c r="E43" s="643" t="s">
        <v>243</v>
      </c>
      <c r="F43" s="877"/>
      <c r="G43" s="643"/>
      <c r="AT43" s="659"/>
    </row>
    <row r="44" spans="1:46" ht="24" hidden="1" customHeight="1">
      <c r="A44" s="643" t="s">
        <v>244</v>
      </c>
      <c r="B44" s="877"/>
      <c r="C44" s="643"/>
      <c r="E44" s="643" t="s">
        <v>244</v>
      </c>
      <c r="F44" s="877"/>
      <c r="G44" s="643"/>
      <c r="AT44" s="659"/>
    </row>
    <row r="45" spans="1:46" hidden="1">
      <c r="A45" s="651"/>
      <c r="B45" s="651"/>
      <c r="C45" s="651"/>
      <c r="E45" s="651"/>
      <c r="F45" s="651"/>
      <c r="G45" s="651"/>
    </row>
    <row r="46" spans="1:46" hidden="1">
      <c r="A46" s="643" t="s">
        <v>245</v>
      </c>
      <c r="B46" s="877"/>
      <c r="C46" s="651"/>
      <c r="E46" s="643" t="s">
        <v>245</v>
      </c>
      <c r="F46" s="877"/>
      <c r="G46" s="651"/>
    </row>
    <row r="47" spans="1:46" hidden="1">
      <c r="A47" s="643" t="s">
        <v>246</v>
      </c>
      <c r="B47" s="877"/>
      <c r="C47" s="878"/>
      <c r="E47" s="643" t="s">
        <v>246</v>
      </c>
      <c r="F47" s="877"/>
      <c r="G47" s="878"/>
    </row>
    <row r="48" spans="1:46" hidden="1">
      <c r="A48" s="643" t="s">
        <v>247</v>
      </c>
      <c r="B48" s="877"/>
      <c r="C48" s="651"/>
      <c r="E48" s="643" t="s">
        <v>247</v>
      </c>
      <c r="F48" s="877"/>
      <c r="G48" s="651"/>
    </row>
    <row r="49" spans="1:7" hidden="1">
      <c r="A49" s="643" t="s">
        <v>248</v>
      </c>
      <c r="B49" s="877"/>
      <c r="C49" s="645"/>
      <c r="E49" s="643" t="s">
        <v>248</v>
      </c>
      <c r="F49" s="877"/>
      <c r="G49" s="645"/>
    </row>
    <row r="50" spans="1:7" hidden="1">
      <c r="A50" s="633" t="s">
        <v>249</v>
      </c>
      <c r="B50" s="877"/>
      <c r="C50" s="651"/>
      <c r="E50" s="643" t="s">
        <v>249</v>
      </c>
      <c r="F50" s="877"/>
      <c r="G50" s="651"/>
    </row>
    <row r="51" spans="1:7" hidden="1">
      <c r="A51" s="633" t="s">
        <v>250</v>
      </c>
      <c r="B51" s="877"/>
      <c r="C51" s="645"/>
      <c r="E51" s="643" t="s">
        <v>250</v>
      </c>
      <c r="F51" s="877"/>
      <c r="G51" s="645"/>
    </row>
    <row r="52" spans="1:7" hidden="1">
      <c r="A52" s="633"/>
      <c r="B52" s="877"/>
      <c r="C52" s="651"/>
      <c r="E52" s="643"/>
      <c r="F52" s="877"/>
      <c r="G52" s="651"/>
    </row>
    <row r="53" spans="1:7" hidden="1">
      <c r="A53" s="633" t="s">
        <v>251</v>
      </c>
      <c r="B53" s="829"/>
      <c r="C53" s="651"/>
      <c r="E53" s="633" t="s">
        <v>251</v>
      </c>
      <c r="F53" s="829"/>
      <c r="G53" s="651"/>
    </row>
    <row r="54" spans="1:7" hidden="1">
      <c r="A54" s="633" t="s">
        <v>36</v>
      </c>
      <c r="B54" s="829"/>
      <c r="C54" s="651"/>
      <c r="E54" s="633" t="s">
        <v>36</v>
      </c>
      <c r="F54" s="829"/>
      <c r="G54" s="651"/>
    </row>
    <row r="55" spans="1:7" hidden="1">
      <c r="A55" s="633"/>
      <c r="B55" s="829"/>
      <c r="C55" s="879"/>
      <c r="E55" s="633"/>
      <c r="F55" s="829"/>
      <c r="G55" s="879"/>
    </row>
    <row r="56" spans="1:7" hidden="1">
      <c r="A56" s="633" t="s">
        <v>36</v>
      </c>
      <c r="B56" s="829"/>
      <c r="C56" s="651"/>
      <c r="E56" s="633" t="s">
        <v>36</v>
      </c>
      <c r="F56" s="829"/>
      <c r="G56" s="651"/>
    </row>
    <row r="57" spans="1:7" hidden="1">
      <c r="C57" s="879"/>
      <c r="G57" s="651"/>
    </row>
    <row r="58" spans="1:7" hidden="1">
      <c r="A58" s="647"/>
      <c r="G58" s="651"/>
    </row>
    <row r="59" spans="1:7" hidden="1"/>
    <row r="60" spans="1:7" hidden="1"/>
    <row r="61" spans="1:7" hidden="1"/>
    <row r="62" spans="1:7" hidden="1"/>
    <row r="63" spans="1:7" hidden="1"/>
    <row r="64" spans="1:7" hidden="1"/>
    <row r="65" hidden="1"/>
    <row r="66" hidden="1"/>
    <row r="67" hidden="1"/>
  </sheetData>
  <mergeCells count="1">
    <mergeCell ref="H8:I8"/>
  </mergeCells>
  <pageMargins left="0.70000000000000007" right="0.70000000000000007" top="1.1437007874015745" bottom="1.1437007874015745" header="0.74999999999999989" footer="0.74999999999999989"/>
  <pageSetup scale="71" fitToWidth="0" fitToHeight="0" orientation="portrait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00FF00"/>
  </sheetPr>
  <dimension ref="A1:BL29"/>
  <sheetViews>
    <sheetView workbookViewId="0">
      <selection activeCell="B18" sqref="B18:B25"/>
    </sheetView>
  </sheetViews>
  <sheetFormatPr defaultColWidth="8.7109375" defaultRowHeight="15.75"/>
  <cols>
    <col min="1" max="1" width="30.5703125" style="629" bestFit="1" customWidth="1"/>
    <col min="2" max="2" width="22.140625" style="629" bestFit="1" customWidth="1"/>
    <col min="3" max="3" width="2.42578125" style="629" bestFit="1" customWidth="1"/>
    <col min="4" max="4" width="3.7109375" style="629" customWidth="1"/>
    <col min="5" max="5" width="30.5703125" style="629" bestFit="1" customWidth="1"/>
    <col min="6" max="6" width="22.140625" style="629" bestFit="1" customWidth="1"/>
    <col min="7" max="7" width="2.42578125" style="629" bestFit="1" customWidth="1"/>
    <col min="8" max="8" width="12.140625" style="835" bestFit="1" customWidth="1"/>
    <col min="9" max="9" width="8.85546875" style="835" bestFit="1" customWidth="1"/>
    <col min="10" max="11" width="3.7109375" style="835" customWidth="1"/>
    <col min="12" max="12" width="0.42578125" style="835" customWidth="1"/>
    <col min="13" max="13" width="2.85546875" style="835" customWidth="1"/>
    <col min="14" max="16" width="3" style="629" customWidth="1"/>
    <col min="17" max="17" width="18.85546875" style="629" customWidth="1"/>
    <col min="18" max="20" width="3" style="629" customWidth="1"/>
    <col min="21" max="21" width="0.42578125" style="629" customWidth="1"/>
    <col min="22" max="29" width="3" style="629" customWidth="1"/>
    <col min="30" max="30" width="0.42578125" style="629" customWidth="1"/>
    <col min="31" max="36" width="3" style="629" customWidth="1"/>
    <col min="37" max="37" width="3.140625" style="629" customWidth="1"/>
    <col min="38" max="38" width="3.5703125" style="629" customWidth="1"/>
    <col min="39" max="39" width="0.85546875" style="629" customWidth="1"/>
    <col min="40" max="46" width="3" style="629" customWidth="1"/>
    <col min="47" max="47" width="0.42578125" style="629" customWidth="1"/>
    <col min="48" max="55" width="3" style="629" customWidth="1"/>
    <col min="56" max="56" width="0.28515625" style="629" customWidth="1"/>
    <col min="57" max="16384" width="8.7109375" style="629"/>
  </cols>
  <sheetData>
    <row r="1" spans="1:64">
      <c r="A1" s="626" t="s">
        <v>804</v>
      </c>
      <c r="B1" s="849"/>
      <c r="C1" s="849"/>
      <c r="E1" s="626" t="s">
        <v>748</v>
      </c>
      <c r="F1" s="849"/>
      <c r="G1" s="849"/>
      <c r="H1" s="882"/>
      <c r="I1" s="882"/>
      <c r="J1" s="883"/>
      <c r="K1" s="884"/>
      <c r="L1" s="884"/>
      <c r="M1" s="884"/>
    </row>
    <row r="2" spans="1:64">
      <c r="A2" s="631" t="s">
        <v>0</v>
      </c>
      <c r="B2" s="795" t="s">
        <v>111</v>
      </c>
      <c r="C2" s="795" t="s">
        <v>220</v>
      </c>
      <c r="E2" s="631" t="s">
        <v>0</v>
      </c>
      <c r="F2" s="795" t="s">
        <v>111</v>
      </c>
      <c r="G2" s="795" t="s">
        <v>220</v>
      </c>
      <c r="H2" s="882"/>
      <c r="I2" s="882"/>
      <c r="J2" s="885"/>
      <c r="K2" s="883"/>
      <c r="L2" s="885"/>
      <c r="M2" s="883"/>
      <c r="N2" s="626"/>
      <c r="P2" s="626"/>
      <c r="R2" s="626"/>
      <c r="T2" s="626"/>
      <c r="V2" s="626"/>
      <c r="X2" s="626"/>
      <c r="Z2" s="626"/>
      <c r="AB2" s="626"/>
      <c r="AD2" s="626"/>
      <c r="AF2" s="626"/>
    </row>
    <row r="3" spans="1:64">
      <c r="A3" s="631"/>
      <c r="B3" s="795" t="s">
        <v>221</v>
      </c>
      <c r="C3" s="795"/>
      <c r="E3" s="631"/>
      <c r="F3" s="795" t="s">
        <v>221</v>
      </c>
      <c r="G3" s="795"/>
      <c r="H3" s="882"/>
      <c r="I3" s="882"/>
      <c r="J3" s="886"/>
      <c r="K3" s="880"/>
      <c r="L3" s="886"/>
      <c r="M3" s="880"/>
      <c r="N3" s="887"/>
      <c r="O3" s="881"/>
      <c r="P3" s="887"/>
      <c r="Q3" s="881"/>
      <c r="R3" s="887"/>
      <c r="S3" s="881"/>
      <c r="T3" s="887"/>
      <c r="U3" s="881"/>
      <c r="V3" s="887"/>
      <c r="W3" s="881"/>
      <c r="X3" s="887"/>
      <c r="Y3" s="881"/>
      <c r="Z3" s="887"/>
      <c r="AA3" s="881"/>
      <c r="AB3" s="887"/>
      <c r="AC3" s="881"/>
      <c r="AD3" s="887"/>
      <c r="AE3" s="881"/>
      <c r="AF3" s="887"/>
      <c r="AG3" s="881"/>
    </row>
    <row r="4" spans="1:64">
      <c r="A4" s="631" t="s">
        <v>4</v>
      </c>
      <c r="B4" s="796">
        <f>0.02</f>
        <v>0.02</v>
      </c>
      <c r="C4" s="795" t="s">
        <v>222</v>
      </c>
      <c r="E4" s="631" t="s">
        <v>4</v>
      </c>
      <c r="F4" s="796">
        <f>0.02</f>
        <v>0.02</v>
      </c>
      <c r="G4" s="795" t="s">
        <v>222</v>
      </c>
      <c r="H4" s="882"/>
      <c r="I4" s="882"/>
      <c r="J4" s="886"/>
      <c r="K4" s="880"/>
      <c r="L4" s="886"/>
      <c r="M4" s="880"/>
      <c r="N4" s="887"/>
      <c r="O4" s="881"/>
      <c r="P4" s="887"/>
      <c r="Q4" s="881"/>
      <c r="R4" s="887"/>
      <c r="S4" s="881"/>
      <c r="T4" s="887"/>
      <c r="U4" s="881"/>
      <c r="V4" s="887"/>
      <c r="W4" s="881"/>
      <c r="X4" s="887"/>
      <c r="Y4" s="881"/>
      <c r="Z4" s="887"/>
      <c r="AA4" s="881"/>
      <c r="AB4" s="887"/>
      <c r="AC4" s="881"/>
      <c r="AD4" s="887"/>
      <c r="AE4" s="881"/>
      <c r="AF4" s="887"/>
      <c r="AG4" s="881"/>
    </row>
    <row r="5" spans="1:64" ht="12.75" customHeight="1">
      <c r="B5" s="888">
        <v>41519</v>
      </c>
      <c r="F5" s="888">
        <v>41519</v>
      </c>
      <c r="H5" s="882"/>
      <c r="I5" s="882"/>
      <c r="J5" s="886"/>
      <c r="K5" s="880"/>
      <c r="L5" s="886"/>
      <c r="M5" s="880"/>
      <c r="N5" s="887"/>
      <c r="O5" s="881"/>
      <c r="P5" s="887"/>
      <c r="Q5" s="881"/>
      <c r="R5" s="887"/>
      <c r="S5" s="881"/>
      <c r="T5" s="887"/>
      <c r="U5" s="881"/>
      <c r="V5" s="887"/>
      <c r="W5" s="881"/>
      <c r="X5" s="887"/>
      <c r="Y5" s="881"/>
      <c r="Z5" s="887"/>
      <c r="AA5" s="881"/>
      <c r="AB5" s="887"/>
      <c r="AC5" s="881"/>
      <c r="AD5" s="887"/>
      <c r="AE5" s="881"/>
      <c r="AF5" s="887"/>
      <c r="AG5" s="881"/>
    </row>
    <row r="6" spans="1:64" ht="17.25" thickBot="1">
      <c r="A6" s="635" t="s">
        <v>5</v>
      </c>
      <c r="B6" s="797">
        <v>12</v>
      </c>
      <c r="E6" s="635" t="s">
        <v>5</v>
      </c>
      <c r="F6" s="797">
        <v>12</v>
      </c>
      <c r="H6" s="882"/>
      <c r="I6" s="882"/>
      <c r="J6" s="883"/>
      <c r="K6" s="883"/>
      <c r="L6" s="883"/>
      <c r="M6" s="883"/>
      <c r="O6" s="888"/>
      <c r="Q6" s="888"/>
      <c r="S6" s="888"/>
      <c r="U6" s="888"/>
      <c r="W6" s="888"/>
      <c r="Y6" s="888"/>
      <c r="AA6" s="888"/>
      <c r="AC6" s="888"/>
      <c r="AE6" s="888"/>
      <c r="AG6" s="888"/>
    </row>
    <row r="7" spans="1:64" ht="24" customHeight="1" thickBot="1">
      <c r="A7" s="637" t="s">
        <v>6</v>
      </c>
      <c r="B7" s="850" t="s">
        <v>252</v>
      </c>
      <c r="C7" s="851"/>
      <c r="D7" s="852"/>
      <c r="E7" s="637" t="s">
        <v>6</v>
      </c>
      <c r="F7" s="850" t="s">
        <v>252</v>
      </c>
      <c r="G7" s="853"/>
      <c r="H7" s="1083" t="s">
        <v>779</v>
      </c>
      <c r="I7" s="1084"/>
      <c r="J7" s="886"/>
      <c r="K7" s="889"/>
      <c r="L7" s="886"/>
      <c r="M7" s="889"/>
      <c r="N7" s="887"/>
      <c r="O7" s="810"/>
      <c r="P7" s="887"/>
      <c r="Q7" s="810"/>
      <c r="R7" s="887"/>
      <c r="S7" s="810"/>
      <c r="T7" s="887"/>
      <c r="U7" s="810"/>
      <c r="V7" s="887"/>
      <c r="W7" s="810"/>
      <c r="X7" s="887"/>
      <c r="Y7" s="810"/>
      <c r="Z7" s="887"/>
      <c r="AA7" s="810"/>
      <c r="AB7" s="887"/>
      <c r="AC7" s="810"/>
      <c r="AD7" s="887"/>
      <c r="AE7" s="810"/>
      <c r="AF7" s="887"/>
      <c r="AG7" s="810"/>
    </row>
    <row r="8" spans="1:64" ht="24" customHeight="1">
      <c r="A8" s="633" t="s">
        <v>224</v>
      </c>
      <c r="B8" s="811"/>
      <c r="C8" s="633"/>
      <c r="E8" s="633" t="s">
        <v>224</v>
      </c>
      <c r="F8" s="811"/>
      <c r="G8" s="639"/>
      <c r="H8" s="890"/>
      <c r="I8" s="891"/>
      <c r="J8" s="892"/>
      <c r="K8" s="893"/>
      <c r="L8" s="892"/>
      <c r="M8" s="893"/>
      <c r="N8" s="894"/>
      <c r="O8" s="852"/>
      <c r="P8" s="894"/>
      <c r="Q8" s="852"/>
      <c r="R8" s="894"/>
      <c r="S8" s="852"/>
      <c r="T8" s="894"/>
      <c r="U8" s="852"/>
      <c r="V8" s="894"/>
      <c r="W8" s="852"/>
      <c r="X8" s="894"/>
      <c r="Y8" s="852"/>
      <c r="Z8" s="894"/>
      <c r="AA8" s="852"/>
      <c r="AB8" s="894"/>
      <c r="AC8" s="852"/>
      <c r="AD8" s="894"/>
      <c r="AE8" s="852"/>
      <c r="AF8" s="894"/>
      <c r="AG8" s="852"/>
      <c r="BD8" s="856"/>
    </row>
    <row r="9" spans="1:64" ht="24" hidden="1" customHeight="1">
      <c r="A9" s="633" t="s">
        <v>12</v>
      </c>
      <c r="B9" s="811"/>
      <c r="C9" s="633"/>
      <c r="E9" s="633" t="s">
        <v>12</v>
      </c>
      <c r="F9" s="811"/>
      <c r="G9" s="639"/>
      <c r="H9" s="895"/>
      <c r="I9" s="896"/>
      <c r="J9" s="897"/>
      <c r="K9" s="897"/>
      <c r="L9" s="897"/>
      <c r="M9" s="897"/>
      <c r="O9" s="799"/>
      <c r="Q9" s="799"/>
      <c r="S9" s="799"/>
      <c r="U9" s="799"/>
      <c r="W9" s="799"/>
      <c r="Y9" s="799"/>
      <c r="AA9" s="799"/>
      <c r="AC9" s="799"/>
      <c r="AE9" s="799"/>
      <c r="AG9" s="799"/>
      <c r="BD9" s="659"/>
      <c r="BE9" s="647"/>
      <c r="BF9" s="647"/>
      <c r="BG9" s="647"/>
      <c r="BH9" s="647"/>
      <c r="BI9" s="647"/>
      <c r="BJ9" s="647"/>
      <c r="BK9" s="647"/>
      <c r="BL9" s="647"/>
    </row>
    <row r="10" spans="1:64" ht="24" hidden="1" customHeight="1">
      <c r="A10" s="633" t="s">
        <v>225</v>
      </c>
      <c r="B10" s="811"/>
      <c r="C10" s="633"/>
      <c r="E10" s="633" t="s">
        <v>225</v>
      </c>
      <c r="F10" s="811"/>
      <c r="G10" s="639"/>
      <c r="H10" s="895"/>
      <c r="I10" s="896"/>
      <c r="J10" s="897"/>
      <c r="K10" s="897"/>
      <c r="L10" s="897"/>
      <c r="M10" s="897"/>
      <c r="O10" s="799"/>
      <c r="Q10" s="799"/>
      <c r="S10" s="799"/>
      <c r="U10" s="799"/>
      <c r="W10" s="799"/>
      <c r="Y10" s="799"/>
      <c r="AA10" s="799"/>
      <c r="AC10" s="799"/>
      <c r="AE10" s="799"/>
      <c r="AG10" s="799"/>
      <c r="BD10" s="659"/>
      <c r="BE10" s="647"/>
      <c r="BF10" s="647"/>
      <c r="BG10" s="647"/>
      <c r="BH10" s="647"/>
      <c r="BI10" s="647"/>
      <c r="BJ10" s="647"/>
      <c r="BK10" s="647"/>
      <c r="BL10" s="647"/>
    </row>
    <row r="11" spans="1:64" ht="24" hidden="1" customHeight="1">
      <c r="A11" s="633" t="s">
        <v>226</v>
      </c>
      <c r="B11" s="811"/>
      <c r="C11" s="633"/>
      <c r="E11" s="633" t="s">
        <v>226</v>
      </c>
      <c r="F11" s="811"/>
      <c r="G11" s="639"/>
      <c r="H11" s="895"/>
      <c r="I11" s="896"/>
      <c r="J11" s="897"/>
      <c r="K11" s="897"/>
      <c r="L11" s="897"/>
      <c r="M11" s="897"/>
      <c r="O11" s="799"/>
      <c r="Q11" s="799"/>
      <c r="S11" s="799"/>
      <c r="U11" s="799"/>
      <c r="W11" s="799"/>
      <c r="Y11" s="799"/>
      <c r="AA11" s="799"/>
      <c r="AC11" s="799"/>
      <c r="AE11" s="799"/>
      <c r="AG11" s="799"/>
      <c r="BD11" s="659"/>
      <c r="BE11" s="647"/>
      <c r="BF11" s="647"/>
      <c r="BG11" s="647"/>
      <c r="BH11" s="647"/>
      <c r="BI11" s="647"/>
      <c r="BJ11" s="647"/>
      <c r="BK11" s="647"/>
      <c r="BL11" s="647"/>
    </row>
    <row r="12" spans="1:64" ht="24" hidden="1" customHeight="1">
      <c r="A12" s="633" t="s">
        <v>227</v>
      </c>
      <c r="B12" s="829"/>
      <c r="C12" s="633"/>
      <c r="E12" s="633" t="s">
        <v>227</v>
      </c>
      <c r="F12" s="829"/>
      <c r="G12" s="639"/>
      <c r="H12" s="895"/>
      <c r="I12" s="896"/>
      <c r="J12" s="897"/>
      <c r="K12" s="897"/>
      <c r="L12" s="897"/>
      <c r="M12" s="897"/>
      <c r="O12" s="799"/>
      <c r="Q12" s="799"/>
      <c r="S12" s="799"/>
      <c r="U12" s="799"/>
      <c r="W12" s="799"/>
      <c r="Y12" s="799"/>
      <c r="AA12" s="799"/>
      <c r="AC12" s="799"/>
      <c r="AE12" s="799"/>
      <c r="AG12" s="799"/>
      <c r="BD12" s="659"/>
      <c r="BE12" s="647"/>
      <c r="BF12" s="647"/>
      <c r="BG12" s="647"/>
      <c r="BH12" s="647"/>
      <c r="BI12" s="647"/>
      <c r="BJ12" s="647"/>
      <c r="BK12" s="647"/>
      <c r="BL12" s="647"/>
    </row>
    <row r="13" spans="1:64" ht="24" hidden="1" customHeight="1">
      <c r="A13" s="633" t="s">
        <v>228</v>
      </c>
      <c r="B13" s="829"/>
      <c r="C13" s="633"/>
      <c r="E13" s="633" t="s">
        <v>228</v>
      </c>
      <c r="F13" s="829"/>
      <c r="G13" s="639"/>
      <c r="H13" s="895"/>
      <c r="I13" s="896"/>
      <c r="J13" s="897"/>
      <c r="K13" s="897"/>
      <c r="L13" s="897"/>
      <c r="M13" s="897"/>
      <c r="O13" s="830"/>
      <c r="Q13" s="830"/>
      <c r="S13" s="830"/>
      <c r="U13" s="830"/>
      <c r="W13" s="830"/>
      <c r="Y13" s="830"/>
      <c r="AA13" s="830"/>
      <c r="AC13" s="830"/>
      <c r="AE13" s="830"/>
      <c r="AG13" s="830"/>
      <c r="BD13" s="659"/>
      <c r="BE13" s="647"/>
      <c r="BF13" s="647"/>
      <c r="BG13" s="647"/>
      <c r="BH13" s="647"/>
      <c r="BI13" s="647"/>
      <c r="BJ13" s="647"/>
      <c r="BK13" s="647"/>
      <c r="BL13" s="647"/>
    </row>
    <row r="14" spans="1:64" ht="24" hidden="1" customHeight="1">
      <c r="B14" s="731"/>
      <c r="F14" s="731"/>
      <c r="H14" s="895"/>
      <c r="I14" s="896"/>
      <c r="J14" s="897"/>
      <c r="K14" s="897"/>
      <c r="L14" s="897"/>
      <c r="M14" s="897"/>
      <c r="O14" s="830"/>
      <c r="Q14" s="830"/>
      <c r="S14" s="830"/>
      <c r="U14" s="830"/>
      <c r="W14" s="830"/>
      <c r="Y14" s="830"/>
      <c r="AA14" s="830"/>
      <c r="AC14" s="830"/>
      <c r="AE14" s="830"/>
      <c r="AG14" s="830"/>
      <c r="BD14" s="659"/>
      <c r="BE14" s="647"/>
      <c r="BF14" s="647"/>
      <c r="BG14" s="647"/>
      <c r="BH14" s="647"/>
      <c r="BI14" s="647"/>
      <c r="BJ14" s="647"/>
      <c r="BK14" s="647"/>
      <c r="BL14" s="647"/>
    </row>
    <row r="15" spans="1:64" ht="24" hidden="1" customHeight="1">
      <c r="A15" s="633" t="s">
        <v>229</v>
      </c>
      <c r="B15" s="811"/>
      <c r="C15" s="633"/>
      <c r="E15" s="633" t="s">
        <v>229</v>
      </c>
      <c r="F15" s="811"/>
      <c r="G15" s="639"/>
      <c r="H15" s="895"/>
      <c r="I15" s="896"/>
      <c r="J15" s="897"/>
      <c r="K15" s="897"/>
      <c r="L15" s="897"/>
      <c r="M15" s="897"/>
      <c r="O15" s="731"/>
      <c r="Q15" s="731"/>
      <c r="S15" s="731"/>
      <c r="U15" s="731"/>
      <c r="W15" s="731"/>
      <c r="Y15" s="731"/>
      <c r="AA15" s="731"/>
      <c r="AC15" s="731"/>
      <c r="AE15" s="731"/>
      <c r="AG15" s="731"/>
      <c r="BD15" s="659"/>
      <c r="BE15" s="647"/>
      <c r="BF15" s="647"/>
      <c r="BG15" s="647"/>
      <c r="BH15" s="647"/>
      <c r="BI15" s="647"/>
      <c r="BJ15" s="647"/>
      <c r="BK15" s="647"/>
      <c r="BL15" s="647"/>
    </row>
    <row r="16" spans="1:64" ht="24" hidden="1" customHeight="1">
      <c r="A16" s="643" t="s">
        <v>212</v>
      </c>
      <c r="B16" s="860"/>
      <c r="C16" s="643"/>
      <c r="E16" s="643" t="s">
        <v>212</v>
      </c>
      <c r="F16" s="860"/>
      <c r="G16" s="742"/>
      <c r="H16" s="895"/>
      <c r="I16" s="896"/>
      <c r="J16" s="897"/>
      <c r="K16" s="897"/>
      <c r="L16" s="897"/>
      <c r="M16" s="897"/>
      <c r="O16" s="799"/>
      <c r="Q16" s="799"/>
      <c r="S16" s="799"/>
      <c r="U16" s="799"/>
      <c r="W16" s="799"/>
      <c r="Y16" s="799"/>
      <c r="AA16" s="799"/>
      <c r="AC16" s="799"/>
      <c r="AE16" s="799"/>
      <c r="AG16" s="799"/>
      <c r="BD16" s="659"/>
      <c r="BE16" s="647"/>
      <c r="BF16" s="647"/>
      <c r="BG16" s="647"/>
      <c r="BH16" s="647"/>
      <c r="BI16" s="647"/>
      <c r="BJ16" s="647"/>
      <c r="BK16" s="647"/>
      <c r="BL16" s="647"/>
    </row>
    <row r="17" spans="1:64" ht="24" hidden="1" customHeight="1">
      <c r="A17" s="643" t="s">
        <v>230</v>
      </c>
      <c r="B17" s="860"/>
      <c r="C17" s="643"/>
      <c r="E17" s="643" t="s">
        <v>230</v>
      </c>
      <c r="F17" s="860"/>
      <c r="G17" s="742"/>
      <c r="H17" s="895"/>
      <c r="I17" s="896"/>
      <c r="J17" s="897"/>
      <c r="K17" s="897"/>
      <c r="L17" s="897"/>
      <c r="M17" s="897"/>
      <c r="O17" s="799"/>
      <c r="Q17" s="799"/>
      <c r="S17" s="799"/>
      <c r="U17" s="799"/>
      <c r="W17" s="799"/>
      <c r="Y17" s="799"/>
      <c r="AA17" s="799"/>
      <c r="AC17" s="799"/>
      <c r="AE17" s="799"/>
      <c r="AG17" s="799"/>
      <c r="BD17" s="659"/>
      <c r="BE17" s="647"/>
      <c r="BF17" s="647"/>
      <c r="BG17" s="647"/>
      <c r="BH17" s="647"/>
      <c r="BI17" s="647"/>
      <c r="BJ17" s="647"/>
      <c r="BK17" s="647"/>
      <c r="BL17" s="647"/>
    </row>
    <row r="18" spans="1:64" ht="24" customHeight="1">
      <c r="A18" s="724" t="s">
        <v>231</v>
      </c>
      <c r="B18" s="725">
        <v>11472500</v>
      </c>
      <c r="C18" s="864"/>
      <c r="E18" s="724" t="s">
        <v>231</v>
      </c>
      <c r="F18" s="725">
        <f>'12'!B18</f>
        <v>12817000</v>
      </c>
      <c r="G18" s="865"/>
      <c r="H18" s="898">
        <f>F18-B18</f>
        <v>1344500</v>
      </c>
      <c r="I18" s="899">
        <f>H18*0.02</f>
        <v>26890</v>
      </c>
      <c r="J18" s="897"/>
      <c r="K18" s="897"/>
      <c r="L18" s="897"/>
      <c r="M18" s="897"/>
      <c r="O18" s="799"/>
      <c r="Q18" s="799"/>
      <c r="S18" s="799"/>
      <c r="U18" s="799"/>
      <c r="W18" s="799"/>
      <c r="Y18" s="799"/>
      <c r="AA18" s="799"/>
      <c r="AC18" s="799"/>
      <c r="AE18" s="799"/>
      <c r="AG18" s="799"/>
      <c r="BD18" s="659"/>
      <c r="BE18" s="647"/>
      <c r="BF18" s="647"/>
      <c r="BG18" s="647"/>
      <c r="BH18" s="647"/>
      <c r="BI18" s="647"/>
      <c r="BJ18" s="647"/>
      <c r="BK18" s="647"/>
      <c r="BL18" s="647"/>
    </row>
    <row r="19" spans="1:64" ht="24" customHeight="1">
      <c r="A19" s="724" t="s">
        <v>232</v>
      </c>
      <c r="B19" s="725">
        <v>6572151</v>
      </c>
      <c r="C19" s="864"/>
      <c r="E19" s="724" t="s">
        <v>232</v>
      </c>
      <c r="F19" s="725">
        <f>'12'!B19</f>
        <v>8238799</v>
      </c>
      <c r="G19" s="865"/>
      <c r="H19" s="898">
        <f>F19-B19</f>
        <v>1666648</v>
      </c>
      <c r="I19" s="899">
        <f>H19*0.02</f>
        <v>33332.959999999999</v>
      </c>
      <c r="J19" s="897"/>
      <c r="K19" s="897"/>
      <c r="L19" s="897"/>
      <c r="M19" s="897"/>
      <c r="O19" s="799"/>
      <c r="Q19" s="731"/>
      <c r="S19" s="799"/>
      <c r="U19" s="799"/>
      <c r="W19" s="799"/>
      <c r="Y19" s="799"/>
      <c r="AA19" s="799"/>
      <c r="AC19" s="799"/>
      <c r="AE19" s="799"/>
      <c r="AG19" s="799"/>
      <c r="BD19" s="659"/>
      <c r="BE19" s="647"/>
      <c r="BF19" s="647"/>
      <c r="BG19" s="647"/>
      <c r="BH19" s="647"/>
      <c r="BI19" s="647"/>
      <c r="BJ19" s="647"/>
      <c r="BK19" s="647"/>
      <c r="BL19" s="647"/>
    </row>
    <row r="20" spans="1:64" ht="12.75" customHeight="1">
      <c r="A20" s="633" t="s">
        <v>29</v>
      </c>
      <c r="B20" s="900">
        <v>0</v>
      </c>
      <c r="C20" s="643"/>
      <c r="E20" s="633" t="s">
        <v>29</v>
      </c>
      <c r="F20" s="900">
        <v>0</v>
      </c>
      <c r="G20" s="639"/>
      <c r="H20" s="895"/>
      <c r="I20" s="896"/>
      <c r="J20" s="897"/>
      <c r="K20" s="897"/>
      <c r="L20" s="897"/>
      <c r="M20" s="897"/>
      <c r="O20" s="799"/>
      <c r="Q20" s="799"/>
      <c r="S20" s="799"/>
      <c r="U20" s="799"/>
      <c r="W20" s="799"/>
      <c r="Y20" s="799"/>
      <c r="AA20" s="799"/>
      <c r="AC20" s="799"/>
      <c r="AE20" s="799"/>
      <c r="AG20" s="799"/>
      <c r="BD20" s="659"/>
    </row>
    <row r="21" spans="1:64" ht="12.75" customHeight="1">
      <c r="A21" s="633" t="s">
        <v>233</v>
      </c>
      <c r="B21" s="900"/>
      <c r="C21" s="633"/>
      <c r="E21" s="633" t="s">
        <v>233</v>
      </c>
      <c r="F21" s="900"/>
      <c r="G21" s="639">
        <v>0</v>
      </c>
      <c r="H21" s="895"/>
      <c r="I21" s="896">
        <f>I18-I19</f>
        <v>-6442.9599999999991</v>
      </c>
      <c r="J21" s="897"/>
      <c r="K21" s="897"/>
      <c r="L21" s="897"/>
      <c r="M21" s="897"/>
      <c r="O21" s="799"/>
      <c r="Q21" s="799"/>
      <c r="S21" s="799"/>
      <c r="U21" s="799"/>
      <c r="W21" s="799"/>
      <c r="Y21" s="799"/>
      <c r="AA21" s="799"/>
      <c r="AC21" s="799"/>
      <c r="AE21" s="799"/>
      <c r="AG21" s="799"/>
      <c r="BD21" s="659"/>
    </row>
    <row r="22" spans="1:64" ht="12.75" customHeight="1">
      <c r="A22" s="643" t="s">
        <v>213</v>
      </c>
      <c r="B22" s="861"/>
      <c r="C22" s="643"/>
      <c r="D22" s="651"/>
      <c r="E22" s="643" t="s">
        <v>213</v>
      </c>
      <c r="F22" s="861"/>
      <c r="G22" s="742"/>
      <c r="H22" s="895"/>
      <c r="I22" s="896"/>
      <c r="J22" s="897"/>
      <c r="K22" s="897"/>
      <c r="L22" s="897"/>
      <c r="M22" s="897"/>
      <c r="O22" s="799"/>
      <c r="Q22" s="731"/>
      <c r="S22" s="799"/>
      <c r="U22" s="799"/>
      <c r="W22" s="799"/>
      <c r="Y22" s="799"/>
      <c r="AA22" s="799"/>
      <c r="AC22" s="799"/>
      <c r="AE22" s="799"/>
      <c r="AG22" s="799"/>
      <c r="BD22" s="659"/>
    </row>
    <row r="23" spans="1:64" ht="24" customHeight="1">
      <c r="A23" s="724" t="s">
        <v>234</v>
      </c>
      <c r="B23" s="725">
        <v>15457225</v>
      </c>
      <c r="C23" s="643"/>
      <c r="D23" s="651"/>
      <c r="E23" s="724" t="s">
        <v>234</v>
      </c>
      <c r="F23" s="725">
        <f>'12'!B23</f>
        <v>18089540</v>
      </c>
      <c r="G23" s="742"/>
      <c r="H23" s="898">
        <f>F23-B23</f>
        <v>2632315</v>
      </c>
      <c r="I23" s="899">
        <f>H23*0.02</f>
        <v>52646.3</v>
      </c>
      <c r="J23" s="897"/>
      <c r="K23" s="897"/>
      <c r="L23" s="897"/>
      <c r="M23" s="897"/>
      <c r="O23" s="799"/>
      <c r="Q23" s="799"/>
      <c r="S23" s="799"/>
      <c r="U23" s="799"/>
      <c r="W23" s="799"/>
      <c r="Y23" s="799"/>
      <c r="AA23" s="799"/>
      <c r="AC23" s="799"/>
      <c r="AE23" s="799"/>
      <c r="AG23" s="799"/>
      <c r="BD23" s="659"/>
    </row>
    <row r="24" spans="1:64" ht="24" customHeight="1">
      <c r="A24" s="724" t="s">
        <v>235</v>
      </c>
      <c r="B24" s="725">
        <v>0</v>
      </c>
      <c r="C24" s="633"/>
      <c r="E24" s="724" t="s">
        <v>235</v>
      </c>
      <c r="F24" s="725">
        <f>'12'!B24</f>
        <v>0</v>
      </c>
      <c r="G24" s="639"/>
      <c r="H24" s="898">
        <f>+F24-B24</f>
        <v>0</v>
      </c>
      <c r="I24" s="899">
        <f>+H24*0.02</f>
        <v>0</v>
      </c>
      <c r="J24" s="897"/>
      <c r="K24" s="897"/>
      <c r="L24" s="897"/>
      <c r="M24" s="897"/>
      <c r="O24" s="799"/>
      <c r="Q24" s="799"/>
      <c r="S24" s="799"/>
      <c r="U24" s="799"/>
      <c r="W24" s="799"/>
      <c r="Y24" s="799"/>
      <c r="AA24" s="799"/>
      <c r="AC24" s="799"/>
      <c r="AE24" s="799"/>
      <c r="AG24" s="799"/>
      <c r="BD24" s="659"/>
    </row>
    <row r="25" spans="1:64" ht="24" customHeight="1">
      <c r="A25" s="724" t="s">
        <v>236</v>
      </c>
      <c r="B25" s="725">
        <v>0</v>
      </c>
      <c r="C25" s="633"/>
      <c r="E25" s="724" t="s">
        <v>236</v>
      </c>
      <c r="F25" s="725">
        <f>'12'!B25</f>
        <v>0</v>
      </c>
      <c r="G25" s="639"/>
      <c r="H25" s="898">
        <f>+F25-B25</f>
        <v>0</v>
      </c>
      <c r="I25" s="899">
        <f>+H25*0.02</f>
        <v>0</v>
      </c>
      <c r="J25" s="897"/>
      <c r="K25" s="897"/>
      <c r="L25" s="897"/>
      <c r="M25" s="897"/>
      <c r="O25" s="799"/>
      <c r="Q25" s="799"/>
      <c r="S25" s="799"/>
      <c r="U25" s="799"/>
      <c r="W25" s="799"/>
      <c r="Y25" s="799"/>
      <c r="AA25" s="799"/>
      <c r="AC25" s="799"/>
      <c r="AE25" s="799"/>
      <c r="AG25" s="799"/>
      <c r="BD25" s="659"/>
    </row>
    <row r="26" spans="1:64" ht="8.25" customHeight="1">
      <c r="A26" s="643"/>
      <c r="B26" s="860"/>
      <c r="C26" s="643"/>
      <c r="D26" s="651"/>
      <c r="E26" s="643"/>
      <c r="F26" s="860"/>
      <c r="G26" s="742"/>
      <c r="H26" s="895"/>
      <c r="I26" s="896"/>
      <c r="J26" s="897"/>
      <c r="K26" s="897"/>
      <c r="L26" s="897"/>
      <c r="M26" s="897"/>
      <c r="O26" s="799"/>
      <c r="Q26" s="799"/>
      <c r="S26" s="799"/>
      <c r="U26" s="799"/>
      <c r="W26" s="799"/>
      <c r="Y26" s="799"/>
      <c r="AA26" s="799"/>
      <c r="AC26" s="799"/>
      <c r="AE26" s="799"/>
      <c r="AG26" s="799"/>
      <c r="BD26" s="659"/>
    </row>
    <row r="27" spans="1:64" ht="24" customHeight="1">
      <c r="A27" s="633" t="s">
        <v>237</v>
      </c>
      <c r="B27" s="860"/>
      <c r="C27" s="633"/>
      <c r="E27" s="643" t="s">
        <v>237</v>
      </c>
      <c r="F27" s="860"/>
      <c r="G27" s="639"/>
      <c r="H27" s="895"/>
      <c r="I27" s="896"/>
      <c r="J27" s="897"/>
      <c r="K27" s="897"/>
      <c r="L27" s="897"/>
      <c r="M27" s="897"/>
      <c r="O27" s="799"/>
      <c r="Q27" s="799"/>
      <c r="S27" s="799"/>
      <c r="U27" s="799"/>
      <c r="W27" s="799"/>
      <c r="Y27" s="799"/>
      <c r="AA27" s="799"/>
      <c r="AC27" s="799"/>
      <c r="AE27" s="799"/>
      <c r="AG27" s="799"/>
      <c r="BD27" s="659"/>
    </row>
    <row r="28" spans="1:64" ht="24" customHeight="1" thickBot="1">
      <c r="A28" s="633" t="s">
        <v>238</v>
      </c>
      <c r="B28" s="860"/>
      <c r="C28" s="633"/>
      <c r="E28" s="643" t="s">
        <v>238</v>
      </c>
      <c r="F28" s="860"/>
      <c r="G28" s="639"/>
      <c r="H28" s="901"/>
      <c r="I28" s="902">
        <f>I18+I19-I23</f>
        <v>7576.6599999999962</v>
      </c>
      <c r="J28" s="897"/>
      <c r="K28" s="897"/>
      <c r="L28" s="897"/>
      <c r="M28" s="897"/>
      <c r="O28" s="799"/>
      <c r="Q28" s="799"/>
      <c r="S28" s="799"/>
      <c r="U28" s="799"/>
      <c r="W28" s="799"/>
      <c r="Y28" s="799"/>
      <c r="AA28" s="799"/>
      <c r="AC28" s="799"/>
      <c r="AE28" s="799"/>
      <c r="AG28" s="799"/>
      <c r="BD28" s="659"/>
    </row>
    <row r="29" spans="1:64">
      <c r="H29" s="805"/>
      <c r="I29" s="805"/>
      <c r="J29" s="805"/>
      <c r="K29" s="805"/>
      <c r="L29" s="805"/>
      <c r="M29" s="805"/>
    </row>
  </sheetData>
  <mergeCells count="1">
    <mergeCell ref="H7:I7"/>
  </mergeCells>
  <pageMargins left="0.70000000000000007" right="0.70000000000000007" top="1.1437007874015745" bottom="1.1437007874015745" header="0.74999999999999989" footer="0.74999999999999989"/>
  <pageSetup scale="71" fitToWidth="0" fitToHeight="0"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00FF00"/>
  </sheetPr>
  <dimension ref="A1:GV37"/>
  <sheetViews>
    <sheetView workbookViewId="0">
      <pane xSplit="9" ySplit="31" topLeftCell="J32" activePane="bottomRight" state="frozen"/>
      <selection pane="topRight" activeCell="J1" sqref="J1"/>
      <selection pane="bottomLeft" activeCell="A32" sqref="A32"/>
      <selection pane="bottomRight" activeCell="B8" sqref="B8:B31"/>
    </sheetView>
  </sheetViews>
  <sheetFormatPr defaultColWidth="3" defaultRowHeight="15.75"/>
  <cols>
    <col min="1" max="1" width="36.85546875" style="629" bestFit="1" customWidth="1"/>
    <col min="2" max="2" width="25" style="634" bestFit="1" customWidth="1"/>
    <col min="3" max="3" width="2.85546875" style="629" bestFit="1" customWidth="1"/>
    <col min="4" max="4" width="6" style="629" customWidth="1"/>
    <col min="5" max="5" width="36.85546875" style="629" bestFit="1" customWidth="1"/>
    <col min="6" max="6" width="25" style="634" bestFit="1" customWidth="1"/>
    <col min="7" max="7" width="2.85546875" style="629" bestFit="1" customWidth="1"/>
    <col min="8" max="8" width="15.28515625" style="629" bestFit="1" customWidth="1"/>
    <col min="9" max="9" width="14.7109375" style="629" bestFit="1" customWidth="1"/>
    <col min="10" max="12" width="8.7109375" style="629" customWidth="1"/>
    <col min="13" max="13" width="13.42578125" style="629" bestFit="1" customWidth="1"/>
    <col min="14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 customWidth="1"/>
    <col min="223" max="223" width="0.42578125" style="629" customWidth="1"/>
    <col min="224" max="231" width="3" style="629" customWidth="1"/>
    <col min="232" max="232" width="0.42578125" style="629" customWidth="1"/>
    <col min="233" max="238" width="3" style="629" customWidth="1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 customWidth="1"/>
    <col min="249" max="249" width="0.42578125" style="629" customWidth="1"/>
    <col min="250" max="16384" width="3" style="629"/>
  </cols>
  <sheetData>
    <row r="1" spans="1:13">
      <c r="A1" s="626" t="s">
        <v>749</v>
      </c>
      <c r="B1" s="627"/>
      <c r="C1" s="628"/>
      <c r="E1" s="626" t="s">
        <v>748</v>
      </c>
      <c r="F1" s="627"/>
      <c r="G1" s="628"/>
      <c r="M1" s="629" t="s">
        <v>69</v>
      </c>
    </row>
    <row r="2" spans="1:13" ht="16.5">
      <c r="A2" s="631" t="s">
        <v>0</v>
      </c>
      <c r="B2" s="624" t="s">
        <v>751</v>
      </c>
      <c r="C2" s="632" t="s">
        <v>2</v>
      </c>
      <c r="E2" s="631" t="s">
        <v>0</v>
      </c>
      <c r="F2" s="624" t="s">
        <v>751</v>
      </c>
      <c r="G2" s="632" t="s">
        <v>2</v>
      </c>
    </row>
    <row r="3" spans="1:13">
      <c r="A3" s="631"/>
      <c r="B3" s="624"/>
      <c r="C3" s="633"/>
      <c r="E3" s="631"/>
      <c r="F3" s="624"/>
      <c r="G3" s="633"/>
    </row>
    <row r="4" spans="1:13" ht="24" customHeight="1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3" ht="24" customHeight="1">
      <c r="C5" s="633"/>
      <c r="G5" s="633"/>
    </row>
    <row r="6" spans="1:13" ht="24" customHeight="1">
      <c r="A6" s="635" t="s">
        <v>5</v>
      </c>
      <c r="B6" s="636">
        <v>94</v>
      </c>
      <c r="C6" s="633"/>
      <c r="E6" s="635" t="s">
        <v>5</v>
      </c>
      <c r="F6" s="636">
        <v>94</v>
      </c>
      <c r="G6" s="633"/>
      <c r="H6" s="835"/>
    </row>
    <row r="7" spans="1:13" ht="24" customHeight="1" thickBot="1">
      <c r="A7" s="637" t="s">
        <v>6</v>
      </c>
      <c r="B7" s="638" t="s">
        <v>805</v>
      </c>
      <c r="C7" s="633"/>
      <c r="E7" s="637" t="s">
        <v>6</v>
      </c>
      <c r="F7" s="638" t="s">
        <v>805</v>
      </c>
      <c r="G7" s="633"/>
      <c r="H7" s="903" t="s">
        <v>779</v>
      </c>
    </row>
    <row r="8" spans="1:13" ht="24" customHeight="1">
      <c r="A8" s="724" t="s">
        <v>71</v>
      </c>
      <c r="B8" s="725">
        <v>48499.92</v>
      </c>
      <c r="C8" s="633"/>
      <c r="E8" s="724" t="s">
        <v>71</v>
      </c>
      <c r="F8" s="725">
        <f>'94'!$B$8</f>
        <v>50722.81</v>
      </c>
      <c r="G8" s="639"/>
      <c r="H8" s="904">
        <f>F8-B8</f>
        <v>2222.8899999999994</v>
      </c>
      <c r="I8" s="687" t="s">
        <v>753</v>
      </c>
    </row>
    <row r="9" spans="1:13" ht="24" hidden="1" customHeight="1">
      <c r="A9" s="633" t="s">
        <v>754</v>
      </c>
      <c r="B9" s="794"/>
      <c r="C9" s="633"/>
      <c r="E9" s="633" t="s">
        <v>754</v>
      </c>
      <c r="F9" s="794"/>
      <c r="G9" s="639"/>
      <c r="H9" s="814"/>
    </row>
    <row r="10" spans="1:13" ht="24" hidden="1" customHeight="1">
      <c r="A10" s="633" t="s">
        <v>755</v>
      </c>
      <c r="B10" s="794"/>
      <c r="C10" s="633"/>
      <c r="E10" s="633" t="s">
        <v>755</v>
      </c>
      <c r="F10" s="794"/>
      <c r="G10" s="639"/>
      <c r="H10" s="814"/>
    </row>
    <row r="11" spans="1:13" ht="24" hidden="1" customHeight="1">
      <c r="A11" s="633" t="s">
        <v>756</v>
      </c>
      <c r="B11" s="794"/>
      <c r="C11" s="633"/>
      <c r="E11" s="633" t="s">
        <v>756</v>
      </c>
      <c r="F11" s="794"/>
      <c r="G11" s="639"/>
      <c r="H11" s="814"/>
    </row>
    <row r="12" spans="1:13" ht="24" hidden="1" customHeight="1">
      <c r="A12" s="633" t="s">
        <v>757</v>
      </c>
      <c r="B12" s="794">
        <v>0</v>
      </c>
      <c r="C12" s="633"/>
      <c r="E12" s="633" t="s">
        <v>757</v>
      </c>
      <c r="F12" s="794">
        <v>0</v>
      </c>
      <c r="G12" s="639"/>
      <c r="H12" s="814"/>
    </row>
    <row r="13" spans="1:13" ht="24" hidden="1" customHeight="1">
      <c r="A13" s="633" t="s">
        <v>758</v>
      </c>
      <c r="B13" s="794"/>
      <c r="C13" s="633"/>
      <c r="D13" s="647"/>
      <c r="E13" s="633" t="s">
        <v>758</v>
      </c>
      <c r="F13" s="794"/>
      <c r="G13" s="639"/>
      <c r="H13" s="905"/>
      <c r="I13" s="647"/>
      <c r="J13" s="647"/>
    </row>
    <row r="14" spans="1:13" ht="24" hidden="1" customHeight="1">
      <c r="A14" s="633" t="s">
        <v>337</v>
      </c>
      <c r="B14" s="794"/>
      <c r="C14" s="633"/>
      <c r="D14" s="647"/>
      <c r="E14" s="633" t="s">
        <v>337</v>
      </c>
      <c r="F14" s="794"/>
      <c r="G14" s="639"/>
      <c r="H14" s="905"/>
      <c r="I14" s="647"/>
      <c r="J14" s="647"/>
    </row>
    <row r="15" spans="1:13" ht="24" hidden="1" customHeight="1">
      <c r="A15" s="633" t="s">
        <v>759</v>
      </c>
      <c r="B15" s="794"/>
      <c r="C15" s="633"/>
      <c r="D15" s="647"/>
      <c r="E15" s="633" t="s">
        <v>759</v>
      </c>
      <c r="F15" s="794"/>
      <c r="G15" s="639"/>
      <c r="H15" s="905"/>
      <c r="I15" s="647"/>
      <c r="J15" s="647"/>
    </row>
    <row r="16" spans="1:13" ht="24" hidden="1" customHeight="1">
      <c r="A16" s="633" t="s">
        <v>760</v>
      </c>
      <c r="B16" s="794"/>
      <c r="C16" s="633"/>
      <c r="D16" s="647"/>
      <c r="E16" s="633" t="s">
        <v>760</v>
      </c>
      <c r="F16" s="794"/>
      <c r="G16" s="639"/>
      <c r="H16" s="905"/>
      <c r="I16" s="647"/>
      <c r="J16" s="647"/>
    </row>
    <row r="17" spans="1:12" ht="24" hidden="1" customHeight="1">
      <c r="A17" s="633" t="s">
        <v>761</v>
      </c>
      <c r="B17" s="794">
        <v>0</v>
      </c>
      <c r="C17" s="633"/>
      <c r="D17" s="647"/>
      <c r="E17" s="633" t="s">
        <v>761</v>
      </c>
      <c r="F17" s="794">
        <v>0</v>
      </c>
      <c r="G17" s="639"/>
      <c r="H17" s="905"/>
      <c r="I17" s="647"/>
      <c r="J17" s="647"/>
    </row>
    <row r="18" spans="1:12" ht="24" hidden="1" customHeight="1">
      <c r="A18" s="633" t="s">
        <v>762</v>
      </c>
      <c r="B18" s="794">
        <v>0</v>
      </c>
      <c r="C18" s="633"/>
      <c r="D18" s="647"/>
      <c r="E18" s="633" t="s">
        <v>762</v>
      </c>
      <c r="F18" s="794">
        <v>0</v>
      </c>
      <c r="G18" s="639"/>
      <c r="H18" s="905"/>
      <c r="I18" s="647"/>
      <c r="J18" s="647"/>
    </row>
    <row r="19" spans="1:12" ht="24" hidden="1" customHeight="1">
      <c r="A19" s="633" t="s">
        <v>763</v>
      </c>
      <c r="B19" s="794"/>
      <c r="C19" s="633"/>
      <c r="E19" s="633" t="s">
        <v>763</v>
      </c>
      <c r="F19" s="794"/>
      <c r="G19" s="639"/>
      <c r="H19" s="814"/>
    </row>
    <row r="20" spans="1:12" ht="24" customHeight="1">
      <c r="A20" s="633" t="s">
        <v>764</v>
      </c>
      <c r="B20" s="794"/>
      <c r="C20" s="633"/>
      <c r="E20" s="633" t="s">
        <v>764</v>
      </c>
      <c r="F20" s="794"/>
      <c r="G20" s="639"/>
      <c r="H20" s="814"/>
    </row>
    <row r="21" spans="1:12" ht="24" customHeight="1">
      <c r="A21" s="633" t="s">
        <v>765</v>
      </c>
      <c r="B21" s="794">
        <v>0</v>
      </c>
      <c r="C21" s="633"/>
      <c r="E21" s="633" t="s">
        <v>765</v>
      </c>
      <c r="F21" s="794">
        <v>0</v>
      </c>
      <c r="G21" s="639"/>
      <c r="H21" s="814"/>
    </row>
    <row r="22" spans="1:12" ht="24" customHeight="1">
      <c r="A22" s="724" t="s">
        <v>770</v>
      </c>
      <c r="B22" s="725">
        <v>46126.54</v>
      </c>
      <c r="C22" s="633"/>
      <c r="E22" s="724" t="s">
        <v>770</v>
      </c>
      <c r="F22" s="725">
        <f>'94'!$B$21</f>
        <v>43305.32</v>
      </c>
      <c r="G22" s="639"/>
      <c r="H22" s="806">
        <f>F22-B22</f>
        <v>-2821.2200000000012</v>
      </c>
      <c r="I22" s="687" t="s">
        <v>771</v>
      </c>
    </row>
    <row r="23" spans="1:12" ht="24" customHeight="1">
      <c r="A23" s="633" t="s">
        <v>769</v>
      </c>
      <c r="B23" s="794">
        <v>0</v>
      </c>
      <c r="C23" s="633"/>
      <c r="E23" s="633" t="s">
        <v>769</v>
      </c>
      <c r="F23" s="794">
        <v>0</v>
      </c>
      <c r="G23" s="639"/>
      <c r="H23" s="814"/>
      <c r="K23" s="687"/>
      <c r="L23" s="689"/>
    </row>
    <row r="24" spans="1:12" ht="24" hidden="1" customHeight="1">
      <c r="A24" s="633" t="s">
        <v>772</v>
      </c>
      <c r="B24" s="794">
        <v>0</v>
      </c>
      <c r="C24" s="633"/>
      <c r="E24" s="633" t="s">
        <v>772</v>
      </c>
      <c r="F24" s="794">
        <v>0</v>
      </c>
      <c r="G24" s="639"/>
      <c r="H24" s="814"/>
    </row>
    <row r="25" spans="1:12" ht="24" hidden="1" customHeight="1">
      <c r="A25" s="633" t="s">
        <v>773</v>
      </c>
      <c r="B25" s="794">
        <v>0</v>
      </c>
      <c r="C25" s="633"/>
      <c r="E25" s="633" t="s">
        <v>773</v>
      </c>
      <c r="F25" s="794">
        <v>0</v>
      </c>
      <c r="G25" s="639"/>
      <c r="H25" s="814"/>
    </row>
    <row r="26" spans="1:12" ht="24" hidden="1" customHeight="1">
      <c r="A26" s="633" t="s">
        <v>774</v>
      </c>
      <c r="B26" s="794">
        <v>0</v>
      </c>
      <c r="C26" s="633"/>
      <c r="E26" s="633" t="s">
        <v>774</v>
      </c>
      <c r="F26" s="794">
        <v>0</v>
      </c>
      <c r="G26" s="639"/>
      <c r="H26" s="814"/>
    </row>
    <row r="27" spans="1:12" ht="24" hidden="1" customHeight="1">
      <c r="A27" s="633" t="s">
        <v>775</v>
      </c>
      <c r="B27" s="794">
        <v>0</v>
      </c>
      <c r="C27" s="633"/>
      <c r="E27" s="633" t="s">
        <v>775</v>
      </c>
      <c r="F27" s="794">
        <v>0</v>
      </c>
      <c r="G27" s="639"/>
      <c r="H27" s="814"/>
    </row>
    <row r="28" spans="1:12" ht="24" hidden="1" customHeight="1">
      <c r="A28" s="633" t="s">
        <v>776</v>
      </c>
      <c r="B28" s="794">
        <v>0</v>
      </c>
      <c r="C28" s="650"/>
      <c r="E28" s="633" t="s">
        <v>776</v>
      </c>
      <c r="F28" s="794">
        <v>0</v>
      </c>
      <c r="G28" s="650"/>
      <c r="H28" s="814"/>
    </row>
    <row r="29" spans="1:12" ht="24" customHeight="1">
      <c r="A29" s="633" t="s">
        <v>777</v>
      </c>
      <c r="B29" s="794">
        <v>0</v>
      </c>
      <c r="C29" s="633"/>
      <c r="E29" s="633" t="s">
        <v>777</v>
      </c>
      <c r="F29" s="794">
        <v>0</v>
      </c>
      <c r="G29" s="639"/>
      <c r="H29" s="814"/>
      <c r="I29" s="691"/>
    </row>
    <row r="30" spans="1:12" ht="24" customHeight="1">
      <c r="A30" s="724" t="s">
        <v>767</v>
      </c>
      <c r="B30" s="725">
        <v>21886.92</v>
      </c>
      <c r="C30" s="633"/>
      <c r="E30" s="724" t="s">
        <v>767</v>
      </c>
      <c r="F30" s="725">
        <f>'94'!$B$12</f>
        <v>25076.81</v>
      </c>
      <c r="G30" s="639"/>
      <c r="H30" s="806">
        <f>F30-B30</f>
        <v>3189.8900000000031</v>
      </c>
      <c r="I30" s="687" t="s">
        <v>768</v>
      </c>
    </row>
    <row r="31" spans="1:12" ht="24" customHeight="1" thickBot="1">
      <c r="A31" s="724" t="s">
        <v>766</v>
      </c>
      <c r="B31" s="725">
        <v>26613</v>
      </c>
      <c r="C31" s="653"/>
      <c r="E31" s="724" t="s">
        <v>766</v>
      </c>
      <c r="F31" s="725">
        <f>'94'!$B$28</f>
        <v>25646</v>
      </c>
      <c r="G31" s="654"/>
      <c r="H31" s="906">
        <f>F31-B31</f>
        <v>-967</v>
      </c>
      <c r="I31" s="687" t="s">
        <v>573</v>
      </c>
    </row>
    <row r="32" spans="1:12">
      <c r="H32" s="690"/>
    </row>
    <row r="33" spans="8:8">
      <c r="H33" s="690"/>
    </row>
    <row r="34" spans="8:8">
      <c r="H34" s="690"/>
    </row>
    <row r="35" spans="8:8">
      <c r="H35" s="690"/>
    </row>
    <row r="36" spans="8:8">
      <c r="H36" s="690"/>
    </row>
    <row r="37" spans="8:8">
      <c r="H37" s="690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00FF00"/>
  </sheetPr>
  <dimension ref="A1:GT66"/>
  <sheetViews>
    <sheetView workbookViewId="0">
      <pane xSplit="7" ySplit="39" topLeftCell="H40" activePane="bottomRight" state="frozen"/>
      <selection activeCell="F26" sqref="F26"/>
      <selection pane="topRight" activeCell="F26" sqref="F26"/>
      <selection pane="bottomLeft" activeCell="F26" sqref="F26"/>
      <selection pane="bottomRight" activeCell="B12" sqref="B12:B37"/>
    </sheetView>
  </sheetViews>
  <sheetFormatPr defaultColWidth="3" defaultRowHeight="15.75"/>
  <cols>
    <col min="1" max="1" width="30.140625" style="629" bestFit="1" customWidth="1"/>
    <col min="2" max="2" width="17.28515625" style="629" bestFit="1" customWidth="1"/>
    <col min="3" max="3" width="2.85546875" style="629" bestFit="1" customWidth="1"/>
    <col min="4" max="4" width="32.140625" style="629" bestFit="1" customWidth="1"/>
    <col min="5" max="5" width="17.28515625" style="629" bestFit="1" customWidth="1"/>
    <col min="6" max="6" width="11.85546875" style="629" bestFit="1" customWidth="1"/>
    <col min="7" max="7" width="7" style="835" bestFit="1" customWidth="1"/>
    <col min="8" max="9" width="8.7109375" style="835" customWidth="1"/>
    <col min="10" max="10" width="4.42578125" style="629" bestFit="1" customWidth="1"/>
    <col min="11" max="193" width="8.7109375" style="629" customWidth="1"/>
    <col min="194" max="194" width="30.140625" style="629" customWidth="1"/>
    <col min="195" max="195" width="28.7109375" style="629" customWidth="1"/>
    <col min="196" max="196" width="4.5703125" style="629" customWidth="1"/>
    <col min="197" max="197" width="2.140625" style="629" customWidth="1"/>
    <col min="198" max="202" width="12.28515625" style="629" hidden="1" customWidth="1"/>
    <col min="203" max="203" width="0.42578125" style="629" customWidth="1"/>
    <col min="204" max="211" width="3.7109375" style="629" customWidth="1"/>
    <col min="212" max="212" width="0.42578125" style="629" customWidth="1"/>
    <col min="213" max="213" width="2.85546875" style="629" customWidth="1"/>
    <col min="214" max="220" width="3" style="629" customWidth="1"/>
    <col min="221" max="221" width="0.42578125" style="629" customWidth="1"/>
    <col min="222" max="229" width="3" style="629" customWidth="1"/>
    <col min="230" max="230" width="0.42578125" style="629" customWidth="1"/>
    <col min="231" max="236" width="3" style="629" customWidth="1"/>
    <col min="237" max="237" width="3.140625" style="629" customWidth="1"/>
    <col min="238" max="238" width="3.5703125" style="629" customWidth="1"/>
    <col min="239" max="239" width="0.85546875" style="629" customWidth="1"/>
    <col min="240" max="246" width="3" style="629" customWidth="1"/>
    <col min="247" max="247" width="0.42578125" style="629" customWidth="1"/>
    <col min="248" max="16384" width="3" style="629"/>
  </cols>
  <sheetData>
    <row r="1" spans="1:10">
      <c r="A1" s="626" t="s">
        <v>749</v>
      </c>
      <c r="B1" s="628"/>
      <c r="C1" s="628"/>
      <c r="D1" s="626" t="s">
        <v>748</v>
      </c>
      <c r="E1" s="628"/>
      <c r="F1" s="628"/>
    </row>
    <row r="2" spans="1:10" ht="16.5">
      <c r="A2" s="631" t="s">
        <v>0</v>
      </c>
      <c r="B2" s="795" t="s">
        <v>111</v>
      </c>
      <c r="C2" s="632" t="s">
        <v>2</v>
      </c>
      <c r="D2" s="631" t="s">
        <v>0</v>
      </c>
      <c r="E2" s="795" t="s">
        <v>111</v>
      </c>
      <c r="F2" s="835"/>
    </row>
    <row r="3" spans="1:10">
      <c r="A3" s="631"/>
      <c r="B3" s="795" t="s">
        <v>112</v>
      </c>
      <c r="C3" s="633"/>
      <c r="D3" s="631"/>
      <c r="E3" s="795" t="s">
        <v>112</v>
      </c>
      <c r="F3" s="835"/>
    </row>
    <row r="4" spans="1:10">
      <c r="A4" s="631" t="s">
        <v>4</v>
      </c>
      <c r="B4" s="796">
        <v>1</v>
      </c>
      <c r="C4" s="633"/>
      <c r="D4" s="631" t="s">
        <v>4</v>
      </c>
      <c r="E4" s="796">
        <v>1</v>
      </c>
      <c r="F4" s="835"/>
    </row>
    <row r="5" spans="1:10" ht="12.75" customHeight="1">
      <c r="C5" s="633"/>
      <c r="F5" s="835"/>
    </row>
    <row r="6" spans="1:10" ht="16.5">
      <c r="A6" s="635" t="s">
        <v>5</v>
      </c>
      <c r="B6" s="797">
        <v>34</v>
      </c>
      <c r="C6" s="633"/>
      <c r="D6" s="635" t="s">
        <v>5</v>
      </c>
      <c r="E6" s="797">
        <v>34</v>
      </c>
      <c r="F6" s="835"/>
    </row>
    <row r="7" spans="1:10" ht="24" customHeight="1" thickBot="1">
      <c r="A7" s="637" t="s">
        <v>6</v>
      </c>
      <c r="B7" s="798" t="s">
        <v>112</v>
      </c>
      <c r="C7" s="633"/>
      <c r="D7" s="637" t="s">
        <v>6</v>
      </c>
      <c r="E7" s="798" t="s">
        <v>112</v>
      </c>
      <c r="F7" s="772" t="s">
        <v>784</v>
      </c>
    </row>
    <row r="8" spans="1:10" ht="24" hidden="1" customHeight="1">
      <c r="A8" s="633" t="s">
        <v>806</v>
      </c>
      <c r="B8" s="760"/>
      <c r="C8" s="633"/>
      <c r="D8" s="633" t="s">
        <v>806</v>
      </c>
      <c r="E8" s="760"/>
      <c r="F8" s="772"/>
    </row>
    <row r="9" spans="1:10" ht="24" hidden="1" customHeight="1">
      <c r="A9" s="633" t="s">
        <v>115</v>
      </c>
      <c r="B9" s="760"/>
      <c r="C9" s="633"/>
      <c r="D9" s="633" t="s">
        <v>115</v>
      </c>
      <c r="E9" s="760"/>
      <c r="F9" s="772"/>
      <c r="J9" s="629">
        <v>329</v>
      </c>
    </row>
    <row r="10" spans="1:10" ht="24" hidden="1" customHeight="1">
      <c r="A10" s="633" t="s">
        <v>116</v>
      </c>
      <c r="B10" s="760"/>
      <c r="C10" s="633"/>
      <c r="D10" s="633" t="s">
        <v>116</v>
      </c>
      <c r="E10" s="760"/>
      <c r="F10" s="772"/>
    </row>
    <row r="11" spans="1:10" ht="24" hidden="1" customHeight="1">
      <c r="A11" s="633" t="s">
        <v>117</v>
      </c>
      <c r="B11" s="799">
        <v>0</v>
      </c>
      <c r="C11" s="633"/>
      <c r="D11" s="633" t="s">
        <v>117</v>
      </c>
      <c r="E11" s="799">
        <v>0</v>
      </c>
      <c r="F11" s="907"/>
    </row>
    <row r="12" spans="1:10" ht="24" customHeight="1">
      <c r="A12" s="724" t="s">
        <v>118</v>
      </c>
      <c r="B12" s="725">
        <v>324</v>
      </c>
      <c r="C12" s="908"/>
      <c r="D12" s="724" t="s">
        <v>118</v>
      </c>
      <c r="E12" s="838">
        <f>'34'!$B$12</f>
        <v>324</v>
      </c>
      <c r="F12" s="909">
        <f>E12-B12</f>
        <v>0</v>
      </c>
    </row>
    <row r="13" spans="1:10" s="914" customFormat="1" ht="24" customHeight="1">
      <c r="A13" s="724" t="s">
        <v>119</v>
      </c>
      <c r="B13" s="725">
        <v>52000</v>
      </c>
      <c r="C13" s="908"/>
      <c r="D13" s="724" t="s">
        <v>119</v>
      </c>
      <c r="E13" s="838">
        <f>'34'!$B$13</f>
        <v>64000</v>
      </c>
      <c r="F13" s="910">
        <f>E13-B13</f>
        <v>12000</v>
      </c>
      <c r="G13" s="911"/>
      <c r="H13" s="912"/>
      <c r="I13" s="913"/>
    </row>
    <row r="14" spans="1:10" ht="24" hidden="1" customHeight="1">
      <c r="A14" s="633" t="s">
        <v>120</v>
      </c>
      <c r="B14" s="760"/>
      <c r="C14" s="633"/>
      <c r="D14" s="633" t="s">
        <v>120</v>
      </c>
      <c r="E14" s="793"/>
      <c r="F14" s="915"/>
      <c r="G14" s="916"/>
      <c r="H14" s="916"/>
      <c r="I14" s="884"/>
    </row>
    <row r="15" spans="1:10" ht="24" hidden="1" customHeight="1">
      <c r="A15" s="633" t="s">
        <v>121</v>
      </c>
      <c r="B15" s="760"/>
      <c r="C15" s="633"/>
      <c r="D15" s="633" t="s">
        <v>121</v>
      </c>
      <c r="E15" s="793"/>
      <c r="F15" s="915"/>
      <c r="G15" s="916"/>
      <c r="H15" s="916"/>
      <c r="I15" s="884"/>
    </row>
    <row r="16" spans="1:10" ht="24" hidden="1" customHeight="1">
      <c r="A16" s="633" t="s">
        <v>122</v>
      </c>
      <c r="B16" s="760"/>
      <c r="C16" s="633"/>
      <c r="D16" s="633" t="s">
        <v>122</v>
      </c>
      <c r="E16" s="793"/>
      <c r="F16" s="915"/>
      <c r="G16" s="916"/>
      <c r="H16" s="916"/>
      <c r="I16" s="884"/>
    </row>
    <row r="17" spans="1:63" ht="24" hidden="1" customHeight="1">
      <c r="A17" s="633" t="s">
        <v>123</v>
      </c>
      <c r="B17" s="760"/>
      <c r="C17" s="633"/>
      <c r="D17" s="633" t="s">
        <v>123</v>
      </c>
      <c r="E17" s="793"/>
      <c r="F17" s="915"/>
      <c r="G17" s="916"/>
      <c r="H17" s="916"/>
      <c r="I17" s="884"/>
    </row>
    <row r="18" spans="1:63" ht="24" hidden="1" customHeight="1">
      <c r="A18" s="633" t="s">
        <v>124</v>
      </c>
      <c r="B18" s="760"/>
      <c r="C18" s="633"/>
      <c r="D18" s="633" t="s">
        <v>124</v>
      </c>
      <c r="E18" s="793"/>
      <c r="F18" s="915"/>
      <c r="G18" s="916"/>
      <c r="H18" s="916"/>
      <c r="I18" s="884"/>
    </row>
    <row r="19" spans="1:63" ht="24" hidden="1" customHeight="1">
      <c r="A19" s="633" t="s">
        <v>125</v>
      </c>
      <c r="B19" s="760"/>
      <c r="C19" s="633"/>
      <c r="D19" s="633" t="s">
        <v>125</v>
      </c>
      <c r="E19" s="793"/>
      <c r="F19" s="915"/>
      <c r="G19" s="884"/>
      <c r="H19" s="884"/>
      <c r="I19" s="884"/>
    </row>
    <row r="20" spans="1:63" ht="8.25" hidden="1" customHeight="1">
      <c r="A20" s="643"/>
      <c r="B20" s="650"/>
      <c r="C20" s="650"/>
      <c r="D20" s="643"/>
      <c r="E20" s="790"/>
      <c r="F20" s="917"/>
    </row>
    <row r="21" spans="1:63" ht="24" hidden="1" customHeight="1">
      <c r="A21" s="633" t="s">
        <v>126</v>
      </c>
      <c r="B21" s="760">
        <v>0</v>
      </c>
      <c r="C21" s="633"/>
      <c r="D21" s="633" t="s">
        <v>126</v>
      </c>
      <c r="E21" s="793">
        <v>0</v>
      </c>
      <c r="F21" s="915"/>
      <c r="G21" s="884"/>
      <c r="H21" s="884"/>
      <c r="I21" s="884"/>
    </row>
    <row r="22" spans="1:63" ht="24" hidden="1" customHeight="1">
      <c r="A22" s="633" t="s">
        <v>127</v>
      </c>
      <c r="B22" s="760"/>
      <c r="C22" s="633"/>
      <c r="D22" s="633" t="s">
        <v>127</v>
      </c>
      <c r="E22" s="793"/>
      <c r="F22" s="915"/>
      <c r="G22" s="884"/>
      <c r="H22" s="884"/>
      <c r="I22" s="884"/>
    </row>
    <row r="23" spans="1:63" ht="24" hidden="1" customHeight="1">
      <c r="A23" s="633" t="s">
        <v>128</v>
      </c>
      <c r="B23" s="760">
        <v>0</v>
      </c>
      <c r="C23" s="633"/>
      <c r="D23" s="633" t="s">
        <v>128</v>
      </c>
      <c r="E23" s="793">
        <v>0</v>
      </c>
      <c r="F23" s="915"/>
      <c r="G23" s="884"/>
      <c r="H23" s="884"/>
      <c r="I23" s="884"/>
    </row>
    <row r="24" spans="1:63" ht="24" hidden="1" customHeight="1">
      <c r="A24" s="633" t="s">
        <v>129</v>
      </c>
      <c r="B24" s="760">
        <v>0</v>
      </c>
      <c r="C24" s="633"/>
      <c r="D24" s="633" t="s">
        <v>129</v>
      </c>
      <c r="E24" s="793">
        <v>0</v>
      </c>
      <c r="F24" s="915"/>
      <c r="G24" s="884"/>
      <c r="H24" s="884"/>
      <c r="I24" s="884"/>
    </row>
    <row r="25" spans="1:63" ht="24" hidden="1" customHeight="1">
      <c r="A25" s="633" t="s">
        <v>130</v>
      </c>
      <c r="B25" s="760"/>
      <c r="C25" s="633"/>
      <c r="D25" s="633" t="s">
        <v>130</v>
      </c>
      <c r="E25" s="793"/>
      <c r="F25" s="915"/>
      <c r="G25" s="884"/>
      <c r="H25" s="884"/>
      <c r="I25" s="884"/>
    </row>
    <row r="26" spans="1:63" ht="8.25" hidden="1" customHeight="1">
      <c r="A26" s="643"/>
      <c r="B26" s="650"/>
      <c r="C26" s="650"/>
      <c r="D26" s="643"/>
      <c r="E26" s="790"/>
      <c r="F26" s="917"/>
    </row>
    <row r="27" spans="1:63" ht="24" hidden="1" customHeight="1">
      <c r="A27" s="633" t="s">
        <v>131</v>
      </c>
      <c r="B27" s="760"/>
      <c r="C27" s="633"/>
      <c r="D27" s="633" t="s">
        <v>131</v>
      </c>
      <c r="E27" s="793"/>
      <c r="F27" s="915"/>
      <c r="G27" s="884"/>
      <c r="H27" s="884"/>
      <c r="I27" s="884"/>
    </row>
    <row r="28" spans="1:63" ht="24" hidden="1" customHeight="1">
      <c r="A28" s="633"/>
      <c r="B28" s="760"/>
      <c r="C28" s="633"/>
      <c r="D28" s="633"/>
      <c r="E28" s="793"/>
      <c r="F28" s="915"/>
      <c r="G28" s="884"/>
      <c r="H28" s="884"/>
      <c r="I28" s="884"/>
    </row>
    <row r="29" spans="1:63" ht="24" hidden="1" customHeight="1">
      <c r="A29" s="633" t="s">
        <v>132</v>
      </c>
      <c r="B29" s="760"/>
      <c r="C29" s="633"/>
      <c r="D29" s="633" t="s">
        <v>132</v>
      </c>
      <c r="E29" s="793"/>
      <c r="F29" s="915"/>
      <c r="G29" s="884"/>
      <c r="H29" s="884"/>
      <c r="I29" s="884"/>
    </row>
    <row r="30" spans="1:63" ht="24" hidden="1" customHeight="1">
      <c r="A30" s="633" t="s">
        <v>133</v>
      </c>
      <c r="B30" s="760"/>
      <c r="C30" s="633"/>
      <c r="D30" s="633" t="s">
        <v>133</v>
      </c>
      <c r="E30" s="793"/>
      <c r="F30" s="915"/>
    </row>
    <row r="31" spans="1:63" ht="24" hidden="1" customHeight="1">
      <c r="A31" s="633" t="s">
        <v>134</v>
      </c>
      <c r="B31" s="760">
        <v>0</v>
      </c>
      <c r="C31" s="633"/>
      <c r="D31" s="633" t="s">
        <v>134</v>
      </c>
      <c r="E31" s="793">
        <v>0</v>
      </c>
      <c r="F31" s="915"/>
    </row>
    <row r="32" spans="1:63" ht="24" hidden="1" customHeight="1">
      <c r="B32" s="731"/>
      <c r="E32" s="805"/>
      <c r="F32" s="642"/>
      <c r="BC32" s="659"/>
      <c r="BD32" s="647"/>
      <c r="BE32" s="647"/>
      <c r="BF32" s="647"/>
      <c r="BG32" s="647"/>
      <c r="BH32" s="647"/>
      <c r="BI32" s="647"/>
      <c r="BJ32" s="647"/>
      <c r="BK32" s="647"/>
    </row>
    <row r="33" spans="1:63" ht="24" customHeight="1">
      <c r="A33" s="633" t="s">
        <v>136</v>
      </c>
      <c r="B33" s="760"/>
      <c r="C33" s="633"/>
      <c r="D33" s="633" t="s">
        <v>136</v>
      </c>
      <c r="E33" s="793"/>
      <c r="F33" s="915"/>
    </row>
    <row r="34" spans="1:63" ht="24" customHeight="1">
      <c r="A34" s="633" t="s">
        <v>322</v>
      </c>
      <c r="B34" s="760"/>
      <c r="C34" s="633"/>
      <c r="D34" s="633" t="s">
        <v>322</v>
      </c>
      <c r="E34" s="793"/>
      <c r="F34" s="915"/>
    </row>
    <row r="35" spans="1:63" ht="8.25" customHeight="1">
      <c r="A35" s="643"/>
      <c r="B35" s="650"/>
      <c r="C35" s="650"/>
      <c r="D35" s="643"/>
      <c r="E35" s="790"/>
      <c r="F35" s="917"/>
    </row>
    <row r="36" spans="1:63" ht="24" customHeight="1">
      <c r="A36" s="724" t="s">
        <v>145</v>
      </c>
      <c r="B36" s="725">
        <v>400796</v>
      </c>
      <c r="C36" s="633"/>
      <c r="D36" s="724" t="s">
        <v>145</v>
      </c>
      <c r="E36" s="838">
        <f>'34'!$B$43</f>
        <v>458712</v>
      </c>
      <c r="F36" s="655">
        <f>E36-B36</f>
        <v>57916</v>
      </c>
    </row>
    <row r="37" spans="1:63" ht="24" customHeight="1" thickBot="1">
      <c r="A37" s="724" t="s">
        <v>148</v>
      </c>
      <c r="B37" s="725">
        <v>294240</v>
      </c>
      <c r="C37" s="633"/>
      <c r="D37" s="724" t="s">
        <v>148</v>
      </c>
      <c r="E37" s="838">
        <f>'34'!$B$46</f>
        <v>326923</v>
      </c>
      <c r="F37" s="729">
        <f>E37-B37</f>
        <v>32683</v>
      </c>
      <c r="G37" s="990">
        <f>+F36-F37</f>
        <v>25233</v>
      </c>
    </row>
    <row r="38" spans="1:63" ht="8.25" customHeight="1">
      <c r="A38" s="643"/>
      <c r="B38" s="650"/>
      <c r="C38" s="650"/>
      <c r="D38" s="643"/>
      <c r="E38" s="650"/>
      <c r="F38" s="918"/>
    </row>
    <row r="39" spans="1:63" ht="24" hidden="1" customHeight="1">
      <c r="A39" s="629" t="s">
        <v>807</v>
      </c>
      <c r="B39" s="731"/>
      <c r="D39" s="629" t="s">
        <v>807</v>
      </c>
      <c r="E39" s="731"/>
      <c r="G39" s="882"/>
      <c r="H39" s="882"/>
      <c r="I39" s="882"/>
      <c r="BC39" s="659"/>
      <c r="BD39" s="647"/>
      <c r="BE39" s="647"/>
      <c r="BF39" s="647"/>
      <c r="BG39" s="647"/>
      <c r="BH39" s="647"/>
      <c r="BI39" s="647"/>
      <c r="BJ39" s="647"/>
      <c r="BK39" s="647"/>
    </row>
    <row r="40" spans="1:63" ht="31.5" hidden="1">
      <c r="A40" s="775" t="s">
        <v>786</v>
      </c>
      <c r="B40" s="760"/>
      <c r="C40" s="633"/>
      <c r="D40" s="775" t="s">
        <v>786</v>
      </c>
      <c r="E40" s="760"/>
      <c r="F40" s="633"/>
    </row>
    <row r="41" spans="1:63" ht="8.25" hidden="1" customHeight="1">
      <c r="A41" s="643"/>
      <c r="B41" s="650"/>
      <c r="C41" s="650"/>
      <c r="D41" s="643"/>
      <c r="E41" s="650"/>
      <c r="F41" s="650"/>
    </row>
    <row r="42" spans="1:63" ht="24" hidden="1" customHeight="1">
      <c r="A42" s="639"/>
      <c r="B42" s="808"/>
      <c r="C42" s="809"/>
      <c r="D42" s="639"/>
      <c r="E42" s="808"/>
      <c r="F42" s="809"/>
    </row>
    <row r="43" spans="1:63" ht="31.5" hidden="1">
      <c r="A43" s="775" t="s">
        <v>787</v>
      </c>
      <c r="B43" s="760"/>
      <c r="C43" s="633"/>
      <c r="D43" s="775" t="s">
        <v>787</v>
      </c>
      <c r="E43" s="760"/>
      <c r="F43" s="633"/>
    </row>
    <row r="44" spans="1:63" ht="8.25" hidden="1" customHeight="1">
      <c r="A44" s="643"/>
      <c r="B44" s="650"/>
      <c r="C44" s="650"/>
      <c r="D44" s="643"/>
      <c r="E44" s="650"/>
      <c r="F44" s="650"/>
    </row>
    <row r="45" spans="1:63" ht="24" hidden="1" customHeight="1">
      <c r="A45" s="919"/>
      <c r="B45" s="920"/>
      <c r="C45" s="921"/>
      <c r="D45" s="919"/>
      <c r="E45" s="920"/>
      <c r="F45" s="921"/>
    </row>
    <row r="46" spans="1:63" ht="24" hidden="1" customHeight="1">
      <c r="A46" s="633" t="s">
        <v>789</v>
      </c>
      <c r="B46" s="760"/>
      <c r="C46" s="633"/>
      <c r="D46" s="633" t="s">
        <v>789</v>
      </c>
      <c r="E46" s="760"/>
      <c r="F46" s="633"/>
    </row>
    <row r="47" spans="1:63" ht="24" hidden="1" customHeight="1">
      <c r="A47" s="633" t="s">
        <v>790</v>
      </c>
      <c r="B47" s="760"/>
      <c r="C47" s="633"/>
      <c r="D47" s="633" t="s">
        <v>790</v>
      </c>
      <c r="E47" s="760"/>
      <c r="F47" s="633"/>
    </row>
    <row r="48" spans="1:63" ht="24" hidden="1" customHeight="1">
      <c r="A48" s="633" t="s">
        <v>791</v>
      </c>
      <c r="B48" s="760"/>
      <c r="C48" s="633"/>
      <c r="D48" s="633" t="s">
        <v>791</v>
      </c>
      <c r="E48" s="760"/>
      <c r="F48" s="633"/>
    </row>
    <row r="49" spans="1:6" ht="24" hidden="1" customHeight="1">
      <c r="A49" s="633" t="s">
        <v>792</v>
      </c>
      <c r="B49" s="760"/>
      <c r="C49" s="633"/>
      <c r="D49" s="633" t="s">
        <v>792</v>
      </c>
      <c r="E49" s="760"/>
      <c r="F49" s="633"/>
    </row>
    <row r="50" spans="1:6" ht="15.75" hidden="1" customHeight="1">
      <c r="B50" s="799"/>
      <c r="E50" s="799"/>
    </row>
    <row r="51" spans="1:6" ht="16.5" hidden="1">
      <c r="A51" s="810" t="s">
        <v>793</v>
      </c>
      <c r="B51" s="799"/>
      <c r="D51" s="810" t="s">
        <v>793</v>
      </c>
      <c r="E51" s="799"/>
    </row>
    <row r="52" spans="1:6" hidden="1">
      <c r="A52" s="639" t="s">
        <v>794</v>
      </c>
      <c r="B52" s="811"/>
      <c r="D52" s="639" t="s">
        <v>794</v>
      </c>
      <c r="E52" s="811"/>
    </row>
    <row r="53" spans="1:6" hidden="1">
      <c r="A53" s="639" t="s">
        <v>795</v>
      </c>
      <c r="B53" s="811">
        <v>0</v>
      </c>
      <c r="D53" s="639" t="s">
        <v>795</v>
      </c>
      <c r="E53" s="811">
        <v>0</v>
      </c>
    </row>
    <row r="54" spans="1:6" hidden="1">
      <c r="A54" s="639" t="s">
        <v>796</v>
      </c>
      <c r="B54" s="811">
        <v>0</v>
      </c>
      <c r="D54" s="639" t="s">
        <v>796</v>
      </c>
      <c r="E54" s="811">
        <v>0</v>
      </c>
    </row>
    <row r="55" spans="1:6" hidden="1">
      <c r="A55" s="639" t="s">
        <v>797</v>
      </c>
      <c r="B55" s="811"/>
      <c r="D55" s="639" t="s">
        <v>797</v>
      </c>
      <c r="E55" s="811"/>
    </row>
    <row r="56" spans="1:6" hidden="1">
      <c r="A56" s="639" t="s">
        <v>798</v>
      </c>
      <c r="B56" s="811"/>
      <c r="D56" s="639" t="s">
        <v>798</v>
      </c>
      <c r="E56" s="811"/>
    </row>
    <row r="57" spans="1:6" hidden="1">
      <c r="A57" s="639" t="s">
        <v>799</v>
      </c>
      <c r="B57" s="811"/>
      <c r="D57" s="639" t="s">
        <v>799</v>
      </c>
      <c r="E57" s="811"/>
    </row>
    <row r="58" spans="1:6" hidden="1">
      <c r="A58" s="639" t="s">
        <v>800</v>
      </c>
      <c r="B58" s="811"/>
      <c r="D58" s="639" t="s">
        <v>800</v>
      </c>
      <c r="E58" s="811"/>
    </row>
    <row r="59" spans="1:6" hidden="1">
      <c r="A59" s="639" t="s">
        <v>797</v>
      </c>
      <c r="B59" s="811"/>
      <c r="D59" s="639" t="s">
        <v>797</v>
      </c>
      <c r="E59" s="811"/>
    </row>
    <row r="60" spans="1:6" hidden="1">
      <c r="A60" s="639" t="s">
        <v>801</v>
      </c>
      <c r="B60" s="811"/>
      <c r="D60" s="639" t="s">
        <v>801</v>
      </c>
      <c r="E60" s="811"/>
    </row>
    <row r="61" spans="1:6" hidden="1">
      <c r="A61" s="639" t="s">
        <v>802</v>
      </c>
      <c r="B61" s="811"/>
      <c r="D61" s="639" t="s">
        <v>802</v>
      </c>
      <c r="E61" s="811"/>
    </row>
    <row r="62" spans="1:6" hidden="1">
      <c r="A62" s="639" t="s">
        <v>803</v>
      </c>
      <c r="B62" s="811"/>
      <c r="D62" s="639" t="s">
        <v>803</v>
      </c>
      <c r="E62" s="811"/>
    </row>
    <row r="63" spans="1:6">
      <c r="B63" s="629" t="s">
        <v>447</v>
      </c>
      <c r="E63" s="629" t="s">
        <v>447</v>
      </c>
    </row>
    <row r="66" spans="2:5">
      <c r="B66" s="629" t="s">
        <v>165</v>
      </c>
      <c r="E66" s="629" t="s">
        <v>165</v>
      </c>
    </row>
  </sheetData>
  <pageMargins left="0.70000000000000007" right="0.70000000000000007" top="1.1437007874015745" bottom="1.1437007874015745" header="0.74999999999999989" footer="0.74999999999999989"/>
  <pageSetup scale="81" fitToWidth="0" fitToHeight="0" orientation="portrait" r:id="rId1"/>
  <headerFooter alignWithMargins="0"/>
  <colBreaks count="2" manualBreakCount="2">
    <brk id="8" man="1"/>
    <brk id="9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00FF00"/>
  </sheetPr>
  <dimension ref="A1:GV70"/>
  <sheetViews>
    <sheetView workbookViewId="0">
      <selection activeCell="B26" sqref="B26:B41"/>
    </sheetView>
  </sheetViews>
  <sheetFormatPr defaultColWidth="3" defaultRowHeight="15.75"/>
  <cols>
    <col min="1" max="1" width="45.7109375" style="629" bestFit="1" customWidth="1"/>
    <col min="2" max="2" width="19.42578125" style="634" bestFit="1" customWidth="1"/>
    <col min="3" max="3" width="2.85546875" style="629" bestFit="1" customWidth="1"/>
    <col min="4" max="4" width="8.7109375" style="629" customWidth="1"/>
    <col min="5" max="5" width="45.7109375" style="629" bestFit="1" customWidth="1"/>
    <col min="6" max="6" width="19.42578125" style="634" bestFit="1" customWidth="1"/>
    <col min="7" max="7" width="2.85546875" style="629" bestFit="1" customWidth="1"/>
    <col min="8" max="8" width="13.5703125" style="629" bestFit="1" customWidth="1"/>
    <col min="9" max="9" width="27.710937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 customWidth="1"/>
    <col min="223" max="223" width="0.42578125" style="629" customWidth="1"/>
    <col min="224" max="231" width="3" style="629" customWidth="1"/>
    <col min="232" max="232" width="0.42578125" style="629" customWidth="1"/>
    <col min="233" max="238" width="3" style="629" customWidth="1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 customWidth="1"/>
    <col min="249" max="249" width="0.42578125" style="629" customWidth="1"/>
    <col min="250" max="16384" width="3" style="629"/>
  </cols>
  <sheetData>
    <row r="1" spans="1:10">
      <c r="A1" s="626" t="s">
        <v>749</v>
      </c>
      <c r="B1" s="627"/>
      <c r="C1" s="628"/>
      <c r="E1" s="626" t="s">
        <v>748</v>
      </c>
      <c r="F1" s="627"/>
      <c r="G1" s="628"/>
    </row>
    <row r="2" spans="1:10" ht="16.5">
      <c r="A2" s="631" t="s">
        <v>0</v>
      </c>
      <c r="B2" s="624" t="s">
        <v>1</v>
      </c>
      <c r="C2" s="632" t="s">
        <v>2</v>
      </c>
      <c r="E2" s="631" t="s">
        <v>0</v>
      </c>
      <c r="F2" s="624" t="s">
        <v>1</v>
      </c>
      <c r="G2" s="632" t="s">
        <v>2</v>
      </c>
    </row>
    <row r="3" spans="1:10">
      <c r="A3" s="631"/>
      <c r="B3" s="624" t="s">
        <v>3</v>
      </c>
      <c r="C3" s="633"/>
      <c r="E3" s="631"/>
      <c r="F3" s="624" t="s">
        <v>3</v>
      </c>
      <c r="G3" s="633"/>
    </row>
    <row r="4" spans="1:10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 ht="12.75" hidden="1" customHeight="1">
      <c r="C5" s="633"/>
      <c r="G5" s="633"/>
    </row>
    <row r="6" spans="1:10" ht="16.5">
      <c r="A6" s="635" t="s">
        <v>5</v>
      </c>
      <c r="B6" s="636">
        <v>42</v>
      </c>
      <c r="C6" s="633"/>
      <c r="E6" s="635" t="s">
        <v>5</v>
      </c>
      <c r="F6" s="636">
        <v>42</v>
      </c>
      <c r="G6" s="633"/>
    </row>
    <row r="7" spans="1:10" ht="24" customHeight="1" thickBot="1">
      <c r="A7" s="637" t="s">
        <v>6</v>
      </c>
      <c r="B7" s="638" t="s">
        <v>7</v>
      </c>
      <c r="C7" s="633"/>
      <c r="E7" s="637" t="s">
        <v>6</v>
      </c>
      <c r="F7" s="638" t="s">
        <v>7</v>
      </c>
      <c r="G7" s="633"/>
      <c r="H7" s="706" t="s">
        <v>779</v>
      </c>
    </row>
    <row r="8" spans="1:10" ht="24" hidden="1" customHeight="1">
      <c r="A8" s="633" t="s">
        <v>8</v>
      </c>
      <c r="B8" s="641"/>
      <c r="C8" s="633"/>
      <c r="E8" s="633" t="s">
        <v>8</v>
      </c>
      <c r="F8" s="641"/>
      <c r="G8" s="633"/>
      <c r="H8" s="706"/>
    </row>
    <row r="9" spans="1:10" ht="24" hidden="1" customHeight="1">
      <c r="A9" s="633" t="s">
        <v>9</v>
      </c>
      <c r="B9" s="641"/>
      <c r="C9" s="633"/>
      <c r="E9" s="633" t="s">
        <v>9</v>
      </c>
      <c r="F9" s="641"/>
      <c r="G9" s="633"/>
      <c r="H9" s="706"/>
    </row>
    <row r="10" spans="1:10" ht="24" hidden="1" customHeight="1">
      <c r="A10" s="633" t="s">
        <v>93</v>
      </c>
      <c r="B10" s="641"/>
      <c r="C10" s="633"/>
      <c r="E10" s="633" t="s">
        <v>93</v>
      </c>
      <c r="F10" s="641"/>
      <c r="G10" s="633"/>
      <c r="H10" s="706"/>
    </row>
    <row r="11" spans="1:10" ht="24" hidden="1" customHeight="1">
      <c r="A11" s="633" t="s">
        <v>95</v>
      </c>
      <c r="B11" s="641"/>
      <c r="C11" s="633"/>
      <c r="E11" s="633" t="s">
        <v>95</v>
      </c>
      <c r="F11" s="641"/>
      <c r="G11" s="633"/>
      <c r="H11" s="706"/>
    </row>
    <row r="12" spans="1:10" ht="24" hidden="1" customHeight="1">
      <c r="A12" s="633"/>
      <c r="B12" s="641"/>
      <c r="C12" s="633"/>
      <c r="E12" s="633"/>
      <c r="F12" s="641"/>
      <c r="G12" s="633"/>
      <c r="H12" s="706"/>
    </row>
    <row r="13" spans="1:10" ht="24" hidden="1" customHeight="1">
      <c r="A13" s="643" t="s">
        <v>12</v>
      </c>
      <c r="B13" s="644"/>
      <c r="C13" s="643"/>
      <c r="D13" s="645"/>
      <c r="E13" s="643" t="s">
        <v>12</v>
      </c>
      <c r="F13" s="644"/>
      <c r="G13" s="633"/>
      <c r="H13" s="733"/>
      <c r="I13" s="647"/>
      <c r="J13" s="647"/>
    </row>
    <row r="14" spans="1:10" ht="24" hidden="1" customHeight="1">
      <c r="A14" s="643" t="s">
        <v>13</v>
      </c>
      <c r="B14" s="644"/>
      <c r="C14" s="643"/>
      <c r="D14" s="645"/>
      <c r="E14" s="643" t="s">
        <v>13</v>
      </c>
      <c r="F14" s="644"/>
      <c r="G14" s="633"/>
      <c r="H14" s="733"/>
      <c r="I14" s="647"/>
      <c r="J14" s="647"/>
    </row>
    <row r="15" spans="1:10" ht="24" hidden="1" customHeight="1">
      <c r="A15" s="643" t="s">
        <v>96</v>
      </c>
      <c r="B15" s="644"/>
      <c r="C15" s="643"/>
      <c r="D15" s="645"/>
      <c r="E15" s="643" t="s">
        <v>96</v>
      </c>
      <c r="F15" s="644"/>
      <c r="G15" s="633"/>
      <c r="H15" s="733"/>
      <c r="I15" s="647"/>
      <c r="J15" s="647"/>
    </row>
    <row r="16" spans="1:10" ht="24" hidden="1" customHeight="1">
      <c r="A16" s="633" t="s">
        <v>15</v>
      </c>
      <c r="B16" s="648">
        <v>0</v>
      </c>
      <c r="C16" s="633"/>
      <c r="D16" s="647"/>
      <c r="E16" s="633" t="s">
        <v>15</v>
      </c>
      <c r="F16" s="648">
        <v>0</v>
      </c>
      <c r="G16" s="633"/>
      <c r="H16" s="733"/>
      <c r="I16" s="647"/>
      <c r="J16" s="647"/>
    </row>
    <row r="17" spans="1:65" ht="24" hidden="1" customHeight="1">
      <c r="A17" s="633" t="s">
        <v>16</v>
      </c>
      <c r="B17" s="648">
        <v>0</v>
      </c>
      <c r="C17" s="633"/>
      <c r="D17" s="647"/>
      <c r="E17" s="633" t="s">
        <v>16</v>
      </c>
      <c r="F17" s="648">
        <v>0</v>
      </c>
      <c r="G17" s="633"/>
      <c r="H17" s="733"/>
      <c r="I17" s="647"/>
      <c r="J17" s="647"/>
    </row>
    <row r="18" spans="1:65" ht="24" hidden="1" customHeight="1">
      <c r="A18" s="633" t="s">
        <v>17</v>
      </c>
      <c r="B18" s="648"/>
      <c r="C18" s="633"/>
      <c r="D18" s="647"/>
      <c r="E18" s="633" t="s">
        <v>17</v>
      </c>
      <c r="F18" s="648"/>
      <c r="G18" s="633"/>
      <c r="H18" s="733"/>
      <c r="I18" s="647"/>
      <c r="J18" s="647"/>
    </row>
    <row r="19" spans="1:65" ht="24" hidden="1" customHeight="1">
      <c r="A19" s="633" t="s">
        <v>97</v>
      </c>
      <c r="B19" s="648"/>
      <c r="C19" s="633"/>
      <c r="E19" s="633" t="s">
        <v>97</v>
      </c>
      <c r="F19" s="648"/>
      <c r="G19" s="633"/>
      <c r="H19" s="706"/>
    </row>
    <row r="20" spans="1:65" ht="24" hidden="1" customHeight="1">
      <c r="A20" s="633" t="s">
        <v>19</v>
      </c>
      <c r="B20" s="648">
        <v>0</v>
      </c>
      <c r="C20" s="633"/>
      <c r="E20" s="633" t="s">
        <v>19</v>
      </c>
      <c r="F20" s="648">
        <v>0</v>
      </c>
      <c r="G20" s="633"/>
      <c r="H20" s="706"/>
    </row>
    <row r="21" spans="1:65" ht="24" hidden="1" customHeight="1">
      <c r="A21" s="633" t="s">
        <v>20</v>
      </c>
      <c r="B21" s="648">
        <v>0</v>
      </c>
      <c r="C21" s="633"/>
      <c r="E21" s="633" t="s">
        <v>20</v>
      </c>
      <c r="F21" s="648">
        <v>0</v>
      </c>
      <c r="G21" s="633"/>
      <c r="H21" s="706"/>
    </row>
    <row r="22" spans="1:65" ht="24" hidden="1" customHeight="1">
      <c r="A22" s="633"/>
      <c r="B22" s="648"/>
      <c r="C22" s="633"/>
      <c r="E22" s="633"/>
      <c r="F22" s="648"/>
      <c r="G22" s="633"/>
      <c r="H22" s="706"/>
    </row>
    <row r="23" spans="1:65" ht="8.25" hidden="1" customHeight="1">
      <c r="A23" s="643"/>
      <c r="B23" s="649"/>
      <c r="C23" s="650"/>
      <c r="D23" s="651"/>
      <c r="E23" s="643"/>
      <c r="F23" s="649"/>
      <c r="G23" s="650"/>
      <c r="H23" s="706"/>
    </row>
    <row r="24" spans="1:65" ht="16.5" hidden="1" customHeight="1">
      <c r="A24" s="643" t="s">
        <v>24</v>
      </c>
      <c r="B24" s="649"/>
      <c r="C24" s="633"/>
      <c r="D24" s="651"/>
      <c r="E24" s="643" t="s">
        <v>24</v>
      </c>
      <c r="F24" s="649"/>
      <c r="G24" s="633"/>
      <c r="H24" s="706"/>
    </row>
    <row r="25" spans="1:65" ht="24" hidden="1" customHeight="1">
      <c r="A25" s="633" t="s">
        <v>25</v>
      </c>
      <c r="B25" s="793">
        <v>0</v>
      </c>
      <c r="C25" s="633"/>
      <c r="D25" s="651"/>
      <c r="E25" s="633" t="s">
        <v>25</v>
      </c>
      <c r="F25" s="793">
        <v>0</v>
      </c>
      <c r="G25" s="633"/>
      <c r="H25" s="903"/>
    </row>
    <row r="26" spans="1:65" ht="24" customHeight="1">
      <c r="A26" s="724" t="s">
        <v>26</v>
      </c>
      <c r="B26" s="725">
        <v>3519945</v>
      </c>
      <c r="C26" s="653"/>
      <c r="E26" s="724" t="s">
        <v>26</v>
      </c>
      <c r="F26" s="725">
        <f>'42'!$B$26</f>
        <v>3713170</v>
      </c>
      <c r="G26" s="654"/>
      <c r="H26" s="812">
        <f>F26-B26</f>
        <v>193225</v>
      </c>
    </row>
    <row r="27" spans="1:65" ht="24" customHeight="1">
      <c r="A27" s="724" t="s">
        <v>27</v>
      </c>
      <c r="B27" s="725">
        <v>1408657.12</v>
      </c>
      <c r="C27" s="633"/>
      <c r="E27" s="724" t="s">
        <v>27</v>
      </c>
      <c r="F27" s="725">
        <f>'42'!$B$27</f>
        <v>1485892.55</v>
      </c>
      <c r="G27" s="639"/>
      <c r="H27" s="813">
        <f>F27-B27</f>
        <v>77235.429999999935</v>
      </c>
    </row>
    <row r="28" spans="1:65" ht="24" hidden="1" customHeight="1">
      <c r="A28" s="651"/>
      <c r="B28" s="788">
        <v>1408657.12</v>
      </c>
      <c r="C28" s="657"/>
      <c r="E28" s="651" t="s">
        <v>28</v>
      </c>
      <c r="F28" s="788">
        <f>F27</f>
        <v>1485892.55</v>
      </c>
      <c r="G28" s="658"/>
      <c r="H28" s="814"/>
      <c r="BE28" s="659"/>
      <c r="BF28" s="647"/>
      <c r="BG28" s="647"/>
      <c r="BH28" s="647"/>
      <c r="BI28" s="647"/>
      <c r="BJ28" s="647"/>
      <c r="BK28" s="647"/>
      <c r="BL28" s="647"/>
      <c r="BM28" s="647"/>
    </row>
    <row r="29" spans="1:65" ht="24" hidden="1" customHeight="1">
      <c r="A29" s="633" t="s">
        <v>29</v>
      </c>
      <c r="B29" s="789"/>
      <c r="C29" s="657"/>
      <c r="E29" s="633" t="s">
        <v>29</v>
      </c>
      <c r="F29" s="789"/>
      <c r="G29" s="658"/>
      <c r="H29" s="814"/>
    </row>
    <row r="30" spans="1:65" ht="24" hidden="1" customHeight="1">
      <c r="A30" s="633" t="s">
        <v>30</v>
      </c>
      <c r="B30" s="789">
        <v>0</v>
      </c>
      <c r="C30" s="633"/>
      <c r="E30" s="633" t="s">
        <v>30</v>
      </c>
      <c r="F30" s="789">
        <v>0</v>
      </c>
      <c r="G30" s="639"/>
      <c r="H30" s="814"/>
    </row>
    <row r="31" spans="1:65" ht="24" hidden="1" customHeight="1">
      <c r="A31" s="633" t="s">
        <v>35</v>
      </c>
      <c r="B31" s="789">
        <v>0</v>
      </c>
      <c r="C31" s="633"/>
      <c r="E31" s="633" t="s">
        <v>35</v>
      </c>
      <c r="F31" s="789">
        <v>0</v>
      </c>
      <c r="G31" s="639"/>
      <c r="H31" s="814"/>
    </row>
    <row r="32" spans="1:65" ht="24" hidden="1" customHeight="1">
      <c r="A32" s="633" t="s">
        <v>36</v>
      </c>
      <c r="B32" s="789">
        <v>0</v>
      </c>
      <c r="C32" s="633"/>
      <c r="E32" s="633" t="s">
        <v>36</v>
      </c>
      <c r="F32" s="789">
        <v>0</v>
      </c>
      <c r="G32" s="639"/>
      <c r="H32" s="814">
        <f>+H26+H27-H40</f>
        <v>55635.999999999767</v>
      </c>
    </row>
    <row r="33" spans="1:65" ht="24" customHeight="1">
      <c r="A33" s="643" t="s">
        <v>37</v>
      </c>
      <c r="B33" s="790"/>
      <c r="C33" s="633"/>
      <c r="D33" s="651"/>
      <c r="E33" s="643" t="s">
        <v>37</v>
      </c>
      <c r="F33" s="790"/>
      <c r="G33" s="639"/>
      <c r="H33" s="814">
        <f>+H26+H27-H36-H40</f>
        <v>55412.869999999763</v>
      </c>
    </row>
    <row r="34" spans="1:65" ht="24" customHeight="1">
      <c r="A34" s="633" t="s">
        <v>38</v>
      </c>
      <c r="B34" s="791">
        <v>0</v>
      </c>
      <c r="C34" s="653"/>
      <c r="E34" s="633" t="s">
        <v>38</v>
      </c>
      <c r="F34" s="791">
        <v>0</v>
      </c>
      <c r="G34" s="654"/>
      <c r="H34" s="814"/>
    </row>
    <row r="35" spans="1:65" ht="24" customHeight="1">
      <c r="A35" s="724" t="s">
        <v>39</v>
      </c>
      <c r="B35" s="725">
        <v>93850.5</v>
      </c>
      <c r="C35" s="633"/>
      <c r="E35" s="724" t="s">
        <v>39</v>
      </c>
      <c r="F35" s="725">
        <f>'42'!$B$18</f>
        <v>93850.5</v>
      </c>
      <c r="G35" s="639"/>
      <c r="H35" s="813">
        <f>F35-B35</f>
        <v>0</v>
      </c>
      <c r="BE35" s="659"/>
      <c r="BF35" s="647"/>
      <c r="BG35" s="647"/>
      <c r="BH35" s="647"/>
      <c r="BI35" s="647"/>
      <c r="BJ35" s="647"/>
      <c r="BK35" s="647"/>
      <c r="BL35" s="647"/>
      <c r="BM35" s="647"/>
    </row>
    <row r="36" spans="1:65" ht="24" customHeight="1">
      <c r="A36" s="724" t="s">
        <v>40</v>
      </c>
      <c r="B36" s="725">
        <v>4018.73</v>
      </c>
      <c r="C36" s="633"/>
      <c r="E36" s="724" t="s">
        <v>40</v>
      </c>
      <c r="F36" s="725">
        <f>'42'!$B$40</f>
        <v>4241.8599999999997</v>
      </c>
      <c r="G36" s="639"/>
      <c r="H36" s="813">
        <f>F36-B36</f>
        <v>223.12999999999965</v>
      </c>
      <c r="BE36" s="647"/>
      <c r="BF36" s="647"/>
      <c r="BG36" s="647"/>
      <c r="BH36" s="647"/>
      <c r="BI36" s="647"/>
      <c r="BJ36" s="647"/>
      <c r="BK36" s="647"/>
      <c r="BL36" s="647"/>
      <c r="BM36" s="647"/>
    </row>
    <row r="37" spans="1:65" ht="16.5">
      <c r="A37" s="661" t="s">
        <v>41</v>
      </c>
      <c r="B37" s="792">
        <v>0</v>
      </c>
      <c r="C37" s="662"/>
      <c r="E37" s="661" t="s">
        <v>41</v>
      </c>
      <c r="F37" s="792">
        <v>0</v>
      </c>
      <c r="G37" s="663"/>
      <c r="H37" s="814"/>
    </row>
    <row r="38" spans="1:65" ht="24" hidden="1" customHeight="1">
      <c r="A38" s="633" t="s">
        <v>42</v>
      </c>
      <c r="B38" s="793">
        <v>0</v>
      </c>
      <c r="C38" s="633"/>
      <c r="E38" s="633" t="s">
        <v>42</v>
      </c>
      <c r="F38" s="793">
        <v>0</v>
      </c>
      <c r="G38" s="639"/>
      <c r="H38" s="814"/>
    </row>
    <row r="39" spans="1:65" ht="24" customHeight="1">
      <c r="A39" s="633" t="s">
        <v>43</v>
      </c>
      <c r="B39" s="793">
        <v>0</v>
      </c>
      <c r="C39" s="633"/>
      <c r="E39" s="633" t="s">
        <v>43</v>
      </c>
      <c r="F39" s="793">
        <v>0</v>
      </c>
      <c r="G39" s="639"/>
      <c r="H39" s="814"/>
    </row>
    <row r="40" spans="1:65" ht="24" customHeight="1">
      <c r="A40" s="724" t="s">
        <v>44</v>
      </c>
      <c r="B40" s="725">
        <v>4021141.97</v>
      </c>
      <c r="C40" s="633"/>
      <c r="E40" s="724" t="s">
        <v>44</v>
      </c>
      <c r="F40" s="725">
        <f>'42'!$B$44</f>
        <v>4235966.4000000004</v>
      </c>
      <c r="G40" s="639"/>
      <c r="H40" s="813">
        <f>F40-B40</f>
        <v>214824.43000000017</v>
      </c>
    </row>
    <row r="41" spans="1:65" ht="24" customHeight="1" thickBot="1">
      <c r="A41" s="633" t="s">
        <v>45</v>
      </c>
      <c r="B41" s="725">
        <v>4021141.97</v>
      </c>
      <c r="C41" s="664"/>
      <c r="E41" s="633" t="s">
        <v>45</v>
      </c>
      <c r="F41" s="725">
        <f>F40</f>
        <v>4235966.4000000004</v>
      </c>
      <c r="G41" s="666"/>
      <c r="H41" s="922"/>
    </row>
    <row r="42" spans="1:65" ht="24" hidden="1" customHeight="1">
      <c r="A42" s="633" t="s">
        <v>46</v>
      </c>
      <c r="B42" s="648">
        <v>0</v>
      </c>
      <c r="C42" s="633"/>
      <c r="E42" s="633" t="s">
        <v>46</v>
      </c>
      <c r="F42" s="668">
        <v>0</v>
      </c>
      <c r="G42" s="633"/>
      <c r="H42" s="706"/>
    </row>
    <row r="43" spans="1:65" ht="24" hidden="1" customHeight="1">
      <c r="A43" s="633" t="s">
        <v>47</v>
      </c>
      <c r="B43" s="648">
        <v>0</v>
      </c>
      <c r="C43" s="633"/>
      <c r="E43" s="633" t="s">
        <v>47</v>
      </c>
      <c r="F43" s="648">
        <v>0</v>
      </c>
      <c r="G43" s="633"/>
      <c r="H43" s="706"/>
    </row>
    <row r="44" spans="1:65" ht="8.25" hidden="1" customHeight="1">
      <c r="A44" s="643"/>
      <c r="B44" s="649">
        <v>0</v>
      </c>
      <c r="C44" s="650"/>
      <c r="D44" s="651"/>
      <c r="E44" s="643"/>
      <c r="F44" s="649">
        <v>0</v>
      </c>
      <c r="G44" s="650"/>
      <c r="H44" s="706"/>
    </row>
    <row r="45" spans="1:65" ht="24" hidden="1" customHeight="1">
      <c r="A45" s="643" t="s">
        <v>48</v>
      </c>
      <c r="B45" s="644"/>
      <c r="C45" s="633"/>
      <c r="E45" s="643" t="s">
        <v>48</v>
      </c>
      <c r="F45" s="644"/>
      <c r="G45" s="633"/>
      <c r="H45" s="706"/>
    </row>
    <row r="46" spans="1:65" ht="24" hidden="1" customHeight="1">
      <c r="A46" s="633"/>
      <c r="B46" s="648">
        <v>0</v>
      </c>
      <c r="C46" s="633"/>
      <c r="E46" s="633"/>
      <c r="F46" s="648">
        <v>0</v>
      </c>
      <c r="G46" s="633"/>
      <c r="H46" s="706"/>
    </row>
    <row r="47" spans="1:65" ht="24" hidden="1" customHeight="1">
      <c r="A47" s="633" t="s">
        <v>49</v>
      </c>
      <c r="B47" s="648">
        <v>0</v>
      </c>
      <c r="C47" s="633"/>
      <c r="E47" s="633" t="s">
        <v>49</v>
      </c>
      <c r="F47" s="648">
        <f>F50</f>
        <v>0</v>
      </c>
      <c r="G47" s="633"/>
      <c r="H47" s="706"/>
    </row>
    <row r="48" spans="1:65" ht="24" hidden="1" customHeight="1">
      <c r="A48" s="633" t="s">
        <v>50</v>
      </c>
      <c r="B48" s="648">
        <v>0</v>
      </c>
      <c r="C48" s="633"/>
      <c r="E48" s="633" t="s">
        <v>50</v>
      </c>
      <c r="F48" s="648">
        <v>0</v>
      </c>
      <c r="G48" s="633"/>
      <c r="H48" s="706"/>
    </row>
    <row r="49" spans="1:8" ht="24" hidden="1" customHeight="1">
      <c r="A49" s="633" t="s">
        <v>51</v>
      </c>
      <c r="B49" s="648">
        <v>0</v>
      </c>
      <c r="C49" s="633"/>
      <c r="E49" s="633" t="s">
        <v>51</v>
      </c>
      <c r="F49" s="648">
        <v>0</v>
      </c>
      <c r="G49" s="633"/>
      <c r="H49" s="706"/>
    </row>
    <row r="50" spans="1:8" ht="24" hidden="1" customHeight="1">
      <c r="A50" s="633"/>
      <c r="B50" s="648">
        <v>0</v>
      </c>
      <c r="C50" s="633"/>
      <c r="E50" s="633"/>
      <c r="F50" s="648">
        <v>0</v>
      </c>
      <c r="G50" s="633"/>
      <c r="H50" s="706"/>
    </row>
    <row r="51" spans="1:8" ht="24" hidden="1" customHeight="1">
      <c r="A51" s="633" t="s">
        <v>52</v>
      </c>
      <c r="B51" s="648">
        <v>0</v>
      </c>
      <c r="C51" s="633"/>
      <c r="E51" s="633" t="s">
        <v>52</v>
      </c>
      <c r="F51" s="648">
        <v>0</v>
      </c>
      <c r="G51" s="633"/>
      <c r="H51" s="706"/>
    </row>
    <row r="52" spans="1:8" ht="24" hidden="1" customHeight="1">
      <c r="A52" s="633" t="s">
        <v>53</v>
      </c>
      <c r="B52" s="648">
        <v>0</v>
      </c>
      <c r="C52" s="633"/>
      <c r="E52" s="633" t="s">
        <v>53</v>
      </c>
      <c r="F52" s="648">
        <v>0</v>
      </c>
      <c r="G52" s="633"/>
      <c r="H52" s="706"/>
    </row>
    <row r="53" spans="1:8" ht="24" hidden="1" customHeight="1">
      <c r="A53" s="633" t="s">
        <v>54</v>
      </c>
      <c r="B53" s="648">
        <v>0</v>
      </c>
      <c r="C53" s="633"/>
      <c r="E53" s="633" t="s">
        <v>54</v>
      </c>
      <c r="F53" s="648">
        <v>0</v>
      </c>
      <c r="G53" s="633"/>
      <c r="H53" s="706"/>
    </row>
    <row r="54" spans="1:8" ht="24" hidden="1" customHeight="1">
      <c r="A54" s="633" t="s">
        <v>55</v>
      </c>
      <c r="B54" s="648">
        <v>0</v>
      </c>
      <c r="C54" s="633"/>
      <c r="E54" s="633" t="s">
        <v>55</v>
      </c>
      <c r="F54" s="648">
        <v>0</v>
      </c>
      <c r="G54" s="633"/>
      <c r="H54" s="706"/>
    </row>
    <row r="55" spans="1:8" ht="24" hidden="1" customHeight="1">
      <c r="A55" s="633" t="s">
        <v>56</v>
      </c>
      <c r="B55" s="648">
        <v>0</v>
      </c>
      <c r="C55" s="633"/>
      <c r="E55" s="633" t="s">
        <v>56</v>
      </c>
      <c r="F55" s="648">
        <v>0</v>
      </c>
      <c r="G55" s="633"/>
      <c r="H55" s="706"/>
    </row>
    <row r="56" spans="1:8" ht="24" hidden="1" customHeight="1">
      <c r="A56" s="633" t="s">
        <v>57</v>
      </c>
      <c r="B56" s="648">
        <v>0</v>
      </c>
      <c r="C56" s="633"/>
      <c r="E56" s="633" t="s">
        <v>57</v>
      </c>
      <c r="F56" s="648">
        <v>0</v>
      </c>
      <c r="G56" s="633"/>
      <c r="H56" s="706"/>
    </row>
    <row r="57" spans="1:8" ht="24" hidden="1" customHeight="1">
      <c r="A57" s="633"/>
      <c r="B57" s="648">
        <v>0</v>
      </c>
      <c r="C57" s="633"/>
      <c r="E57" s="633"/>
      <c r="F57" s="648">
        <v>0</v>
      </c>
      <c r="G57" s="633"/>
      <c r="H57" s="706"/>
    </row>
    <row r="58" spans="1:8" ht="24" hidden="1" customHeight="1">
      <c r="A58" s="633" t="s">
        <v>58</v>
      </c>
      <c r="B58" s="648">
        <v>0</v>
      </c>
      <c r="C58" s="633"/>
      <c r="E58" s="633" t="s">
        <v>58</v>
      </c>
      <c r="F58" s="648">
        <v>0</v>
      </c>
      <c r="G58" s="633"/>
      <c r="H58" s="706"/>
    </row>
    <row r="59" spans="1:8" ht="24" hidden="1" customHeight="1">
      <c r="A59" s="633" t="s">
        <v>59</v>
      </c>
      <c r="B59" s="669"/>
      <c r="C59" s="633"/>
      <c r="E59" s="633" t="s">
        <v>59</v>
      </c>
      <c r="F59" s="669"/>
      <c r="G59" s="633"/>
      <c r="H59" s="706"/>
    </row>
    <row r="60" spans="1:8" ht="24" hidden="1" customHeight="1">
      <c r="A60" s="633" t="s">
        <v>60</v>
      </c>
      <c r="B60" s="669"/>
      <c r="C60" s="633"/>
      <c r="E60" s="633" t="s">
        <v>60</v>
      </c>
      <c r="F60" s="669"/>
      <c r="G60" s="633"/>
      <c r="H60" s="706"/>
    </row>
    <row r="61" spans="1:8" ht="24" hidden="1" customHeight="1">
      <c r="A61" s="633" t="s">
        <v>61</v>
      </c>
      <c r="B61" s="669"/>
      <c r="C61" s="633"/>
      <c r="E61" s="633" t="s">
        <v>61</v>
      </c>
      <c r="F61" s="669"/>
      <c r="G61" s="633"/>
      <c r="H61" s="706"/>
    </row>
    <row r="62" spans="1:8" ht="24" hidden="1" customHeight="1">
      <c r="A62" s="633" t="s">
        <v>103</v>
      </c>
      <c r="B62" s="669"/>
      <c r="C62" s="633"/>
      <c r="E62" s="633" t="s">
        <v>103</v>
      </c>
      <c r="F62" s="669"/>
      <c r="G62" s="633"/>
      <c r="H62" s="706"/>
    </row>
    <row r="63" spans="1:8" ht="24" hidden="1" customHeight="1">
      <c r="A63" s="633"/>
      <c r="B63" s="669"/>
      <c r="C63" s="633"/>
      <c r="E63" s="633"/>
      <c r="F63" s="669"/>
      <c r="G63" s="633"/>
      <c r="H63" s="706"/>
    </row>
    <row r="64" spans="1:8" ht="24" hidden="1" customHeight="1">
      <c r="A64" s="633"/>
      <c r="B64" s="648"/>
      <c r="C64" s="633"/>
      <c r="E64" s="633"/>
      <c r="F64" s="648"/>
      <c r="G64" s="633"/>
      <c r="H64" s="706"/>
    </row>
    <row r="65" spans="1:8" ht="24" hidden="1" customHeight="1">
      <c r="A65" s="633"/>
      <c r="B65" s="648"/>
      <c r="C65" s="633"/>
      <c r="E65" s="633"/>
      <c r="F65" s="648"/>
      <c r="G65" s="633"/>
      <c r="H65" s="706"/>
    </row>
    <row r="66" spans="1:8" ht="24" hidden="1" customHeight="1">
      <c r="A66" s="633"/>
      <c r="B66" s="648"/>
      <c r="C66" s="633"/>
      <c r="E66" s="633"/>
      <c r="F66" s="648"/>
      <c r="G66" s="633"/>
      <c r="H66" s="706"/>
    </row>
    <row r="67" spans="1:8" ht="24" hidden="1" customHeight="1">
      <c r="A67" s="633"/>
      <c r="B67" s="648"/>
      <c r="C67" s="633"/>
      <c r="E67" s="633"/>
      <c r="F67" s="648"/>
      <c r="G67" s="633"/>
    </row>
    <row r="68" spans="1:8" ht="24" hidden="1" customHeight="1">
      <c r="A68" s="633"/>
      <c r="B68" s="648"/>
      <c r="C68" s="633"/>
      <c r="E68" s="633"/>
      <c r="F68" s="648"/>
      <c r="G68" s="633"/>
    </row>
    <row r="69" spans="1:8" ht="24" hidden="1" customHeight="1">
      <c r="A69" s="633"/>
      <c r="B69" s="648"/>
      <c r="C69" s="633"/>
      <c r="E69" s="633"/>
      <c r="F69" s="648"/>
      <c r="G69" s="633"/>
    </row>
    <row r="70" spans="1:8" ht="15.75" customHeight="1"/>
  </sheetData>
  <pageMargins left="0.70000000000000007" right="0.70000000000000007" top="1.1437007874015745" bottom="1.1437007874015745" header="0.74999999999999989" footer="0.74999999999999989"/>
  <pageSetup paperSize="9" fitToWidth="0" fitToHeight="0" orientation="portrait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00FF00"/>
  </sheetPr>
  <dimension ref="A1:GV43"/>
  <sheetViews>
    <sheetView workbookViewId="0">
      <selection activeCell="J49" sqref="J49"/>
    </sheetView>
  </sheetViews>
  <sheetFormatPr defaultColWidth="3" defaultRowHeight="15.75"/>
  <cols>
    <col min="1" max="1" width="32.85546875" style="629" bestFit="1" customWidth="1"/>
    <col min="2" max="2" width="14.7109375" style="634" bestFit="1" customWidth="1"/>
    <col min="3" max="3" width="2.85546875" style="629" bestFit="1" customWidth="1"/>
    <col min="4" max="4" width="8.7109375" style="629" customWidth="1"/>
    <col min="5" max="5" width="32.85546875" style="629" bestFit="1" customWidth="1"/>
    <col min="6" max="6" width="14.7109375" style="634" bestFit="1" customWidth="1"/>
    <col min="7" max="7" width="2.85546875" style="629" bestFit="1" customWidth="1"/>
    <col min="8" max="8" width="13.5703125" style="629" bestFit="1" customWidth="1"/>
    <col min="9" max="9" width="6.42578125" style="629" bestFit="1" customWidth="1"/>
    <col min="10" max="10" width="16.140625" style="629" bestFit="1" customWidth="1"/>
    <col min="11" max="13" width="8.7109375" style="629" customWidth="1"/>
    <col min="14" max="14" width="1.5703125" style="629" bestFit="1" customWidth="1"/>
    <col min="15" max="15" width="8.7109375" style="629" customWidth="1"/>
    <col min="16" max="16" width="3.28515625" style="629" bestFit="1" customWidth="1"/>
    <col min="17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 customWidth="1"/>
    <col min="223" max="223" width="0.42578125" style="629" customWidth="1"/>
    <col min="224" max="231" width="3" style="629" customWidth="1"/>
    <col min="232" max="232" width="0.42578125" style="629" customWidth="1"/>
    <col min="233" max="238" width="3" style="629" customWidth="1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 customWidth="1"/>
    <col min="249" max="249" width="0.42578125" style="629" customWidth="1"/>
    <col min="250" max="16384" width="3" style="629"/>
  </cols>
  <sheetData>
    <row r="1" spans="1:10">
      <c r="A1" s="628" t="s">
        <v>808</v>
      </c>
      <c r="B1" s="627"/>
      <c r="C1" s="628"/>
      <c r="E1" s="628" t="s">
        <v>809</v>
      </c>
      <c r="F1" s="627"/>
      <c r="G1" s="628"/>
    </row>
    <row r="2" spans="1:10" ht="16.5">
      <c r="A2" s="631" t="s">
        <v>0</v>
      </c>
      <c r="B2" s="624" t="s">
        <v>70</v>
      </c>
      <c r="C2" s="632" t="s">
        <v>2</v>
      </c>
      <c r="E2" s="631" t="s">
        <v>0</v>
      </c>
      <c r="F2" s="624" t="s">
        <v>70</v>
      </c>
      <c r="G2" s="632" t="s">
        <v>2</v>
      </c>
    </row>
    <row r="3" spans="1:10">
      <c r="A3" s="631"/>
      <c r="B3" s="624"/>
      <c r="C3" s="633"/>
      <c r="E3" s="631"/>
      <c r="F3" s="624"/>
      <c r="G3" s="633"/>
    </row>
    <row r="4" spans="1:10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>
      <c r="C5" s="633"/>
      <c r="G5" s="633"/>
    </row>
    <row r="6" spans="1:10" ht="27" customHeight="1">
      <c r="A6" s="635" t="s">
        <v>5</v>
      </c>
      <c r="B6" s="636">
        <v>57</v>
      </c>
      <c r="C6" s="633"/>
      <c r="E6" s="635" t="s">
        <v>5</v>
      </c>
      <c r="F6" s="636">
        <v>57</v>
      </c>
      <c r="G6" s="633"/>
    </row>
    <row r="7" spans="1:10" ht="17.25" thickBot="1">
      <c r="A7" s="637" t="s">
        <v>6</v>
      </c>
      <c r="B7" s="638" t="s">
        <v>332</v>
      </c>
      <c r="C7" s="633"/>
      <c r="E7" s="637" t="s">
        <v>6</v>
      </c>
      <c r="F7" s="638" t="s">
        <v>332</v>
      </c>
      <c r="G7" s="633"/>
      <c r="H7" s="706" t="s">
        <v>779</v>
      </c>
    </row>
    <row r="8" spans="1:10" ht="16.5">
      <c r="A8" s="633" t="s">
        <v>76</v>
      </c>
      <c r="B8" s="923"/>
      <c r="C8" s="633"/>
      <c r="E8" s="633" t="s">
        <v>76</v>
      </c>
      <c r="F8" s="923"/>
      <c r="G8" s="639"/>
      <c r="H8" s="924"/>
      <c r="I8" s="835"/>
    </row>
    <row r="9" spans="1:10" ht="16.5" hidden="1">
      <c r="A9" s="633" t="s">
        <v>333</v>
      </c>
      <c r="B9" s="923"/>
      <c r="C9" s="633"/>
      <c r="E9" s="633" t="s">
        <v>333</v>
      </c>
      <c r="F9" s="923"/>
      <c r="G9" s="639"/>
      <c r="H9" s="814"/>
      <c r="I9" s="835"/>
    </row>
    <row r="10" spans="1:10" ht="16.5" hidden="1">
      <c r="A10" s="633" t="s">
        <v>334</v>
      </c>
      <c r="B10" s="923"/>
      <c r="C10" s="633"/>
      <c r="E10" s="633" t="s">
        <v>334</v>
      </c>
      <c r="F10" s="923"/>
      <c r="G10" s="639"/>
      <c r="H10" s="814"/>
      <c r="I10" s="835"/>
    </row>
    <row r="11" spans="1:10" ht="16.5" hidden="1">
      <c r="A11" s="633" t="s">
        <v>90</v>
      </c>
      <c r="B11" s="923"/>
      <c r="C11" s="633"/>
      <c r="E11" s="633" t="s">
        <v>90</v>
      </c>
      <c r="F11" s="923"/>
      <c r="G11" s="639"/>
      <c r="H11" s="814"/>
      <c r="I11" s="835"/>
    </row>
    <row r="12" spans="1:10" ht="16.5" hidden="1">
      <c r="A12" s="633" t="s">
        <v>335</v>
      </c>
      <c r="B12" s="923">
        <v>0</v>
      </c>
      <c r="C12" s="633"/>
      <c r="E12" s="633" t="s">
        <v>335</v>
      </c>
      <c r="F12" s="923">
        <v>0</v>
      </c>
      <c r="G12" s="639"/>
      <c r="H12" s="814"/>
      <c r="I12" s="835"/>
    </row>
    <row r="13" spans="1:10" ht="16.5" hidden="1">
      <c r="A13" s="633" t="s">
        <v>336</v>
      </c>
      <c r="B13" s="923">
        <v>0</v>
      </c>
      <c r="C13" s="633"/>
      <c r="D13" s="647"/>
      <c r="E13" s="633" t="s">
        <v>336</v>
      </c>
      <c r="F13" s="923">
        <v>0</v>
      </c>
      <c r="G13" s="639"/>
      <c r="H13" s="905"/>
      <c r="I13" s="916"/>
      <c r="J13" s="647"/>
    </row>
    <row r="14" spans="1:10" ht="16.5" hidden="1">
      <c r="A14" s="633" t="s">
        <v>337</v>
      </c>
      <c r="B14" s="923">
        <v>0</v>
      </c>
      <c r="C14" s="633"/>
      <c r="D14" s="647"/>
      <c r="E14" s="633" t="s">
        <v>337</v>
      </c>
      <c r="F14" s="923">
        <v>0</v>
      </c>
      <c r="G14" s="639"/>
      <c r="H14" s="905"/>
      <c r="I14" s="916"/>
      <c r="J14" s="647"/>
    </row>
    <row r="15" spans="1:10" ht="16.5" hidden="1">
      <c r="A15" s="633" t="s">
        <v>338</v>
      </c>
      <c r="B15" s="669"/>
      <c r="C15" s="633"/>
      <c r="D15" s="647"/>
      <c r="E15" s="633" t="s">
        <v>338</v>
      </c>
      <c r="F15" s="669"/>
      <c r="G15" s="639"/>
      <c r="H15" s="905"/>
      <c r="I15" s="916"/>
      <c r="J15" s="647"/>
    </row>
    <row r="16" spans="1:10" ht="16.5" hidden="1">
      <c r="A16" s="633" t="s">
        <v>339</v>
      </c>
      <c r="B16" s="669"/>
      <c r="C16" s="633"/>
      <c r="D16" s="647"/>
      <c r="E16" s="633" t="s">
        <v>339</v>
      </c>
      <c r="F16" s="669"/>
      <c r="G16" s="639"/>
      <c r="H16" s="905"/>
      <c r="I16" s="916"/>
      <c r="J16" s="647"/>
    </row>
    <row r="17" spans="1:14" ht="16.5" hidden="1">
      <c r="A17" s="633" t="s">
        <v>340</v>
      </c>
      <c r="B17" s="923">
        <v>0</v>
      </c>
      <c r="C17" s="633"/>
      <c r="D17" s="647"/>
      <c r="E17" s="633" t="s">
        <v>340</v>
      </c>
      <c r="F17" s="923">
        <v>0</v>
      </c>
      <c r="G17" s="639"/>
      <c r="H17" s="905"/>
      <c r="I17" s="916"/>
      <c r="J17" s="647"/>
    </row>
    <row r="18" spans="1:14" ht="16.5" hidden="1">
      <c r="A18" s="633" t="s">
        <v>341</v>
      </c>
      <c r="B18" s="923">
        <v>0</v>
      </c>
      <c r="C18" s="633"/>
      <c r="D18" s="647"/>
      <c r="E18" s="633" t="s">
        <v>341</v>
      </c>
      <c r="F18" s="923">
        <v>0</v>
      </c>
      <c r="G18" s="639"/>
      <c r="H18" s="905"/>
      <c r="I18" s="916"/>
      <c r="J18" s="647"/>
    </row>
    <row r="19" spans="1:14" ht="16.5" hidden="1">
      <c r="A19" s="633" t="s">
        <v>342</v>
      </c>
      <c r="B19" s="669">
        <v>0</v>
      </c>
      <c r="C19" s="633"/>
      <c r="E19" s="633" t="s">
        <v>342</v>
      </c>
      <c r="F19" s="669">
        <v>0</v>
      </c>
      <c r="G19" s="639"/>
      <c r="H19" s="814"/>
      <c r="I19" s="884"/>
    </row>
    <row r="20" spans="1:14" ht="16.5" hidden="1">
      <c r="A20" s="633"/>
      <c r="B20" s="669"/>
      <c r="C20" s="633"/>
      <c r="E20" s="633" t="s">
        <v>343</v>
      </c>
      <c r="F20" s="669"/>
      <c r="G20" s="639"/>
      <c r="H20" s="814"/>
      <c r="I20" s="884"/>
    </row>
    <row r="21" spans="1:14" ht="16.5" hidden="1">
      <c r="A21" s="633" t="s">
        <v>72</v>
      </c>
      <c r="B21" s="923">
        <v>0</v>
      </c>
      <c r="C21" s="633"/>
      <c r="E21" s="633" t="s">
        <v>72</v>
      </c>
      <c r="F21" s="923">
        <v>0</v>
      </c>
      <c r="G21" s="639"/>
      <c r="H21" s="814"/>
      <c r="I21" s="884"/>
    </row>
    <row r="22" spans="1:14" ht="16.5" hidden="1">
      <c r="A22" s="633" t="s">
        <v>344</v>
      </c>
      <c r="B22" s="923">
        <v>0</v>
      </c>
      <c r="C22" s="633"/>
      <c r="E22" s="633" t="s">
        <v>344</v>
      </c>
      <c r="F22" s="923">
        <v>0</v>
      </c>
      <c r="G22" s="639"/>
      <c r="H22" s="814"/>
      <c r="I22" s="884"/>
    </row>
    <row r="23" spans="1:14" ht="16.5">
      <c r="A23" s="724" t="s">
        <v>71</v>
      </c>
      <c r="B23" s="725">
        <v>6132.2</v>
      </c>
      <c r="C23" s="633"/>
      <c r="E23" s="724" t="s">
        <v>71</v>
      </c>
      <c r="F23" s="725">
        <f>'57'!$B$23</f>
        <v>1481.57</v>
      </c>
      <c r="G23" s="639"/>
      <c r="H23" s="806">
        <f>F23-B23</f>
        <v>-4650.63</v>
      </c>
      <c r="I23" s="925">
        <f>+H23-H43</f>
        <v>-3274.63</v>
      </c>
      <c r="J23" s="687" t="s">
        <v>183</v>
      </c>
      <c r="K23" s="687"/>
    </row>
    <row r="24" spans="1:14" ht="16.5">
      <c r="A24" s="724" t="s">
        <v>81</v>
      </c>
      <c r="B24" s="725">
        <v>5760.48</v>
      </c>
      <c r="C24" s="633"/>
      <c r="E24" s="724" t="s">
        <v>81</v>
      </c>
      <c r="F24" s="725">
        <f>'57'!$B$24</f>
        <v>1409.84</v>
      </c>
      <c r="G24" s="639"/>
      <c r="H24" s="806">
        <f>F24-B24</f>
        <v>-4350.6399999999994</v>
      </c>
      <c r="I24" s="884"/>
    </row>
    <row r="25" spans="1:14" ht="16.5">
      <c r="A25" s="633" t="s">
        <v>345</v>
      </c>
      <c r="B25" s="923"/>
      <c r="C25" s="633"/>
      <c r="E25" s="633" t="s">
        <v>345</v>
      </c>
      <c r="F25" s="668"/>
      <c r="G25" s="639"/>
      <c r="H25" s="814"/>
      <c r="I25" s="884"/>
    </row>
    <row r="26" spans="1:14" ht="16.5" hidden="1">
      <c r="A26" s="633" t="s">
        <v>346</v>
      </c>
      <c r="B26" s="736"/>
      <c r="C26" s="633"/>
      <c r="E26" s="633" t="s">
        <v>346</v>
      </c>
      <c r="F26" s="668"/>
      <c r="G26" s="639"/>
      <c r="H26" s="814"/>
      <c r="I26" s="884"/>
    </row>
    <row r="27" spans="1:14" ht="16.5" hidden="1">
      <c r="A27" s="633" t="s">
        <v>347</v>
      </c>
      <c r="B27" s="736"/>
      <c r="C27" s="633"/>
      <c r="E27" s="633" t="s">
        <v>347</v>
      </c>
      <c r="F27" s="668"/>
      <c r="G27" s="639"/>
      <c r="H27" s="814"/>
      <c r="I27" s="884"/>
      <c r="N27" s="629" t="s">
        <v>36</v>
      </c>
    </row>
    <row r="28" spans="1:14" ht="16.5" hidden="1">
      <c r="A28" s="633" t="s">
        <v>348</v>
      </c>
      <c r="B28" s="669">
        <v>0</v>
      </c>
      <c r="C28" s="650"/>
      <c r="E28" s="633" t="s">
        <v>348</v>
      </c>
      <c r="F28" s="668">
        <v>0</v>
      </c>
      <c r="G28" s="650"/>
      <c r="H28" s="814"/>
      <c r="I28" s="835"/>
    </row>
    <row r="29" spans="1:14" ht="16.5" hidden="1">
      <c r="A29" s="633" t="s">
        <v>349</v>
      </c>
      <c r="B29" s="669">
        <v>0</v>
      </c>
      <c r="C29" s="633"/>
      <c r="E29" s="633" t="s">
        <v>349</v>
      </c>
      <c r="F29" s="669">
        <v>0</v>
      </c>
      <c r="G29" s="639"/>
      <c r="H29" s="814"/>
      <c r="I29" s="884"/>
    </row>
    <row r="30" spans="1:14" ht="16.5" hidden="1">
      <c r="A30" s="633" t="s">
        <v>350</v>
      </c>
      <c r="B30" s="669"/>
      <c r="C30" s="633"/>
      <c r="E30" s="633" t="s">
        <v>350</v>
      </c>
      <c r="F30" s="669"/>
      <c r="G30" s="639"/>
      <c r="H30" s="814"/>
      <c r="I30" s="835"/>
    </row>
    <row r="31" spans="1:14" ht="16.5" hidden="1">
      <c r="A31" s="653" t="s">
        <v>351</v>
      </c>
      <c r="B31" s="669">
        <v>0</v>
      </c>
      <c r="C31" s="653"/>
      <c r="E31" s="653" t="s">
        <v>351</v>
      </c>
      <c r="F31" s="669">
        <v>0</v>
      </c>
      <c r="G31" s="654"/>
      <c r="H31" s="814"/>
      <c r="I31" s="835"/>
    </row>
    <row r="32" spans="1:14" ht="16.5" hidden="1">
      <c r="A32" s="633" t="s">
        <v>352</v>
      </c>
      <c r="B32" s="669"/>
      <c r="C32" s="633"/>
      <c r="E32" s="633" t="s">
        <v>352</v>
      </c>
      <c r="F32" s="669"/>
      <c r="G32" s="639"/>
      <c r="H32" s="814"/>
      <c r="I32" s="835"/>
    </row>
    <row r="33" spans="1:65" ht="16.5" hidden="1">
      <c r="A33" s="629" t="s">
        <v>353</v>
      </c>
      <c r="B33" s="669">
        <v>0</v>
      </c>
      <c r="C33" s="633"/>
      <c r="E33" s="629" t="s">
        <v>353</v>
      </c>
      <c r="F33" s="669">
        <v>0</v>
      </c>
      <c r="G33" s="639"/>
      <c r="H33" s="814"/>
      <c r="I33" s="835"/>
      <c r="BE33" s="659"/>
      <c r="BF33" s="647"/>
      <c r="BG33" s="647"/>
      <c r="BH33" s="647"/>
      <c r="BI33" s="647"/>
      <c r="BJ33" s="647"/>
      <c r="BK33" s="647"/>
      <c r="BL33" s="647"/>
      <c r="BM33" s="647"/>
    </row>
    <row r="34" spans="1:65" ht="16.5" hidden="1">
      <c r="A34" s="633" t="s">
        <v>354</v>
      </c>
      <c r="B34" s="669"/>
      <c r="C34" s="657"/>
      <c r="E34" s="633" t="s">
        <v>354</v>
      </c>
      <c r="F34" s="669"/>
      <c r="G34" s="658"/>
      <c r="H34" s="814"/>
      <c r="I34" s="835"/>
    </row>
    <row r="35" spans="1:65" ht="16.5" hidden="1">
      <c r="A35" s="633" t="s">
        <v>355</v>
      </c>
      <c r="B35" s="669"/>
      <c r="C35" s="633"/>
      <c r="E35" s="633" t="s">
        <v>355</v>
      </c>
      <c r="F35" s="669"/>
      <c r="G35" s="639"/>
      <c r="H35" s="814"/>
      <c r="I35" s="835"/>
    </row>
    <row r="36" spans="1:65" ht="16.5" hidden="1">
      <c r="A36" s="633" t="s">
        <v>356</v>
      </c>
      <c r="B36" s="669"/>
      <c r="C36" s="633"/>
      <c r="E36" s="633" t="s">
        <v>356</v>
      </c>
      <c r="F36" s="669"/>
      <c r="G36" s="639"/>
      <c r="H36" s="814"/>
      <c r="I36" s="835"/>
    </row>
    <row r="37" spans="1:65" ht="16.5" hidden="1">
      <c r="A37" s="633" t="s">
        <v>653</v>
      </c>
      <c r="B37" s="923"/>
      <c r="C37" s="633"/>
      <c r="E37" s="633" t="s">
        <v>653</v>
      </c>
      <c r="F37" s="923"/>
      <c r="G37" s="639"/>
      <c r="H37" s="814"/>
      <c r="I37" s="835"/>
      <c r="P37" s="629">
        <v>54</v>
      </c>
    </row>
    <row r="38" spans="1:65" ht="16.5" hidden="1">
      <c r="A38" s="633" t="s">
        <v>654</v>
      </c>
      <c r="B38" s="923"/>
      <c r="C38" s="633"/>
      <c r="E38" s="633" t="s">
        <v>654</v>
      </c>
      <c r="F38" s="923"/>
      <c r="G38" s="639"/>
      <c r="H38" s="814"/>
      <c r="I38" s="835"/>
    </row>
    <row r="39" spans="1:65" ht="16.5">
      <c r="A39" s="633" t="s">
        <v>357</v>
      </c>
      <c r="B39" s="736">
        <v>0</v>
      </c>
      <c r="C39" s="633"/>
      <c r="D39" s="651"/>
      <c r="E39" s="633" t="s">
        <v>357</v>
      </c>
      <c r="F39" s="736">
        <v>0</v>
      </c>
      <c r="G39" s="639"/>
      <c r="H39" s="814"/>
      <c r="I39" s="835"/>
    </row>
    <row r="40" spans="1:65" ht="16.5">
      <c r="A40" s="653" t="s">
        <v>358</v>
      </c>
      <c r="B40" s="923">
        <v>0</v>
      </c>
      <c r="C40" s="633"/>
      <c r="E40" s="653" t="s">
        <v>358</v>
      </c>
      <c r="F40" s="923">
        <v>0</v>
      </c>
      <c r="G40" s="639"/>
      <c r="H40" s="814"/>
      <c r="I40" s="835"/>
    </row>
    <row r="41" spans="1:65" ht="16.5">
      <c r="A41" s="633" t="s">
        <v>359</v>
      </c>
      <c r="B41" s="923"/>
      <c r="C41" s="633"/>
      <c r="E41" s="633" t="s">
        <v>359</v>
      </c>
      <c r="F41" s="923"/>
      <c r="G41" s="639"/>
      <c r="H41" s="814"/>
      <c r="I41" s="835"/>
    </row>
    <row r="42" spans="1:65" ht="16.5">
      <c r="A42" s="657" t="s">
        <v>360</v>
      </c>
      <c r="B42" s="923"/>
      <c r="C42" s="633"/>
      <c r="D42" s="926"/>
      <c r="E42" s="657" t="s">
        <v>360</v>
      </c>
      <c r="F42" s="923"/>
      <c r="G42" s="639"/>
      <c r="H42" s="814"/>
      <c r="I42" s="835"/>
    </row>
    <row r="43" spans="1:65" ht="17.25" thickBot="1">
      <c r="A43" s="724" t="s">
        <v>361</v>
      </c>
      <c r="B43" s="725">
        <v>1376</v>
      </c>
      <c r="C43" s="653"/>
      <c r="E43" s="724" t="s">
        <v>361</v>
      </c>
      <c r="F43" s="725">
        <f>'57'!$B$41</f>
        <v>0</v>
      </c>
      <c r="G43" s="654"/>
      <c r="H43" s="906">
        <f>F43-B43</f>
        <v>-1376</v>
      </c>
      <c r="I43" s="835"/>
    </row>
  </sheetData>
  <pageMargins left="0.70000000000000007" right="0.70000000000000007" top="1.1437007874015745" bottom="1.1437007874015745" header="0.74999999999999989" footer="0.74999999999999989"/>
  <pageSetup fitToWidth="0" fitToHeight="0" orientation="portrait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00FF00"/>
  </sheetPr>
  <dimension ref="A1:AX60"/>
  <sheetViews>
    <sheetView workbookViewId="0">
      <pane xSplit="9" ySplit="28" topLeftCell="O29" activePane="bottomRight" state="frozen"/>
      <selection activeCell="F26" sqref="F26"/>
      <selection pane="topRight" activeCell="F26" sqref="F26"/>
      <selection pane="bottomLeft" activeCell="F26" sqref="F26"/>
      <selection pane="bottomRight" activeCell="B19" sqref="B19:B28"/>
    </sheetView>
  </sheetViews>
  <sheetFormatPr defaultColWidth="8.7109375" defaultRowHeight="15.75"/>
  <cols>
    <col min="1" max="1" width="30.5703125" style="629" bestFit="1" customWidth="1"/>
    <col min="2" max="2" width="22.7109375" style="629" bestFit="1" customWidth="1"/>
    <col min="3" max="3" width="2.42578125" style="629" bestFit="1" customWidth="1"/>
    <col min="4" max="4" width="3.7109375" style="629" customWidth="1"/>
    <col min="5" max="5" width="30.5703125" style="629" bestFit="1" customWidth="1"/>
    <col min="6" max="6" width="22.7109375" style="629" bestFit="1" customWidth="1"/>
    <col min="7" max="7" width="2.42578125" style="629" bestFit="1" customWidth="1"/>
    <col min="8" max="8" width="12.140625" style="629" bestFit="1" customWidth="1"/>
    <col min="9" max="9" width="8.85546875" style="629" bestFit="1" customWidth="1"/>
    <col min="10" max="10" width="6.5703125" style="629" customWidth="1"/>
    <col min="11" max="11" width="5" style="629" customWidth="1"/>
    <col min="12" max="12" width="4.5703125" style="629" customWidth="1"/>
    <col min="13" max="19" width="3" style="629" customWidth="1"/>
    <col min="20" max="20" width="0.42578125" style="629" customWidth="1"/>
    <col min="21" max="26" width="3" style="629" customWidth="1"/>
    <col min="27" max="27" width="3.140625" style="629" customWidth="1"/>
    <col min="28" max="28" width="3.5703125" style="629" customWidth="1"/>
    <col min="29" max="29" width="0.85546875" style="629" customWidth="1"/>
    <col min="30" max="36" width="3" style="629" customWidth="1"/>
    <col min="37" max="37" width="0.42578125" style="629" customWidth="1"/>
    <col min="38" max="45" width="3" style="629" customWidth="1"/>
    <col min="46" max="46" width="0.28515625" style="629" customWidth="1"/>
    <col min="47" max="16384" width="8.7109375" style="629"/>
  </cols>
  <sheetData>
    <row r="1" spans="1:50">
      <c r="A1" s="629" t="s">
        <v>749</v>
      </c>
      <c r="E1" s="629" t="s">
        <v>782</v>
      </c>
    </row>
    <row r="2" spans="1:50">
      <c r="A2" s="849"/>
      <c r="B2" s="849"/>
      <c r="C2" s="849"/>
      <c r="E2" s="849"/>
      <c r="F2" s="849"/>
      <c r="G2" s="849"/>
    </row>
    <row r="3" spans="1:50">
      <c r="A3" s="631" t="s">
        <v>0</v>
      </c>
      <c r="B3" s="795" t="s">
        <v>111</v>
      </c>
      <c r="C3" s="795" t="s">
        <v>220</v>
      </c>
      <c r="E3" s="631" t="s">
        <v>0</v>
      </c>
      <c r="F3" s="795" t="s">
        <v>111</v>
      </c>
      <c r="G3" s="795" t="s">
        <v>220</v>
      </c>
    </row>
    <row r="4" spans="1:50">
      <c r="A4" s="631"/>
      <c r="B4" s="795" t="s">
        <v>221</v>
      </c>
      <c r="C4" s="795"/>
      <c r="E4" s="631"/>
      <c r="F4" s="795" t="s">
        <v>221</v>
      </c>
      <c r="G4" s="795"/>
    </row>
    <row r="5" spans="1:50">
      <c r="A5" s="631" t="s">
        <v>4</v>
      </c>
      <c r="B5" s="796">
        <f>0.02</f>
        <v>0.02</v>
      </c>
      <c r="C5" s="795" t="s">
        <v>222</v>
      </c>
      <c r="E5" s="631" t="s">
        <v>4</v>
      </c>
      <c r="F5" s="796">
        <f>0.02</f>
        <v>0.02</v>
      </c>
      <c r="G5" s="795" t="s">
        <v>222</v>
      </c>
    </row>
    <row r="6" spans="1:50" ht="12.75" customHeight="1"/>
    <row r="7" spans="1:50" ht="16.5">
      <c r="A7" s="635" t="s">
        <v>5</v>
      </c>
      <c r="B7" s="797">
        <v>28</v>
      </c>
      <c r="E7" s="635" t="s">
        <v>5</v>
      </c>
      <c r="F7" s="797">
        <v>28</v>
      </c>
    </row>
    <row r="8" spans="1:50" ht="24" customHeight="1" thickBot="1">
      <c r="A8" s="637" t="s">
        <v>6</v>
      </c>
      <c r="B8" s="850" t="s">
        <v>363</v>
      </c>
      <c r="C8" s="927"/>
      <c r="D8" s="852"/>
      <c r="E8" s="637" t="s">
        <v>6</v>
      </c>
      <c r="F8" s="850" t="s">
        <v>363</v>
      </c>
      <c r="G8" s="851"/>
      <c r="H8" s="1085" t="s">
        <v>779</v>
      </c>
      <c r="I8" s="1086"/>
    </row>
    <row r="9" spans="1:50" ht="24" customHeight="1">
      <c r="A9" s="643" t="s">
        <v>224</v>
      </c>
      <c r="B9" s="788"/>
      <c r="C9" s="643"/>
      <c r="D9" s="651"/>
      <c r="E9" s="643" t="s">
        <v>224</v>
      </c>
      <c r="F9" s="788"/>
      <c r="G9" s="742"/>
      <c r="H9" s="928"/>
      <c r="I9" s="929"/>
      <c r="AP9" s="856"/>
    </row>
    <row r="10" spans="1:50" ht="24" hidden="1" customHeight="1">
      <c r="A10" s="643" t="s">
        <v>12</v>
      </c>
      <c r="B10" s="788"/>
      <c r="C10" s="643"/>
      <c r="D10" s="651"/>
      <c r="E10" s="643" t="s">
        <v>12</v>
      </c>
      <c r="F10" s="788"/>
      <c r="G10" s="742"/>
      <c r="H10" s="930"/>
      <c r="I10" s="931"/>
      <c r="AP10" s="659"/>
      <c r="AQ10" s="647"/>
      <c r="AR10" s="647"/>
      <c r="AS10" s="647"/>
      <c r="AT10" s="647"/>
      <c r="AU10" s="647"/>
      <c r="AV10" s="647"/>
      <c r="AW10" s="647"/>
      <c r="AX10" s="647"/>
    </row>
    <row r="11" spans="1:50" ht="24" hidden="1" customHeight="1">
      <c r="A11" s="643" t="s">
        <v>225</v>
      </c>
      <c r="B11" s="788"/>
      <c r="C11" s="643"/>
      <c r="D11" s="651"/>
      <c r="E11" s="643" t="s">
        <v>225</v>
      </c>
      <c r="F11" s="788"/>
      <c r="G11" s="742"/>
      <c r="H11" s="930"/>
      <c r="I11" s="931"/>
      <c r="AP11" s="659"/>
      <c r="AQ11" s="647"/>
      <c r="AR11" s="647"/>
      <c r="AS11" s="647"/>
      <c r="AT11" s="647"/>
      <c r="AU11" s="647"/>
      <c r="AV11" s="647"/>
      <c r="AW11" s="647"/>
      <c r="AX11" s="647"/>
    </row>
    <row r="12" spans="1:50" ht="24" hidden="1" customHeight="1">
      <c r="A12" s="633" t="s">
        <v>226</v>
      </c>
      <c r="B12" s="789"/>
      <c r="C12" s="643"/>
      <c r="E12" s="633" t="s">
        <v>226</v>
      </c>
      <c r="F12" s="789"/>
      <c r="G12" s="742"/>
      <c r="H12" s="932"/>
      <c r="I12" s="933"/>
      <c r="AP12" s="659"/>
      <c r="AQ12" s="647"/>
      <c r="AR12" s="647"/>
      <c r="AS12" s="647"/>
      <c r="AT12" s="647"/>
      <c r="AU12" s="647"/>
      <c r="AV12" s="647"/>
      <c r="AW12" s="647"/>
      <c r="AX12" s="647"/>
    </row>
    <row r="13" spans="1:50" ht="24" hidden="1" customHeight="1">
      <c r="A13" s="643" t="s">
        <v>227</v>
      </c>
      <c r="B13" s="788"/>
      <c r="C13" s="643"/>
      <c r="E13" s="643" t="s">
        <v>227</v>
      </c>
      <c r="F13" s="788"/>
      <c r="G13" s="742"/>
      <c r="H13" s="932"/>
      <c r="I13" s="933"/>
      <c r="AP13" s="659"/>
      <c r="AQ13" s="647"/>
      <c r="AR13" s="647"/>
      <c r="AS13" s="647"/>
      <c r="AT13" s="647"/>
      <c r="AU13" s="647"/>
      <c r="AV13" s="647"/>
      <c r="AW13" s="647"/>
      <c r="AX13" s="647"/>
    </row>
    <row r="14" spans="1:50" ht="24" hidden="1" customHeight="1">
      <c r="A14" s="643" t="s">
        <v>228</v>
      </c>
      <c r="B14" s="788"/>
      <c r="C14" s="643"/>
      <c r="E14" s="643" t="s">
        <v>228</v>
      </c>
      <c r="F14" s="788"/>
      <c r="G14" s="742"/>
      <c r="H14" s="932"/>
      <c r="I14" s="933"/>
      <c r="AP14" s="659"/>
      <c r="AQ14" s="647"/>
      <c r="AR14" s="647"/>
      <c r="AS14" s="647"/>
      <c r="AT14" s="647"/>
      <c r="AU14" s="647"/>
      <c r="AV14" s="647"/>
      <c r="AW14" s="647"/>
      <c r="AX14" s="647"/>
    </row>
    <row r="15" spans="1:50" ht="24" hidden="1" customHeight="1">
      <c r="B15" s="835"/>
      <c r="C15" s="651"/>
      <c r="F15" s="835"/>
      <c r="G15" s="651"/>
      <c r="H15" s="932"/>
      <c r="I15" s="933"/>
      <c r="AP15" s="659"/>
      <c r="AQ15" s="647"/>
      <c r="AR15" s="647"/>
      <c r="AS15" s="647"/>
      <c r="AT15" s="647"/>
      <c r="AU15" s="647"/>
      <c r="AV15" s="647"/>
      <c r="AW15" s="647"/>
      <c r="AX15" s="647"/>
    </row>
    <row r="16" spans="1:50" ht="24" hidden="1" customHeight="1">
      <c r="A16" s="643" t="s">
        <v>229</v>
      </c>
      <c r="B16" s="934"/>
      <c r="C16" s="643"/>
      <c r="D16" s="651"/>
      <c r="E16" s="643" t="s">
        <v>229</v>
      </c>
      <c r="F16" s="934"/>
      <c r="G16" s="742"/>
      <c r="H16" s="930"/>
      <c r="I16" s="931"/>
      <c r="AP16" s="659"/>
      <c r="AQ16" s="647"/>
      <c r="AR16" s="647"/>
      <c r="AS16" s="647"/>
      <c r="AT16" s="647"/>
      <c r="AU16" s="647"/>
      <c r="AV16" s="647"/>
      <c r="AW16" s="647"/>
      <c r="AX16" s="647"/>
    </row>
    <row r="17" spans="1:50" ht="24" hidden="1" customHeight="1">
      <c r="A17" s="643" t="s">
        <v>212</v>
      </c>
      <c r="B17" s="788"/>
      <c r="C17" s="643"/>
      <c r="D17" s="651"/>
      <c r="E17" s="643" t="s">
        <v>212</v>
      </c>
      <c r="F17" s="788"/>
      <c r="G17" s="742"/>
      <c r="H17" s="932"/>
      <c r="I17" s="933"/>
      <c r="AP17" s="659"/>
      <c r="AQ17" s="647"/>
      <c r="AR17" s="647"/>
      <c r="AS17" s="647"/>
      <c r="AT17" s="647"/>
      <c r="AU17" s="647"/>
      <c r="AV17" s="647"/>
      <c r="AW17" s="647"/>
      <c r="AX17" s="647"/>
    </row>
    <row r="18" spans="1:50" ht="24" hidden="1" customHeight="1">
      <c r="A18" s="643" t="s">
        <v>230</v>
      </c>
      <c r="B18" s="788">
        <v>0</v>
      </c>
      <c r="C18" s="643"/>
      <c r="D18" s="651"/>
      <c r="E18" s="643" t="s">
        <v>230</v>
      </c>
      <c r="F18" s="788">
        <v>0</v>
      </c>
      <c r="G18" s="742"/>
      <c r="H18" s="932"/>
      <c r="I18" s="933"/>
      <c r="AP18" s="659"/>
      <c r="AQ18" s="647"/>
      <c r="AR18" s="647"/>
      <c r="AS18" s="647"/>
      <c r="AT18" s="647"/>
      <c r="AU18" s="647"/>
      <c r="AV18" s="647"/>
      <c r="AW18" s="647"/>
      <c r="AX18" s="647"/>
    </row>
    <row r="19" spans="1:50" ht="24" customHeight="1">
      <c r="A19" s="724" t="s">
        <v>231</v>
      </c>
      <c r="B19" s="725">
        <v>3734800</v>
      </c>
      <c r="C19" s="643"/>
      <c r="E19" s="724" t="s">
        <v>231</v>
      </c>
      <c r="F19" s="725">
        <f>'28'!$B$18</f>
        <v>3958300</v>
      </c>
      <c r="G19" s="742"/>
      <c r="H19" s="935">
        <f>F19-B19</f>
        <v>223500</v>
      </c>
      <c r="I19" s="936">
        <f>H19*0.02</f>
        <v>4470</v>
      </c>
      <c r="AP19" s="659"/>
      <c r="AQ19" s="647"/>
      <c r="AR19" s="647"/>
      <c r="AS19" s="647"/>
      <c r="AT19" s="647"/>
      <c r="AU19" s="647"/>
      <c r="AV19" s="647"/>
      <c r="AW19" s="647"/>
      <c r="AX19" s="647"/>
    </row>
    <row r="20" spans="1:50" ht="24" customHeight="1">
      <c r="A20" s="724" t="s">
        <v>232</v>
      </c>
      <c r="B20" s="725">
        <v>3177090</v>
      </c>
      <c r="C20" s="643"/>
      <c r="E20" s="724" t="s">
        <v>232</v>
      </c>
      <c r="F20" s="725">
        <f>'28'!$B$19</f>
        <v>3490370</v>
      </c>
      <c r="G20" s="742"/>
      <c r="H20" s="935">
        <f>F20-B20</f>
        <v>313280</v>
      </c>
      <c r="I20" s="936">
        <f>H20*0.02</f>
        <v>6265.6</v>
      </c>
      <c r="J20" s="651"/>
      <c r="AP20" s="659"/>
      <c r="AQ20" s="647"/>
      <c r="AR20" s="647"/>
      <c r="AS20" s="647"/>
      <c r="AT20" s="647"/>
      <c r="AU20" s="647"/>
      <c r="AV20" s="647"/>
      <c r="AW20" s="647"/>
      <c r="AX20" s="647"/>
    </row>
    <row r="21" spans="1:50" ht="24" customHeight="1">
      <c r="A21" s="633" t="s">
        <v>29</v>
      </c>
      <c r="B21" s="789"/>
      <c r="C21" s="643"/>
      <c r="E21" s="633" t="s">
        <v>29</v>
      </c>
      <c r="F21" s="789"/>
      <c r="G21" s="742"/>
      <c r="H21" s="932"/>
      <c r="I21" s="933"/>
      <c r="AP21" s="659"/>
    </row>
    <row r="22" spans="1:50" ht="24" hidden="1" customHeight="1">
      <c r="A22" s="633" t="s">
        <v>364</v>
      </c>
      <c r="B22" s="789">
        <v>0</v>
      </c>
      <c r="C22" s="643"/>
      <c r="E22" s="633" t="s">
        <v>364</v>
      </c>
      <c r="F22" s="789">
        <v>0</v>
      </c>
      <c r="G22" s="742"/>
      <c r="H22" s="932"/>
      <c r="I22" s="933"/>
      <c r="AP22" s="659"/>
    </row>
    <row r="23" spans="1:50" ht="24" hidden="1" customHeight="1">
      <c r="A23" s="643" t="s">
        <v>233</v>
      </c>
      <c r="B23" s="788"/>
      <c r="C23" s="643"/>
      <c r="D23" s="651"/>
      <c r="E23" s="643" t="s">
        <v>233</v>
      </c>
      <c r="F23" s="788"/>
      <c r="G23" s="742"/>
      <c r="H23" s="930"/>
      <c r="I23" s="931"/>
      <c r="AP23" s="659"/>
    </row>
    <row r="24" spans="1:50" ht="24" hidden="1" customHeight="1">
      <c r="A24" s="643" t="s">
        <v>213</v>
      </c>
      <c r="B24" s="788">
        <v>0</v>
      </c>
      <c r="C24" s="643"/>
      <c r="D24" s="651"/>
      <c r="E24" s="643" t="s">
        <v>213</v>
      </c>
      <c r="F24" s="788">
        <v>0</v>
      </c>
      <c r="G24" s="742"/>
      <c r="H24" s="930"/>
      <c r="I24" s="931"/>
      <c r="AP24" s="659"/>
    </row>
    <row r="25" spans="1:50" ht="24" customHeight="1">
      <c r="A25" s="643" t="s">
        <v>365</v>
      </c>
      <c r="B25" s="788">
        <v>0</v>
      </c>
      <c r="C25" s="643"/>
      <c r="D25" s="651"/>
      <c r="E25" s="643" t="s">
        <v>365</v>
      </c>
      <c r="F25" s="788">
        <v>0</v>
      </c>
      <c r="G25" s="742"/>
      <c r="H25" s="930"/>
      <c r="I25" s="931"/>
      <c r="AP25" s="659"/>
    </row>
    <row r="26" spans="1:50" ht="24" customHeight="1">
      <c r="A26" s="724" t="s">
        <v>234</v>
      </c>
      <c r="B26" s="725">
        <v>5927047</v>
      </c>
      <c r="C26" s="643"/>
      <c r="E26" s="724" t="s">
        <v>234</v>
      </c>
      <c r="F26" s="725">
        <f>'28'!$B$25</f>
        <v>6377433</v>
      </c>
      <c r="G26" s="742"/>
      <c r="H26" s="935">
        <f>F26-B26</f>
        <v>450386</v>
      </c>
      <c r="I26" s="936">
        <f>H26*0.02</f>
        <v>9007.7199999999993</v>
      </c>
      <c r="AP26" s="659"/>
    </row>
    <row r="27" spans="1:50" ht="24" customHeight="1">
      <c r="A27" s="724" t="s">
        <v>235</v>
      </c>
      <c r="B27" s="725">
        <v>63266</v>
      </c>
      <c r="C27" s="643"/>
      <c r="E27" s="724" t="s">
        <v>235</v>
      </c>
      <c r="F27" s="725">
        <f>'28'!$B$26</f>
        <v>80178</v>
      </c>
      <c r="G27" s="742"/>
      <c r="H27" s="935">
        <f>+F27-B27</f>
        <v>16912</v>
      </c>
      <c r="I27" s="936">
        <f>H27*0.02</f>
        <v>338.24</v>
      </c>
      <c r="AP27" s="659"/>
    </row>
    <row r="28" spans="1:50" ht="24" customHeight="1">
      <c r="A28" s="724" t="s">
        <v>236</v>
      </c>
      <c r="B28" s="725">
        <v>53278</v>
      </c>
      <c r="C28" s="643"/>
      <c r="E28" s="724" t="s">
        <v>236</v>
      </c>
      <c r="F28" s="725">
        <f>'28'!$B$27</f>
        <v>83785</v>
      </c>
      <c r="G28" s="742"/>
      <c r="H28" s="935">
        <f>+F28-B28</f>
        <v>30507</v>
      </c>
      <c r="I28" s="936">
        <f>+H28*0.02</f>
        <v>610.14</v>
      </c>
      <c r="AP28" s="659"/>
    </row>
    <row r="29" spans="1:50" ht="8.25" customHeight="1">
      <c r="A29" s="643"/>
      <c r="B29" s="860"/>
      <c r="C29" s="643"/>
      <c r="E29" s="643"/>
      <c r="F29" s="860"/>
      <c r="G29" s="742"/>
      <c r="H29" s="937"/>
      <c r="I29" s="938"/>
      <c r="AP29" s="659"/>
    </row>
    <row r="30" spans="1:50" ht="24" customHeight="1">
      <c r="A30" s="643" t="s">
        <v>237</v>
      </c>
      <c r="B30" s="860"/>
      <c r="C30" s="643"/>
      <c r="D30" s="651"/>
      <c r="E30" s="643" t="s">
        <v>237</v>
      </c>
      <c r="F30" s="860"/>
      <c r="G30" s="742"/>
      <c r="H30" s="939"/>
      <c r="I30" s="940"/>
      <c r="AP30" s="659"/>
    </row>
    <row r="31" spans="1:50" ht="24" customHeight="1">
      <c r="A31" s="643" t="s">
        <v>238</v>
      </c>
      <c r="B31" s="860"/>
      <c r="C31" s="643"/>
      <c r="D31" s="651"/>
      <c r="E31" s="643" t="s">
        <v>238</v>
      </c>
      <c r="F31" s="860"/>
      <c r="G31" s="742"/>
      <c r="H31" s="941"/>
      <c r="I31" s="940"/>
      <c r="AP31" s="659"/>
    </row>
    <row r="32" spans="1:50" ht="24" customHeight="1">
      <c r="A32" s="643" t="s">
        <v>239</v>
      </c>
      <c r="B32" s="860"/>
      <c r="C32" s="643"/>
      <c r="D32" s="651"/>
      <c r="E32" s="643" t="s">
        <v>239</v>
      </c>
      <c r="F32" s="860"/>
      <c r="G32" s="742"/>
      <c r="H32" s="941"/>
      <c r="I32" s="940"/>
      <c r="AP32" s="659"/>
    </row>
    <row r="33" spans="1:42" ht="24" customHeight="1" thickBot="1">
      <c r="A33" s="875"/>
      <c r="B33" s="876"/>
      <c r="C33" s="875"/>
      <c r="D33" s="875"/>
      <c r="E33" s="875"/>
      <c r="F33" s="876"/>
      <c r="G33" s="875"/>
      <c r="H33" s="942"/>
      <c r="I33" s="943"/>
      <c r="AP33" s="659"/>
    </row>
    <row r="34" spans="1:42" ht="24" hidden="1" customHeight="1">
      <c r="A34" s="643" t="s">
        <v>240</v>
      </c>
      <c r="B34" s="860">
        <v>0</v>
      </c>
      <c r="C34" s="643"/>
      <c r="D34" s="651"/>
      <c r="E34" s="643" t="s">
        <v>240</v>
      </c>
      <c r="F34" s="860">
        <v>0</v>
      </c>
      <c r="G34" s="643"/>
      <c r="AP34" s="659"/>
    </row>
    <row r="35" spans="1:42" ht="24" hidden="1" customHeight="1">
      <c r="B35" s="731"/>
      <c r="C35" s="651"/>
      <c r="F35" s="731"/>
      <c r="G35" s="651"/>
      <c r="AP35" s="659"/>
    </row>
    <row r="36" spans="1:42" ht="24" hidden="1" customHeight="1">
      <c r="A36" s="633" t="s">
        <v>58</v>
      </c>
      <c r="B36" s="811"/>
      <c r="C36" s="643"/>
      <c r="E36" s="633" t="s">
        <v>58</v>
      </c>
      <c r="F36" s="811"/>
      <c r="G36" s="643"/>
      <c r="AP36" s="659"/>
    </row>
    <row r="37" spans="1:42" ht="24" hidden="1" customHeight="1">
      <c r="A37" s="633" t="s">
        <v>241</v>
      </c>
      <c r="B37" s="811"/>
      <c r="C37" s="643"/>
      <c r="E37" s="633" t="s">
        <v>241</v>
      </c>
      <c r="F37" s="811"/>
      <c r="G37" s="643"/>
      <c r="AP37" s="659"/>
    </row>
    <row r="38" spans="1:42" ht="24" hidden="1" customHeight="1">
      <c r="A38" s="633" t="s">
        <v>206</v>
      </c>
      <c r="B38" s="811"/>
      <c r="C38" s="643"/>
      <c r="E38" s="633" t="s">
        <v>206</v>
      </c>
      <c r="F38" s="811"/>
      <c r="G38" s="643"/>
      <c r="AP38" s="659"/>
    </row>
    <row r="39" spans="1:42" ht="24" hidden="1" customHeight="1">
      <c r="B39" s="731"/>
      <c r="C39" s="651"/>
      <c r="F39" s="731"/>
      <c r="G39" s="651"/>
      <c r="AP39" s="659"/>
    </row>
    <row r="40" spans="1:42" ht="24" hidden="1" customHeight="1">
      <c r="A40" s="643" t="s">
        <v>115</v>
      </c>
      <c r="B40" s="860"/>
      <c r="C40" s="643"/>
      <c r="D40" s="651"/>
      <c r="E40" s="643" t="s">
        <v>115</v>
      </c>
      <c r="F40" s="860"/>
      <c r="G40" s="643"/>
      <c r="AP40" s="659"/>
    </row>
    <row r="41" spans="1:42" ht="24" hidden="1" customHeight="1">
      <c r="A41" s="643" t="s">
        <v>242</v>
      </c>
      <c r="B41" s="860"/>
      <c r="C41" s="643"/>
      <c r="D41" s="651"/>
      <c r="E41" s="643" t="s">
        <v>242</v>
      </c>
      <c r="F41" s="860"/>
      <c r="G41" s="643"/>
      <c r="AP41" s="659"/>
    </row>
    <row r="42" spans="1:42" ht="24" hidden="1" customHeight="1">
      <c r="A42" s="643" t="s">
        <v>117</v>
      </c>
      <c r="B42" s="860"/>
      <c r="C42" s="643"/>
      <c r="D42" s="651"/>
      <c r="E42" s="643" t="s">
        <v>117</v>
      </c>
      <c r="F42" s="860"/>
      <c r="G42" s="643"/>
      <c r="AP42" s="659"/>
    </row>
    <row r="43" spans="1:42" ht="8.25" hidden="1" customHeight="1">
      <c r="A43" s="643"/>
      <c r="B43" s="860"/>
      <c r="C43" s="643"/>
      <c r="E43" s="643"/>
      <c r="F43" s="860"/>
      <c r="G43" s="643"/>
      <c r="AP43" s="659"/>
    </row>
    <row r="44" spans="1:42" ht="24" hidden="1" customHeight="1">
      <c r="A44" s="651"/>
      <c r="B44" s="734"/>
      <c r="C44" s="651"/>
      <c r="E44" s="651"/>
      <c r="F44" s="734"/>
      <c r="G44" s="651"/>
      <c r="AP44" s="659"/>
    </row>
    <row r="45" spans="1:42" ht="24" hidden="1" customHeight="1">
      <c r="A45" s="633" t="s">
        <v>243</v>
      </c>
      <c r="B45" s="829"/>
      <c r="C45" s="643"/>
      <c r="E45" s="633" t="s">
        <v>243</v>
      </c>
      <c r="F45" s="829"/>
      <c r="G45" s="643"/>
      <c r="AP45" s="659"/>
    </row>
    <row r="46" spans="1:42" ht="24" hidden="1" customHeight="1">
      <c r="A46" s="633" t="s">
        <v>244</v>
      </c>
      <c r="B46" s="829"/>
      <c r="C46" s="643"/>
      <c r="E46" s="633" t="s">
        <v>244</v>
      </c>
      <c r="F46" s="829"/>
      <c r="G46" s="643"/>
      <c r="AP46" s="659"/>
    </row>
    <row r="47" spans="1:42" hidden="1">
      <c r="H47" s="944"/>
    </row>
    <row r="48" spans="1:42" hidden="1"/>
    <row r="49" spans="1:3" hidden="1"/>
    <row r="50" spans="1:3" hidden="1"/>
    <row r="51" spans="1:3" hidden="1"/>
    <row r="52" spans="1:3" hidden="1"/>
    <row r="53" spans="1:3" hidden="1">
      <c r="C53" s="647"/>
    </row>
    <row r="54" spans="1:3" hidden="1"/>
    <row r="55" spans="1:3" hidden="1"/>
    <row r="56" spans="1:3" hidden="1"/>
    <row r="57" spans="1:3" hidden="1">
      <c r="C57" s="881"/>
    </row>
    <row r="58" spans="1:3" hidden="1"/>
    <row r="59" spans="1:3" hidden="1">
      <c r="C59" s="881"/>
    </row>
    <row r="60" spans="1:3" hidden="1">
      <c r="A60" s="647"/>
    </row>
  </sheetData>
  <mergeCells count="1">
    <mergeCell ref="H8:I8"/>
  </mergeCells>
  <pageMargins left="0.70000000000000007" right="0.70000000000000007" top="1.1437007874015745" bottom="1.1437007874015745" header="0.74999999999999989" footer="0.74999999999999989"/>
  <pageSetup scale="71" fitToWidth="0" fitToHeight="0" orientation="portrait" horizontalDpi="360" verticalDpi="360" r:id="rId1"/>
  <headerFooter alignWithMargins="0"/>
  <colBreaks count="1" manualBreakCount="1">
    <brk id="4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00FF00"/>
  </sheetPr>
  <dimension ref="A1:GU37"/>
  <sheetViews>
    <sheetView zoomScale="90" zoomScaleNormal="90" workbookViewId="0">
      <pane xSplit="8" ySplit="31" topLeftCell="I32" activePane="bottomRight" state="frozen"/>
      <selection activeCell="F26" sqref="F26"/>
      <selection pane="topRight" activeCell="F26" sqref="F26"/>
      <selection pane="bottomLeft" activeCell="F26" sqref="F26"/>
      <selection pane="bottomRight" activeCell="B8" sqref="B8:B31"/>
    </sheetView>
  </sheetViews>
  <sheetFormatPr defaultColWidth="3" defaultRowHeight="15.75"/>
  <cols>
    <col min="1" max="1" width="36.85546875" style="629" bestFit="1" customWidth="1"/>
    <col min="2" max="2" width="25" style="634" bestFit="1" customWidth="1"/>
    <col min="3" max="3" width="2.85546875" style="629" bestFit="1" customWidth="1"/>
    <col min="4" max="4" width="36.85546875" style="629" bestFit="1" customWidth="1"/>
    <col min="5" max="5" width="25" style="634" bestFit="1" customWidth="1"/>
    <col min="6" max="6" width="2.85546875" style="629" bestFit="1" customWidth="1"/>
    <col min="7" max="7" width="13.5703125" style="629" bestFit="1" customWidth="1"/>
    <col min="8" max="8" width="14.7109375" style="629" bestFit="1" customWidth="1"/>
    <col min="9" max="11" width="8.7109375" style="629" customWidth="1"/>
    <col min="12" max="12" width="13.42578125" style="629" bestFit="1" customWidth="1"/>
    <col min="13" max="194" width="8.7109375" style="629" customWidth="1"/>
    <col min="195" max="195" width="30.140625" style="629" customWidth="1"/>
    <col min="196" max="196" width="28.7109375" style="629" customWidth="1"/>
    <col min="197" max="197" width="4.5703125" style="629" customWidth="1"/>
    <col min="198" max="198" width="2.140625" style="629" customWidth="1"/>
    <col min="199" max="203" width="12.28515625" style="629" hidden="1" customWidth="1"/>
    <col min="204" max="204" width="0.42578125" style="629" customWidth="1"/>
    <col min="205" max="212" width="3.7109375" style="629" customWidth="1"/>
    <col min="213" max="213" width="0.42578125" style="629" customWidth="1"/>
    <col min="214" max="214" width="2.85546875" style="629" customWidth="1"/>
    <col min="215" max="221" width="3" style="629" customWidth="1"/>
    <col min="222" max="222" width="0.42578125" style="629" customWidth="1"/>
    <col min="223" max="230" width="3" style="629" customWidth="1"/>
    <col min="231" max="231" width="0.42578125" style="629" customWidth="1"/>
    <col min="232" max="237" width="3" style="629" customWidth="1"/>
    <col min="238" max="238" width="3.140625" style="629" customWidth="1"/>
    <col min="239" max="239" width="3.5703125" style="629" customWidth="1"/>
    <col min="240" max="240" width="0.85546875" style="629" customWidth="1"/>
    <col min="241" max="247" width="3" style="629" customWidth="1"/>
    <col min="248" max="248" width="0.42578125" style="629" customWidth="1"/>
    <col min="249" max="16384" width="3" style="629"/>
  </cols>
  <sheetData>
    <row r="1" spans="1:9">
      <c r="A1" s="626" t="s">
        <v>749</v>
      </c>
      <c r="B1" s="627"/>
      <c r="C1" s="628"/>
      <c r="D1" s="626" t="s">
        <v>748</v>
      </c>
      <c r="E1" s="627"/>
      <c r="F1" s="628"/>
    </row>
    <row r="2" spans="1:9" ht="16.5">
      <c r="A2" s="631" t="s">
        <v>0</v>
      </c>
      <c r="B2" s="624" t="s">
        <v>751</v>
      </c>
      <c r="C2" s="632" t="s">
        <v>2</v>
      </c>
      <c r="D2" s="631" t="s">
        <v>0</v>
      </c>
      <c r="E2" s="624" t="s">
        <v>751</v>
      </c>
      <c r="F2" s="632" t="s">
        <v>2</v>
      </c>
    </row>
    <row r="3" spans="1:9">
      <c r="A3" s="631"/>
      <c r="B3" s="624"/>
      <c r="C3" s="633"/>
      <c r="D3" s="631"/>
      <c r="E3" s="624"/>
      <c r="F3" s="633"/>
    </row>
    <row r="4" spans="1:9" ht="24" customHeight="1">
      <c r="A4" s="631" t="s">
        <v>4</v>
      </c>
      <c r="B4" s="625">
        <v>1</v>
      </c>
      <c r="C4" s="633"/>
      <c r="D4" s="631" t="s">
        <v>4</v>
      </c>
      <c r="E4" s="625">
        <v>1</v>
      </c>
      <c r="F4" s="633"/>
    </row>
    <row r="5" spans="1:9" ht="24" customHeight="1">
      <c r="C5" s="633"/>
      <c r="F5" s="633"/>
    </row>
    <row r="6" spans="1:9" ht="24" customHeight="1">
      <c r="A6" s="635" t="s">
        <v>5</v>
      </c>
      <c r="B6" s="636">
        <v>93</v>
      </c>
      <c r="C6" s="633"/>
      <c r="D6" s="635" t="s">
        <v>5</v>
      </c>
      <c r="E6" s="636">
        <v>93</v>
      </c>
      <c r="F6" s="633"/>
    </row>
    <row r="7" spans="1:9" ht="24" customHeight="1" thickBot="1">
      <c r="A7" s="637" t="s">
        <v>6</v>
      </c>
      <c r="B7" s="638" t="s">
        <v>810</v>
      </c>
      <c r="C7" s="633"/>
      <c r="D7" s="637" t="s">
        <v>6</v>
      </c>
      <c r="E7" s="638" t="s">
        <v>810</v>
      </c>
      <c r="F7" s="633"/>
      <c r="G7" s="706" t="s">
        <v>779</v>
      </c>
    </row>
    <row r="8" spans="1:9" ht="24" customHeight="1">
      <c r="A8" s="724" t="s">
        <v>71</v>
      </c>
      <c r="B8" s="725">
        <v>34647.06</v>
      </c>
      <c r="C8" s="633"/>
      <c r="D8" s="724" t="s">
        <v>71</v>
      </c>
      <c r="E8" s="725">
        <f>'93'!$B$8</f>
        <v>24746.77</v>
      </c>
      <c r="F8" s="639"/>
      <c r="G8" s="904">
        <f>E8-B8</f>
        <v>-9900.2899999999972</v>
      </c>
      <c r="H8" s="687" t="s">
        <v>753</v>
      </c>
    </row>
    <row r="9" spans="1:9" ht="24" hidden="1" customHeight="1">
      <c r="A9" s="633" t="s">
        <v>754</v>
      </c>
      <c r="B9" s="794"/>
      <c r="C9" s="633"/>
      <c r="D9" s="633" t="s">
        <v>754</v>
      </c>
      <c r="E9" s="794"/>
      <c r="F9" s="639"/>
      <c r="G9" s="814"/>
    </row>
    <row r="10" spans="1:9" ht="24" hidden="1" customHeight="1">
      <c r="A10" s="633" t="s">
        <v>755</v>
      </c>
      <c r="B10" s="794"/>
      <c r="C10" s="633"/>
      <c r="D10" s="633" t="s">
        <v>755</v>
      </c>
      <c r="E10" s="794"/>
      <c r="F10" s="639"/>
      <c r="G10" s="814"/>
    </row>
    <row r="11" spans="1:9" ht="24" hidden="1" customHeight="1">
      <c r="A11" s="633" t="s">
        <v>756</v>
      </c>
      <c r="B11" s="794"/>
      <c r="C11" s="633"/>
      <c r="D11" s="633" t="s">
        <v>756</v>
      </c>
      <c r="E11" s="794"/>
      <c r="F11" s="639"/>
      <c r="G11" s="814"/>
    </row>
    <row r="12" spans="1:9" ht="24" hidden="1" customHeight="1">
      <c r="A12" s="633" t="s">
        <v>757</v>
      </c>
      <c r="B12" s="794">
        <v>0</v>
      </c>
      <c r="C12" s="633"/>
      <c r="D12" s="633" t="s">
        <v>757</v>
      </c>
      <c r="E12" s="794">
        <v>0</v>
      </c>
      <c r="F12" s="639"/>
      <c r="G12" s="814"/>
    </row>
    <row r="13" spans="1:9" ht="24" hidden="1" customHeight="1">
      <c r="A13" s="633" t="s">
        <v>758</v>
      </c>
      <c r="B13" s="794"/>
      <c r="C13" s="633"/>
      <c r="D13" s="633" t="s">
        <v>758</v>
      </c>
      <c r="E13" s="794"/>
      <c r="F13" s="639"/>
      <c r="G13" s="905"/>
      <c r="H13" s="647"/>
      <c r="I13" s="647"/>
    </row>
    <row r="14" spans="1:9" ht="24" hidden="1" customHeight="1">
      <c r="A14" s="633" t="s">
        <v>337</v>
      </c>
      <c r="B14" s="794"/>
      <c r="C14" s="633"/>
      <c r="D14" s="633" t="s">
        <v>337</v>
      </c>
      <c r="E14" s="794"/>
      <c r="F14" s="639"/>
      <c r="G14" s="905"/>
      <c r="H14" s="647"/>
      <c r="I14" s="647"/>
    </row>
    <row r="15" spans="1:9" ht="24" hidden="1" customHeight="1">
      <c r="A15" s="633" t="s">
        <v>759</v>
      </c>
      <c r="B15" s="794"/>
      <c r="C15" s="633"/>
      <c r="D15" s="633" t="s">
        <v>759</v>
      </c>
      <c r="E15" s="794"/>
      <c r="F15" s="639"/>
      <c r="G15" s="905"/>
      <c r="H15" s="647"/>
      <c r="I15" s="647"/>
    </row>
    <row r="16" spans="1:9" ht="24" hidden="1" customHeight="1">
      <c r="A16" s="633" t="s">
        <v>760</v>
      </c>
      <c r="B16" s="794"/>
      <c r="C16" s="633"/>
      <c r="D16" s="633" t="s">
        <v>760</v>
      </c>
      <c r="E16" s="794"/>
      <c r="F16" s="639"/>
      <c r="G16" s="905"/>
      <c r="H16" s="647"/>
      <c r="I16" s="647"/>
    </row>
    <row r="17" spans="1:11" ht="24" hidden="1" customHeight="1">
      <c r="A17" s="633" t="s">
        <v>761</v>
      </c>
      <c r="B17" s="794">
        <v>0</v>
      </c>
      <c r="C17" s="633"/>
      <c r="D17" s="633" t="s">
        <v>761</v>
      </c>
      <c r="E17" s="794">
        <v>0</v>
      </c>
      <c r="F17" s="639"/>
      <c r="G17" s="905"/>
      <c r="H17" s="647"/>
      <c r="I17" s="647"/>
    </row>
    <row r="18" spans="1:11" ht="24" hidden="1" customHeight="1">
      <c r="A18" s="633" t="s">
        <v>762</v>
      </c>
      <c r="B18" s="794">
        <v>0</v>
      </c>
      <c r="C18" s="633"/>
      <c r="D18" s="633" t="s">
        <v>762</v>
      </c>
      <c r="E18" s="794">
        <v>0</v>
      </c>
      <c r="F18" s="639"/>
      <c r="G18" s="905"/>
      <c r="H18" s="647"/>
      <c r="I18" s="647"/>
    </row>
    <row r="19" spans="1:11" ht="24" customHeight="1">
      <c r="A19" s="633" t="s">
        <v>763</v>
      </c>
      <c r="B19" s="794"/>
      <c r="C19" s="633"/>
      <c r="D19" s="633" t="s">
        <v>763</v>
      </c>
      <c r="E19" s="794"/>
      <c r="F19" s="639"/>
      <c r="G19" s="814"/>
    </row>
    <row r="20" spans="1:11" ht="24" customHeight="1">
      <c r="A20" s="633" t="s">
        <v>764</v>
      </c>
      <c r="B20" s="794"/>
      <c r="C20" s="633"/>
      <c r="D20" s="633" t="s">
        <v>764</v>
      </c>
      <c r="E20" s="794"/>
      <c r="F20" s="639"/>
      <c r="G20" s="814"/>
    </row>
    <row r="21" spans="1:11" ht="24" customHeight="1">
      <c r="A21" s="633" t="s">
        <v>765</v>
      </c>
      <c r="B21" s="794">
        <v>0</v>
      </c>
      <c r="C21" s="633"/>
      <c r="D21" s="633" t="s">
        <v>765</v>
      </c>
      <c r="E21" s="794">
        <v>0</v>
      </c>
      <c r="F21" s="639"/>
      <c r="G21" s="814"/>
    </row>
    <row r="22" spans="1:11" ht="24" customHeight="1">
      <c r="A22" s="724" t="s">
        <v>770</v>
      </c>
      <c r="B22" s="725">
        <v>31071.05</v>
      </c>
      <c r="C22" s="633"/>
      <c r="D22" s="724" t="s">
        <v>770</v>
      </c>
      <c r="E22" s="725">
        <f>'93'!$B$21</f>
        <v>18972.169999999998</v>
      </c>
      <c r="F22" s="639"/>
      <c r="G22" s="806">
        <f>E22-B22</f>
        <v>-12098.880000000001</v>
      </c>
      <c r="H22" s="687" t="s">
        <v>771</v>
      </c>
    </row>
    <row r="23" spans="1:11" ht="24" hidden="1" customHeight="1">
      <c r="A23" s="633" t="s">
        <v>769</v>
      </c>
      <c r="B23" s="794">
        <v>0</v>
      </c>
      <c r="C23" s="633"/>
      <c r="D23" s="633" t="s">
        <v>769</v>
      </c>
      <c r="E23" s="794">
        <v>0</v>
      </c>
      <c r="F23" s="639"/>
      <c r="G23" s="814"/>
      <c r="J23" s="687"/>
      <c r="K23" s="689"/>
    </row>
    <row r="24" spans="1:11" ht="24" hidden="1" customHeight="1">
      <c r="A24" s="633" t="s">
        <v>772</v>
      </c>
      <c r="B24" s="794">
        <v>0</v>
      </c>
      <c r="C24" s="633"/>
      <c r="D24" s="633" t="s">
        <v>772</v>
      </c>
      <c r="E24" s="794">
        <v>0</v>
      </c>
      <c r="F24" s="639"/>
      <c r="G24" s="814">
        <f>E22-186</f>
        <v>18786.169999999998</v>
      </c>
    </row>
    <row r="25" spans="1:11" ht="24" hidden="1" customHeight="1">
      <c r="A25" s="633" t="s">
        <v>773</v>
      </c>
      <c r="B25" s="794">
        <v>0</v>
      </c>
      <c r="C25" s="633"/>
      <c r="D25" s="633" t="s">
        <v>773</v>
      </c>
      <c r="E25" s="794">
        <v>0</v>
      </c>
      <c r="F25" s="639"/>
      <c r="G25" s="814"/>
    </row>
    <row r="26" spans="1:11" ht="24" hidden="1" customHeight="1">
      <c r="A26" s="633" t="s">
        <v>774</v>
      </c>
      <c r="B26" s="794">
        <v>0</v>
      </c>
      <c r="C26" s="633"/>
      <c r="D26" s="633" t="s">
        <v>774</v>
      </c>
      <c r="E26" s="794">
        <v>0</v>
      </c>
      <c r="F26" s="639"/>
      <c r="G26" s="814"/>
    </row>
    <row r="27" spans="1:11" ht="24" hidden="1" customHeight="1">
      <c r="A27" s="633" t="s">
        <v>775</v>
      </c>
      <c r="B27" s="794">
        <v>0</v>
      </c>
      <c r="C27" s="633"/>
      <c r="D27" s="633" t="s">
        <v>775</v>
      </c>
      <c r="E27" s="794">
        <v>0</v>
      </c>
      <c r="F27" s="639"/>
      <c r="G27" s="814"/>
    </row>
    <row r="28" spans="1:11" ht="24" hidden="1" customHeight="1">
      <c r="A28" s="633" t="s">
        <v>776</v>
      </c>
      <c r="B28" s="794">
        <v>0</v>
      </c>
      <c r="C28" s="650"/>
      <c r="D28" s="633" t="s">
        <v>776</v>
      </c>
      <c r="E28" s="794">
        <v>0</v>
      </c>
      <c r="F28" s="650"/>
      <c r="G28" s="814"/>
    </row>
    <row r="29" spans="1:11" ht="24" customHeight="1">
      <c r="A29" s="633" t="s">
        <v>777</v>
      </c>
      <c r="B29" s="794">
        <v>0</v>
      </c>
      <c r="C29" s="633"/>
      <c r="D29" s="633" t="s">
        <v>777</v>
      </c>
      <c r="E29" s="794">
        <v>0</v>
      </c>
      <c r="F29" s="639"/>
      <c r="G29" s="814"/>
      <c r="H29" s="691"/>
    </row>
    <row r="30" spans="1:11" ht="24" customHeight="1">
      <c r="A30" s="724" t="s">
        <v>767</v>
      </c>
      <c r="B30" s="725">
        <v>18699.060000000001</v>
      </c>
      <c r="C30" s="633"/>
      <c r="D30" s="724" t="s">
        <v>767</v>
      </c>
      <c r="E30" s="725">
        <f>'93'!$B$12</f>
        <v>8373.77</v>
      </c>
      <c r="F30" s="639"/>
      <c r="G30" s="806">
        <f>E30-B30</f>
        <v>-10325.290000000001</v>
      </c>
      <c r="H30" s="687" t="s">
        <v>768</v>
      </c>
    </row>
    <row r="31" spans="1:11" ht="24" customHeight="1" thickBot="1">
      <c r="A31" s="724" t="s">
        <v>766</v>
      </c>
      <c r="B31" s="725">
        <v>15948</v>
      </c>
      <c r="C31" s="653"/>
      <c r="D31" s="724" t="s">
        <v>766</v>
      </c>
      <c r="E31" s="725">
        <f>'93'!$B$28</f>
        <v>16373</v>
      </c>
      <c r="F31" s="654"/>
      <c r="G31" s="906">
        <f>E31-B31</f>
        <v>425</v>
      </c>
      <c r="H31" s="687" t="s">
        <v>573</v>
      </c>
    </row>
    <row r="32" spans="1:11">
      <c r="G32" s="690"/>
    </row>
    <row r="33" spans="7:7">
      <c r="G33" s="690"/>
    </row>
    <row r="34" spans="7:7">
      <c r="G34" s="690"/>
    </row>
    <row r="35" spans="7:7">
      <c r="G35" s="690"/>
    </row>
    <row r="36" spans="7:7">
      <c r="G36" s="690"/>
    </row>
    <row r="37" spans="7:7">
      <c r="G37" s="690"/>
    </row>
  </sheetData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00FF00"/>
  </sheetPr>
  <dimension ref="A1:GV50"/>
  <sheetViews>
    <sheetView workbookViewId="0">
      <pane xSplit="8" ySplit="43" topLeftCell="I44" activePane="bottomRight" state="frozen"/>
      <selection pane="topRight" activeCell="I1" sqref="I1"/>
      <selection pane="bottomLeft" activeCell="A44" sqref="A44"/>
      <selection pane="bottomRight" activeCell="B23" sqref="B23:B43"/>
    </sheetView>
  </sheetViews>
  <sheetFormatPr defaultColWidth="3" defaultRowHeight="15.75"/>
  <cols>
    <col min="1" max="1" width="32.85546875" style="629" bestFit="1" customWidth="1"/>
    <col min="2" max="2" width="17.28515625" style="634" bestFit="1" customWidth="1"/>
    <col min="3" max="3" width="2.85546875" style="629" bestFit="1" customWidth="1"/>
    <col min="4" max="4" width="2.28515625" style="629" customWidth="1"/>
    <col min="5" max="5" width="32.85546875" style="629" bestFit="1" customWidth="1"/>
    <col min="6" max="6" width="17.28515625" style="634" bestFit="1" customWidth="1"/>
    <col min="7" max="7" width="2.85546875" style="629" bestFit="1" customWidth="1"/>
    <col min="8" max="8" width="18.140625" style="835" customWidth="1"/>
    <col min="9" max="9" width="7.28515625" style="835" customWidth="1"/>
    <col min="10" max="10" width="15.7109375" style="629" customWidth="1"/>
    <col min="11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 customWidth="1"/>
    <col min="223" max="223" width="0.42578125" style="629" customWidth="1"/>
    <col min="224" max="231" width="3" style="629" customWidth="1"/>
    <col min="232" max="232" width="0.42578125" style="629" customWidth="1"/>
    <col min="233" max="238" width="3" style="629" customWidth="1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 customWidth="1"/>
    <col min="249" max="249" width="0.42578125" style="629" customWidth="1"/>
    <col min="250" max="16384" width="3" style="629"/>
  </cols>
  <sheetData>
    <row r="1" spans="1:10">
      <c r="A1" s="628" t="s">
        <v>749</v>
      </c>
      <c r="B1" s="627"/>
      <c r="C1" s="628"/>
      <c r="E1" s="628" t="s">
        <v>748</v>
      </c>
      <c r="F1" s="627"/>
      <c r="G1" s="628"/>
    </row>
    <row r="2" spans="1:10" ht="16.5">
      <c r="A2" s="631" t="s">
        <v>0</v>
      </c>
      <c r="B2" s="624" t="s">
        <v>70</v>
      </c>
      <c r="C2" s="632" t="s">
        <v>2</v>
      </c>
      <c r="E2" s="631" t="s">
        <v>0</v>
      </c>
      <c r="F2" s="624" t="str">
        <f>+B2</f>
        <v>ATRONIC</v>
      </c>
      <c r="G2" s="632" t="s">
        <v>2</v>
      </c>
    </row>
    <row r="3" spans="1:10">
      <c r="A3" s="631"/>
      <c r="B3" s="624" t="s">
        <v>368</v>
      </c>
      <c r="C3" s="633"/>
      <c r="E3" s="631"/>
      <c r="F3" s="624" t="str">
        <f>+B3</f>
        <v>KING KONG</v>
      </c>
      <c r="G3" s="633"/>
    </row>
    <row r="4" spans="1:10" ht="24" customHeight="1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 ht="24" hidden="1" customHeight="1">
      <c r="C5" s="633"/>
      <c r="G5" s="633"/>
    </row>
    <row r="6" spans="1:10" ht="24" customHeight="1">
      <c r="A6" s="635" t="s">
        <v>5</v>
      </c>
      <c r="B6" s="636">
        <v>101</v>
      </c>
      <c r="C6" s="633"/>
      <c r="E6" s="635" t="s">
        <v>5</v>
      </c>
      <c r="F6" s="636">
        <v>101</v>
      </c>
      <c r="G6" s="633"/>
    </row>
    <row r="7" spans="1:10" ht="24" customHeight="1" thickBot="1">
      <c r="A7" s="637" t="s">
        <v>6</v>
      </c>
      <c r="B7" s="638" t="s">
        <v>457</v>
      </c>
      <c r="C7" s="633"/>
      <c r="E7" s="637" t="s">
        <v>6</v>
      </c>
      <c r="F7" s="638" t="s">
        <v>457</v>
      </c>
      <c r="G7" s="633"/>
      <c r="H7" s="903" t="s">
        <v>779</v>
      </c>
    </row>
    <row r="8" spans="1:10" ht="24" customHeight="1">
      <c r="A8" s="643" t="s">
        <v>76</v>
      </c>
      <c r="B8" s="649"/>
      <c r="C8" s="633"/>
      <c r="E8" s="643" t="s">
        <v>76</v>
      </c>
      <c r="F8" s="790"/>
      <c r="G8" s="639"/>
      <c r="H8" s="945"/>
    </row>
    <row r="9" spans="1:10" ht="24" hidden="1" customHeight="1">
      <c r="A9" s="643" t="s">
        <v>333</v>
      </c>
      <c r="B9" s="649"/>
      <c r="C9" s="633"/>
      <c r="E9" s="643" t="s">
        <v>333</v>
      </c>
      <c r="F9" s="790"/>
      <c r="G9" s="639"/>
      <c r="H9" s="946"/>
    </row>
    <row r="10" spans="1:10" ht="24" hidden="1" customHeight="1">
      <c r="A10" s="643" t="s">
        <v>334</v>
      </c>
      <c r="B10" s="649"/>
      <c r="C10" s="633"/>
      <c r="E10" s="643" t="s">
        <v>334</v>
      </c>
      <c r="F10" s="790"/>
      <c r="G10" s="639"/>
      <c r="H10" s="946"/>
    </row>
    <row r="11" spans="1:10" ht="16.5" hidden="1">
      <c r="A11" s="643" t="s">
        <v>90</v>
      </c>
      <c r="B11" s="649"/>
      <c r="C11" s="633"/>
      <c r="E11" s="643" t="s">
        <v>90</v>
      </c>
      <c r="F11" s="790"/>
      <c r="G11" s="639"/>
      <c r="H11" s="946"/>
    </row>
    <row r="12" spans="1:10" ht="16.5" hidden="1">
      <c r="A12" s="633" t="s">
        <v>335</v>
      </c>
      <c r="B12" s="648"/>
      <c r="C12" s="633"/>
      <c r="E12" s="633" t="s">
        <v>335</v>
      </c>
      <c r="F12" s="793"/>
      <c r="G12" s="639"/>
      <c r="H12" s="814"/>
      <c r="I12" s="835" t="s">
        <v>811</v>
      </c>
    </row>
    <row r="13" spans="1:10" ht="16.5" hidden="1">
      <c r="A13" s="633" t="s">
        <v>336</v>
      </c>
      <c r="B13" s="648"/>
      <c r="C13" s="633"/>
      <c r="D13" s="647"/>
      <c r="E13" s="633" t="s">
        <v>336</v>
      </c>
      <c r="F13" s="793"/>
      <c r="G13" s="639"/>
      <c r="H13" s="814"/>
      <c r="I13" s="916"/>
      <c r="J13" s="647"/>
    </row>
    <row r="14" spans="1:10" ht="16.5" hidden="1">
      <c r="A14" s="633" t="s">
        <v>336</v>
      </c>
      <c r="B14" s="648"/>
      <c r="C14" s="633"/>
      <c r="D14" s="647"/>
      <c r="E14" s="633" t="s">
        <v>336</v>
      </c>
      <c r="F14" s="793"/>
      <c r="G14" s="639"/>
      <c r="H14" s="814"/>
      <c r="I14" s="916"/>
      <c r="J14" s="647"/>
    </row>
    <row r="15" spans="1:10" ht="16.5" hidden="1">
      <c r="A15" s="633" t="s">
        <v>338</v>
      </c>
      <c r="B15" s="648"/>
      <c r="C15" s="633"/>
      <c r="D15" s="647"/>
      <c r="E15" s="633" t="s">
        <v>338</v>
      </c>
      <c r="F15" s="793"/>
      <c r="G15" s="639"/>
      <c r="H15" s="947"/>
      <c r="I15" s="916"/>
      <c r="J15" s="647"/>
    </row>
    <row r="16" spans="1:10" ht="16.5" hidden="1">
      <c r="A16" s="633" t="s">
        <v>339</v>
      </c>
      <c r="B16" s="648"/>
      <c r="C16" s="633"/>
      <c r="D16" s="647"/>
      <c r="E16" s="633" t="s">
        <v>339</v>
      </c>
      <c r="F16" s="793"/>
      <c r="G16" s="639"/>
      <c r="H16" s="947"/>
      <c r="I16" s="916"/>
      <c r="J16" s="647"/>
    </row>
    <row r="17" spans="1:11" ht="16.5" hidden="1">
      <c r="A17" s="633" t="s">
        <v>340</v>
      </c>
      <c r="B17" s="648"/>
      <c r="C17" s="633"/>
      <c r="D17" s="647"/>
      <c r="E17" s="633" t="s">
        <v>340</v>
      </c>
      <c r="F17" s="793"/>
      <c r="G17" s="639"/>
      <c r="H17" s="814" t="s">
        <v>812</v>
      </c>
      <c r="I17" s="916"/>
      <c r="J17" s="647"/>
    </row>
    <row r="18" spans="1:11" ht="16.5" hidden="1">
      <c r="A18" s="633" t="s">
        <v>341</v>
      </c>
      <c r="B18" s="648"/>
      <c r="C18" s="633"/>
      <c r="D18" s="647"/>
      <c r="E18" s="633" t="s">
        <v>341</v>
      </c>
      <c r="F18" s="793"/>
      <c r="G18" s="639"/>
      <c r="H18" s="814"/>
      <c r="I18" s="916"/>
      <c r="J18" s="647"/>
    </row>
    <row r="19" spans="1:11" ht="16.5" hidden="1">
      <c r="A19" s="633" t="s">
        <v>342</v>
      </c>
      <c r="B19" s="648"/>
      <c r="C19" s="633"/>
      <c r="E19" s="633" t="s">
        <v>342</v>
      </c>
      <c r="F19" s="793"/>
      <c r="G19" s="639"/>
      <c r="H19" s="814"/>
      <c r="I19" s="884"/>
    </row>
    <row r="20" spans="1:11" ht="16.5" hidden="1">
      <c r="A20" s="633" t="s">
        <v>343</v>
      </c>
      <c r="B20" s="648"/>
      <c r="C20" s="633"/>
      <c r="E20" s="633" t="s">
        <v>343</v>
      </c>
      <c r="F20" s="793"/>
      <c r="G20" s="639"/>
      <c r="H20" s="814"/>
      <c r="I20" s="884"/>
    </row>
    <row r="21" spans="1:11" ht="16.5" hidden="1">
      <c r="A21" s="633" t="s">
        <v>72</v>
      </c>
      <c r="B21" s="648"/>
      <c r="C21" s="633"/>
      <c r="E21" s="633" t="s">
        <v>72</v>
      </c>
      <c r="F21" s="793"/>
      <c r="G21" s="639"/>
      <c r="H21" s="814"/>
      <c r="I21" s="884"/>
    </row>
    <row r="22" spans="1:11" ht="16.5">
      <c r="A22" s="633" t="s">
        <v>344</v>
      </c>
      <c r="B22" s="648"/>
      <c r="C22" s="633"/>
      <c r="E22" s="633" t="s">
        <v>344</v>
      </c>
      <c r="F22" s="793"/>
      <c r="G22" s="639"/>
      <c r="H22" s="814"/>
      <c r="I22" s="884"/>
    </row>
    <row r="23" spans="1:11" ht="16.5">
      <c r="A23" s="724" t="s">
        <v>71</v>
      </c>
      <c r="B23" s="725">
        <v>7604.32</v>
      </c>
      <c r="C23" s="643"/>
      <c r="D23" s="651"/>
      <c r="E23" s="724" t="s">
        <v>71</v>
      </c>
      <c r="F23" s="725">
        <f>'101'!B23</f>
        <v>51684</v>
      </c>
      <c r="G23" s="639"/>
      <c r="H23" s="806">
        <f>+F23-B23</f>
        <v>44079.68</v>
      </c>
      <c r="I23" s="925">
        <f>H23-H43</f>
        <v>17558.68</v>
      </c>
      <c r="J23" s="687" t="s">
        <v>183</v>
      </c>
      <c r="K23" s="687"/>
    </row>
    <row r="24" spans="1:11" ht="16.5">
      <c r="A24" s="724" t="s">
        <v>701</v>
      </c>
      <c r="B24" s="725">
        <v>6586.12</v>
      </c>
      <c r="C24" s="643"/>
      <c r="D24" s="651"/>
      <c r="E24" s="724" t="s">
        <v>701</v>
      </c>
      <c r="F24" s="725">
        <f>'101'!B24</f>
        <v>52870.52</v>
      </c>
      <c r="G24" s="639"/>
      <c r="H24" s="806">
        <f>+F24-B24</f>
        <v>46284.399999999994</v>
      </c>
      <c r="I24" s="948"/>
    </row>
    <row r="25" spans="1:11" ht="16.5">
      <c r="A25" s="633" t="s">
        <v>345</v>
      </c>
      <c r="B25" s="835"/>
      <c r="C25" s="633"/>
      <c r="E25" s="633" t="s">
        <v>345</v>
      </c>
      <c r="F25" s="835"/>
      <c r="G25" s="639"/>
      <c r="H25" s="946"/>
      <c r="I25" s="884"/>
    </row>
    <row r="26" spans="1:11" ht="16.5" hidden="1">
      <c r="A26" s="633" t="s">
        <v>346</v>
      </c>
      <c r="B26" s="793"/>
      <c r="C26" s="633"/>
      <c r="E26" s="633" t="s">
        <v>346</v>
      </c>
      <c r="F26" s="793"/>
      <c r="G26" s="639"/>
      <c r="H26" s="946"/>
      <c r="I26" s="884" t="s">
        <v>36</v>
      </c>
    </row>
    <row r="27" spans="1:11" ht="16.5" hidden="1">
      <c r="A27" s="633" t="s">
        <v>347</v>
      </c>
      <c r="B27" s="793"/>
      <c r="C27" s="633"/>
      <c r="E27" s="633" t="s">
        <v>347</v>
      </c>
      <c r="F27" s="793"/>
      <c r="G27" s="639"/>
      <c r="H27" s="946"/>
      <c r="I27" s="884"/>
    </row>
    <row r="28" spans="1:11" ht="16.5" hidden="1">
      <c r="A28" s="633" t="s">
        <v>348</v>
      </c>
      <c r="B28" s="793">
        <v>0</v>
      </c>
      <c r="C28" s="650"/>
      <c r="E28" s="633" t="s">
        <v>348</v>
      </c>
      <c r="F28" s="793">
        <v>0</v>
      </c>
      <c r="G28" s="650"/>
      <c r="H28" s="814"/>
    </row>
    <row r="29" spans="1:11" ht="16.5" hidden="1">
      <c r="A29" s="633" t="s">
        <v>349</v>
      </c>
      <c r="B29" s="793">
        <v>0</v>
      </c>
      <c r="C29" s="633"/>
      <c r="E29" s="633" t="s">
        <v>349</v>
      </c>
      <c r="F29" s="793">
        <v>0</v>
      </c>
      <c r="G29" s="639"/>
      <c r="H29" s="814"/>
      <c r="I29" s="884"/>
    </row>
    <row r="30" spans="1:11" ht="16.5" hidden="1">
      <c r="A30" s="633" t="s">
        <v>350</v>
      </c>
      <c r="B30" s="793"/>
      <c r="C30" s="633"/>
      <c r="E30" s="633" t="s">
        <v>350</v>
      </c>
      <c r="F30" s="793"/>
      <c r="G30" s="639"/>
      <c r="H30" s="814"/>
    </row>
    <row r="31" spans="1:11" ht="16.5" hidden="1">
      <c r="A31" s="653" t="s">
        <v>351</v>
      </c>
      <c r="B31" s="793">
        <v>0</v>
      </c>
      <c r="C31" s="653"/>
      <c r="E31" s="653" t="s">
        <v>351</v>
      </c>
      <c r="F31" s="793">
        <v>0</v>
      </c>
      <c r="G31" s="654"/>
      <c r="H31" s="814"/>
    </row>
    <row r="32" spans="1:11" ht="16.5" hidden="1">
      <c r="A32" s="633" t="s">
        <v>352</v>
      </c>
      <c r="B32" s="793"/>
      <c r="C32" s="633"/>
      <c r="E32" s="633" t="s">
        <v>352</v>
      </c>
      <c r="F32" s="793"/>
      <c r="G32" s="639"/>
      <c r="H32" s="814"/>
    </row>
    <row r="33" spans="1:65" ht="16.5" hidden="1">
      <c r="A33" s="629" t="s">
        <v>353</v>
      </c>
      <c r="B33" s="793">
        <v>0</v>
      </c>
      <c r="C33" s="633"/>
      <c r="E33" s="629" t="s">
        <v>353</v>
      </c>
      <c r="F33" s="793">
        <v>0</v>
      </c>
      <c r="G33" s="639"/>
      <c r="H33" s="814"/>
      <c r="J33" s="629">
        <v>23167.040000000001</v>
      </c>
      <c r="BE33" s="659"/>
      <c r="BF33" s="647"/>
      <c r="BG33" s="647"/>
      <c r="BH33" s="647"/>
      <c r="BI33" s="647"/>
      <c r="BJ33" s="647"/>
      <c r="BK33" s="647"/>
      <c r="BL33" s="647"/>
      <c r="BM33" s="647"/>
    </row>
    <row r="34" spans="1:65" ht="16.5" hidden="1">
      <c r="A34" s="633" t="s">
        <v>354</v>
      </c>
      <c r="B34" s="793"/>
      <c r="C34" s="657"/>
      <c r="E34" s="633" t="s">
        <v>354</v>
      </c>
      <c r="F34" s="793"/>
      <c r="G34" s="658"/>
      <c r="H34" s="814"/>
      <c r="I34" s="835">
        <v>1909</v>
      </c>
    </row>
    <row r="35" spans="1:65" ht="16.5" hidden="1">
      <c r="A35" s="633" t="s">
        <v>355</v>
      </c>
      <c r="B35" s="793"/>
      <c r="C35" s="633"/>
      <c r="E35" s="633" t="s">
        <v>355</v>
      </c>
      <c r="F35" s="793"/>
      <c r="G35" s="639"/>
      <c r="H35" s="814"/>
    </row>
    <row r="36" spans="1:65" ht="16.5" hidden="1">
      <c r="A36" s="633" t="s">
        <v>356</v>
      </c>
      <c r="B36" s="793"/>
      <c r="C36" s="633"/>
      <c r="E36" s="633" t="s">
        <v>356</v>
      </c>
      <c r="F36" s="793"/>
      <c r="G36" s="639"/>
      <c r="H36" s="814"/>
    </row>
    <row r="37" spans="1:65" ht="16.5" hidden="1">
      <c r="A37" s="633" t="s">
        <v>653</v>
      </c>
      <c r="B37" s="793">
        <v>0</v>
      </c>
      <c r="C37" s="633"/>
      <c r="E37" s="633" t="s">
        <v>653</v>
      </c>
      <c r="F37" s="793">
        <v>0</v>
      </c>
      <c r="G37" s="639"/>
      <c r="H37" s="814"/>
    </row>
    <row r="38" spans="1:65" ht="16.5" hidden="1">
      <c r="A38" s="633" t="s">
        <v>654</v>
      </c>
      <c r="B38" s="793">
        <v>0</v>
      </c>
      <c r="C38" s="633"/>
      <c r="E38" s="633" t="s">
        <v>654</v>
      </c>
      <c r="F38" s="793">
        <v>0</v>
      </c>
      <c r="G38" s="639"/>
      <c r="H38" s="814"/>
    </row>
    <row r="39" spans="1:65" ht="16.5" hidden="1">
      <c r="A39" s="633" t="s">
        <v>357</v>
      </c>
      <c r="B39" s="793">
        <v>0</v>
      </c>
      <c r="C39" s="633"/>
      <c r="E39" s="633" t="s">
        <v>357</v>
      </c>
      <c r="F39" s="793">
        <v>0</v>
      </c>
      <c r="G39" s="639"/>
      <c r="H39" s="814"/>
    </row>
    <row r="40" spans="1:65" ht="16.5">
      <c r="A40" s="653" t="s">
        <v>358</v>
      </c>
      <c r="B40" s="793">
        <v>0</v>
      </c>
      <c r="C40" s="633"/>
      <c r="E40" s="653" t="s">
        <v>358</v>
      </c>
      <c r="F40" s="793">
        <v>0</v>
      </c>
      <c r="G40" s="639"/>
      <c r="H40" s="814"/>
    </row>
    <row r="41" spans="1:65" ht="16.5">
      <c r="A41" s="633" t="s">
        <v>359</v>
      </c>
      <c r="B41" s="793">
        <v>0</v>
      </c>
      <c r="C41" s="633"/>
      <c r="E41" s="633" t="s">
        <v>359</v>
      </c>
      <c r="F41" s="793">
        <v>0</v>
      </c>
      <c r="G41" s="639"/>
      <c r="H41" s="814"/>
    </row>
    <row r="42" spans="1:65" ht="16.5">
      <c r="A42" s="657" t="s">
        <v>360</v>
      </c>
      <c r="B42" s="736">
        <v>0</v>
      </c>
      <c r="C42" s="633"/>
      <c r="E42" s="657" t="s">
        <v>360</v>
      </c>
      <c r="F42" s="736">
        <v>0</v>
      </c>
      <c r="G42" s="639"/>
      <c r="H42" s="814"/>
    </row>
    <row r="43" spans="1:65" ht="17.25" thickBot="1">
      <c r="A43" s="724" t="s">
        <v>361</v>
      </c>
      <c r="B43" s="725">
        <v>3056</v>
      </c>
      <c r="C43" s="703"/>
      <c r="D43" s="651"/>
      <c r="E43" s="724" t="s">
        <v>361</v>
      </c>
      <c r="F43" s="725">
        <f>'101'!B41</f>
        <v>29577</v>
      </c>
      <c r="G43" s="740"/>
      <c r="H43" s="906">
        <f>F43-B43</f>
        <v>26521</v>
      </c>
    </row>
    <row r="44" spans="1:65">
      <c r="B44" s="949"/>
      <c r="F44" s="949"/>
    </row>
    <row r="45" spans="1:65">
      <c r="B45" s="949"/>
      <c r="F45" s="949"/>
    </row>
    <row r="46" spans="1:65">
      <c r="B46" s="949"/>
      <c r="F46" s="949"/>
    </row>
    <row r="47" spans="1:65">
      <c r="B47" s="949"/>
      <c r="F47" s="949"/>
    </row>
    <row r="48" spans="1:65">
      <c r="B48" s="949"/>
      <c r="F48" s="949"/>
    </row>
    <row r="49" spans="2:6">
      <c r="B49" s="949"/>
      <c r="F49" s="949"/>
    </row>
    <row r="50" spans="2:6">
      <c r="B50" s="949"/>
      <c r="F50" s="949"/>
    </row>
  </sheetData>
  <pageMargins left="0.70000000000000007" right="0.70000000000000007" top="1.1437007874015745" bottom="1.1437007874015745" header="0.74999999999999989" footer="0.74999999999999989"/>
  <pageSetup paperSize="9" fitToWidth="0" fitToHeight="0" orientation="portrait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00FF00"/>
  </sheetPr>
  <dimension ref="A1:GV43"/>
  <sheetViews>
    <sheetView workbookViewId="0">
      <pane xSplit="9" ySplit="43" topLeftCell="GI44" activePane="bottomRight" state="frozen"/>
      <selection activeCell="F26" sqref="F26"/>
      <selection pane="topRight" activeCell="F26" sqref="F26"/>
      <selection pane="bottomLeft" activeCell="F26" sqref="F26"/>
      <selection pane="bottomRight" activeCell="B23" sqref="B23:B43"/>
    </sheetView>
  </sheetViews>
  <sheetFormatPr defaultColWidth="3" defaultRowHeight="15.75"/>
  <cols>
    <col min="1" max="1" width="32.85546875" style="629" bestFit="1" customWidth="1"/>
    <col min="2" max="2" width="25.5703125" style="634" bestFit="1" customWidth="1"/>
    <col min="3" max="3" width="2.85546875" style="629" bestFit="1" customWidth="1"/>
    <col min="4" max="4" width="4.42578125" style="629" customWidth="1"/>
    <col min="5" max="5" width="32.85546875" style="629" bestFit="1" customWidth="1"/>
    <col min="6" max="6" width="25.5703125" style="634" bestFit="1" customWidth="1"/>
    <col min="7" max="7" width="2.85546875" style="629" bestFit="1" customWidth="1"/>
    <col min="8" max="8" width="15.28515625" style="835" bestFit="1" customWidth="1"/>
    <col min="9" max="9" width="6.42578125" style="835" bestFit="1" customWidth="1"/>
    <col min="10" max="10" width="16.140625" style="629" bestFit="1" customWidth="1"/>
    <col min="11" max="12" width="8.7109375" style="629" customWidth="1"/>
    <col min="13" max="13" width="13.42578125" style="629" bestFit="1" customWidth="1"/>
    <col min="14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 customWidth="1"/>
    <col min="223" max="223" width="0.42578125" style="629" customWidth="1"/>
    <col min="224" max="231" width="3" style="629" customWidth="1"/>
    <col min="232" max="232" width="0.42578125" style="629" customWidth="1"/>
    <col min="233" max="238" width="3" style="629" customWidth="1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 customWidth="1"/>
    <col min="249" max="249" width="0.42578125" style="629" customWidth="1"/>
    <col min="250" max="16384" width="3" style="629"/>
  </cols>
  <sheetData>
    <row r="1" spans="1:10">
      <c r="A1" s="628" t="s">
        <v>749</v>
      </c>
      <c r="B1" s="627"/>
      <c r="C1" s="628"/>
      <c r="E1" s="628" t="s">
        <v>748</v>
      </c>
      <c r="F1" s="627"/>
      <c r="G1" s="628"/>
    </row>
    <row r="2" spans="1:10" ht="16.5">
      <c r="A2" s="631" t="s">
        <v>0</v>
      </c>
      <c r="B2" s="624" t="s">
        <v>70</v>
      </c>
      <c r="C2" s="632" t="s">
        <v>2</v>
      </c>
      <c r="E2" s="631" t="s">
        <v>0</v>
      </c>
      <c r="F2" s="624" t="s">
        <v>70</v>
      </c>
      <c r="G2" s="632" t="s">
        <v>2</v>
      </c>
    </row>
    <row r="3" spans="1:10">
      <c r="A3" s="631"/>
      <c r="B3" s="624" t="s">
        <v>368</v>
      </c>
      <c r="C3" s="633"/>
      <c r="E3" s="631"/>
      <c r="F3" s="624" t="s">
        <v>70</v>
      </c>
      <c r="G3" s="633"/>
    </row>
    <row r="4" spans="1:10" ht="24" customHeight="1">
      <c r="A4" s="631" t="s">
        <v>4</v>
      </c>
      <c r="B4" s="625" t="s">
        <v>368</v>
      </c>
      <c r="C4" s="633"/>
      <c r="E4" s="631" t="s">
        <v>4</v>
      </c>
      <c r="F4" s="625" t="s">
        <v>368</v>
      </c>
      <c r="G4" s="633"/>
    </row>
    <row r="5" spans="1:10" ht="24" hidden="1" customHeight="1">
      <c r="B5" s="634">
        <v>1</v>
      </c>
      <c r="C5" s="633"/>
      <c r="F5" s="634">
        <v>1</v>
      </c>
      <c r="G5" s="633"/>
    </row>
    <row r="6" spans="1:10" ht="24" customHeight="1">
      <c r="A6" s="635" t="s">
        <v>5</v>
      </c>
      <c r="B6" s="636">
        <v>102</v>
      </c>
      <c r="C6" s="633"/>
      <c r="E6" s="635" t="s">
        <v>5</v>
      </c>
      <c r="F6" s="636">
        <v>102</v>
      </c>
      <c r="G6" s="633"/>
    </row>
    <row r="7" spans="1:10" ht="24" customHeight="1" thickBot="1">
      <c r="A7" s="637" t="s">
        <v>6</v>
      </c>
      <c r="B7" s="638" t="s">
        <v>571</v>
      </c>
      <c r="C7" s="633"/>
      <c r="E7" s="637" t="s">
        <v>6</v>
      </c>
      <c r="F7" s="638" t="s">
        <v>571</v>
      </c>
      <c r="G7" s="633"/>
      <c r="H7" s="903" t="s">
        <v>779</v>
      </c>
    </row>
    <row r="8" spans="1:10" ht="24" customHeight="1">
      <c r="A8" s="633" t="s">
        <v>76</v>
      </c>
      <c r="B8" s="793"/>
      <c r="C8" s="633"/>
      <c r="E8" s="633" t="s">
        <v>76</v>
      </c>
      <c r="F8" s="793"/>
      <c r="G8" s="639"/>
      <c r="H8" s="924"/>
    </row>
    <row r="9" spans="1:10" ht="24" hidden="1" customHeight="1">
      <c r="A9" s="633" t="s">
        <v>333</v>
      </c>
      <c r="B9" s="793"/>
      <c r="C9" s="633"/>
      <c r="E9" s="633" t="s">
        <v>333</v>
      </c>
      <c r="F9" s="793"/>
      <c r="G9" s="639"/>
      <c r="H9" s="814"/>
    </row>
    <row r="10" spans="1:10" ht="24" hidden="1" customHeight="1">
      <c r="A10" s="633" t="s">
        <v>334</v>
      </c>
      <c r="B10" s="793"/>
      <c r="C10" s="633"/>
      <c r="E10" s="633" t="s">
        <v>334</v>
      </c>
      <c r="F10" s="793"/>
      <c r="G10" s="639"/>
      <c r="H10" s="814"/>
    </row>
    <row r="11" spans="1:10" ht="24" hidden="1" customHeight="1">
      <c r="A11" s="633" t="s">
        <v>90</v>
      </c>
      <c r="B11" s="793"/>
      <c r="C11" s="633"/>
      <c r="E11" s="633" t="s">
        <v>90</v>
      </c>
      <c r="F11" s="793"/>
      <c r="G11" s="639"/>
      <c r="H11" s="814"/>
    </row>
    <row r="12" spans="1:10" ht="24" hidden="1" customHeight="1">
      <c r="A12" s="633" t="s">
        <v>335</v>
      </c>
      <c r="B12" s="793"/>
      <c r="C12" s="633"/>
      <c r="E12" s="633" t="s">
        <v>335</v>
      </c>
      <c r="F12" s="793"/>
      <c r="G12" s="639"/>
      <c r="H12" s="814"/>
    </row>
    <row r="13" spans="1:10" ht="24" hidden="1" customHeight="1">
      <c r="A13" s="633" t="s">
        <v>336</v>
      </c>
      <c r="B13" s="793"/>
      <c r="C13" s="633"/>
      <c r="D13" s="647"/>
      <c r="E13" s="633" t="s">
        <v>336</v>
      </c>
      <c r="F13" s="793"/>
      <c r="G13" s="639"/>
      <c r="H13" s="905"/>
      <c r="I13" s="916"/>
      <c r="J13" s="647" t="s">
        <v>778</v>
      </c>
    </row>
    <row r="14" spans="1:10" ht="24" hidden="1" customHeight="1">
      <c r="A14" s="633" t="s">
        <v>337</v>
      </c>
      <c r="B14" s="793"/>
      <c r="C14" s="633"/>
      <c r="D14" s="647"/>
      <c r="E14" s="633" t="s">
        <v>337</v>
      </c>
      <c r="F14" s="793"/>
      <c r="G14" s="639"/>
      <c r="H14" s="905"/>
      <c r="I14" s="916"/>
      <c r="J14" s="647"/>
    </row>
    <row r="15" spans="1:10" ht="24" hidden="1" customHeight="1">
      <c r="A15" s="633" t="s">
        <v>338</v>
      </c>
      <c r="B15" s="793"/>
      <c r="C15" s="633"/>
      <c r="D15" s="647"/>
      <c r="E15" s="633" t="s">
        <v>338</v>
      </c>
      <c r="F15" s="793"/>
      <c r="G15" s="639"/>
      <c r="H15" s="905"/>
      <c r="I15" s="916"/>
      <c r="J15" s="647"/>
    </row>
    <row r="16" spans="1:10" ht="24" hidden="1" customHeight="1">
      <c r="A16" s="633" t="s">
        <v>339</v>
      </c>
      <c r="B16" s="793"/>
      <c r="C16" s="633"/>
      <c r="D16" s="647"/>
      <c r="E16" s="633" t="s">
        <v>339</v>
      </c>
      <c r="F16" s="793"/>
      <c r="G16" s="639"/>
      <c r="H16" s="905"/>
      <c r="I16" s="916"/>
      <c r="J16" s="647"/>
    </row>
    <row r="17" spans="1:13" ht="24" hidden="1" customHeight="1">
      <c r="A17" s="633" t="s">
        <v>340</v>
      </c>
      <c r="B17" s="793"/>
      <c r="C17" s="633"/>
      <c r="D17" s="647"/>
      <c r="E17" s="633" t="s">
        <v>340</v>
      </c>
      <c r="F17" s="793"/>
      <c r="G17" s="639"/>
      <c r="H17" s="905"/>
      <c r="I17" s="916"/>
      <c r="J17" s="647"/>
    </row>
    <row r="18" spans="1:13" ht="24" hidden="1" customHeight="1">
      <c r="A18" s="633" t="s">
        <v>341</v>
      </c>
      <c r="B18" s="793"/>
      <c r="C18" s="633"/>
      <c r="D18" s="647"/>
      <c r="E18" s="633" t="s">
        <v>341</v>
      </c>
      <c r="F18" s="793"/>
      <c r="G18" s="639"/>
      <c r="H18" s="905"/>
      <c r="I18" s="916"/>
      <c r="J18" s="647"/>
    </row>
    <row r="19" spans="1:13" ht="24" hidden="1" customHeight="1">
      <c r="A19" s="633" t="s">
        <v>342</v>
      </c>
      <c r="B19" s="793"/>
      <c r="C19" s="633"/>
      <c r="E19" s="633" t="s">
        <v>342</v>
      </c>
      <c r="F19" s="793"/>
      <c r="G19" s="639"/>
      <c r="H19" s="814"/>
      <c r="I19" s="884"/>
    </row>
    <row r="20" spans="1:13" ht="24" hidden="1" customHeight="1">
      <c r="A20" s="633" t="s">
        <v>343</v>
      </c>
      <c r="B20" s="793"/>
      <c r="C20" s="633"/>
      <c r="E20" s="633" t="s">
        <v>343</v>
      </c>
      <c r="F20" s="793"/>
      <c r="G20" s="639"/>
      <c r="H20" s="814"/>
      <c r="I20" s="884"/>
    </row>
    <row r="21" spans="1:13" ht="24" hidden="1" customHeight="1">
      <c r="A21" s="633" t="s">
        <v>72</v>
      </c>
      <c r="B21" s="793"/>
      <c r="C21" s="633"/>
      <c r="E21" s="633" t="s">
        <v>72</v>
      </c>
      <c r="F21" s="793"/>
      <c r="G21" s="639"/>
      <c r="H21" s="814"/>
      <c r="I21" s="884"/>
    </row>
    <row r="22" spans="1:13" ht="24" customHeight="1">
      <c r="A22" s="633" t="s">
        <v>344</v>
      </c>
      <c r="B22" s="793"/>
      <c r="C22" s="633"/>
      <c r="E22" s="633" t="s">
        <v>344</v>
      </c>
      <c r="F22" s="793"/>
      <c r="G22" s="639"/>
      <c r="H22" s="814"/>
      <c r="I22" s="884"/>
    </row>
    <row r="23" spans="1:13" ht="24" customHeight="1">
      <c r="A23" s="724" t="s">
        <v>71</v>
      </c>
      <c r="B23" s="725">
        <v>15844.04</v>
      </c>
      <c r="C23" s="633"/>
      <c r="E23" s="724" t="s">
        <v>71</v>
      </c>
      <c r="F23" s="725">
        <f>'102'!$B$23</f>
        <v>103367.12</v>
      </c>
      <c r="G23" s="639"/>
      <c r="H23" s="806">
        <f>F23-B23</f>
        <v>87523.079999999987</v>
      </c>
      <c r="I23" s="925">
        <f>H23-H43</f>
        <v>42839.079999999987</v>
      </c>
      <c r="J23" s="687" t="s">
        <v>183</v>
      </c>
      <c r="K23" s="687"/>
    </row>
    <row r="24" spans="1:13" ht="24" customHeight="1">
      <c r="A24" s="724" t="s">
        <v>81</v>
      </c>
      <c r="B24" s="725">
        <v>14055.32</v>
      </c>
      <c r="C24" s="633"/>
      <c r="E24" s="724" t="s">
        <v>81</v>
      </c>
      <c r="F24" s="725">
        <f>'102'!$B$24</f>
        <v>90041.14</v>
      </c>
      <c r="G24" s="639"/>
      <c r="H24" s="806">
        <f>F24-B24</f>
        <v>75985.820000000007</v>
      </c>
      <c r="I24" s="950"/>
      <c r="M24" s="629">
        <v>3</v>
      </c>
    </row>
    <row r="25" spans="1:13" ht="24" customHeight="1">
      <c r="A25" s="643" t="s">
        <v>345</v>
      </c>
      <c r="B25" s="790">
        <v>5578.92</v>
      </c>
      <c r="C25" s="633"/>
      <c r="E25" s="643" t="s">
        <v>345</v>
      </c>
      <c r="F25" s="790">
        <f>'102'!$B$25</f>
        <v>45973.82</v>
      </c>
      <c r="G25" s="639"/>
      <c r="H25" s="814"/>
      <c r="I25" s="884"/>
    </row>
    <row r="26" spans="1:13" ht="24" hidden="1" customHeight="1">
      <c r="A26" s="633" t="s">
        <v>346</v>
      </c>
      <c r="B26" s="793"/>
      <c r="C26" s="633"/>
      <c r="E26" s="633" t="s">
        <v>346</v>
      </c>
      <c r="F26" s="793"/>
      <c r="G26" s="639"/>
      <c r="H26" s="814"/>
      <c r="I26" s="884"/>
    </row>
    <row r="27" spans="1:13" ht="24" hidden="1" customHeight="1">
      <c r="A27" s="633" t="s">
        <v>347</v>
      </c>
      <c r="B27" s="793"/>
      <c r="C27" s="633"/>
      <c r="E27" s="633" t="s">
        <v>347</v>
      </c>
      <c r="F27" s="793"/>
      <c r="G27" s="639"/>
      <c r="H27" s="814"/>
      <c r="I27" s="884"/>
    </row>
    <row r="28" spans="1:13" ht="24" hidden="1" customHeight="1">
      <c r="A28" s="633" t="s">
        <v>348</v>
      </c>
      <c r="B28" s="793"/>
      <c r="C28" s="650"/>
      <c r="E28" s="633" t="s">
        <v>348</v>
      </c>
      <c r="F28" s="793"/>
      <c r="G28" s="650"/>
      <c r="H28" s="814"/>
    </row>
    <row r="29" spans="1:13" ht="24" hidden="1" customHeight="1">
      <c r="A29" s="633" t="s">
        <v>349</v>
      </c>
      <c r="B29" s="793">
        <v>0</v>
      </c>
      <c r="C29" s="633"/>
      <c r="E29" s="633" t="s">
        <v>349</v>
      </c>
      <c r="F29" s="793">
        <v>0</v>
      </c>
      <c r="G29" s="639"/>
      <c r="H29" s="814"/>
      <c r="I29" s="884"/>
    </row>
    <row r="30" spans="1:13" ht="24" hidden="1" customHeight="1">
      <c r="A30" s="633" t="s">
        <v>350</v>
      </c>
      <c r="B30" s="793"/>
      <c r="C30" s="633"/>
      <c r="E30" s="633" t="s">
        <v>350</v>
      </c>
      <c r="F30" s="793"/>
      <c r="G30" s="639"/>
      <c r="H30" s="814"/>
    </row>
    <row r="31" spans="1:13" ht="24" hidden="1" customHeight="1">
      <c r="A31" s="653" t="s">
        <v>351</v>
      </c>
      <c r="B31" s="793">
        <v>0</v>
      </c>
      <c r="C31" s="653"/>
      <c r="E31" s="653" t="s">
        <v>351</v>
      </c>
      <c r="F31" s="793">
        <v>0</v>
      </c>
      <c r="G31" s="654"/>
      <c r="H31" s="814"/>
    </row>
    <row r="32" spans="1:13" ht="24" hidden="1" customHeight="1">
      <c r="A32" s="633" t="s">
        <v>352</v>
      </c>
      <c r="B32" s="793">
        <v>0</v>
      </c>
      <c r="C32" s="633"/>
      <c r="E32" s="633" t="s">
        <v>352</v>
      </c>
      <c r="F32" s="793">
        <v>0</v>
      </c>
      <c r="G32" s="639"/>
      <c r="H32" s="814"/>
    </row>
    <row r="33" spans="1:65" ht="24" hidden="1" customHeight="1">
      <c r="A33" s="629" t="s">
        <v>353</v>
      </c>
      <c r="B33" s="793">
        <v>0</v>
      </c>
      <c r="C33" s="633"/>
      <c r="E33" s="629" t="s">
        <v>353</v>
      </c>
      <c r="F33" s="793">
        <v>0</v>
      </c>
      <c r="G33" s="639"/>
      <c r="H33" s="951"/>
      <c r="BE33" s="659"/>
      <c r="BF33" s="647"/>
      <c r="BG33" s="647"/>
      <c r="BH33" s="647"/>
      <c r="BI33" s="647"/>
      <c r="BJ33" s="647"/>
      <c r="BK33" s="647"/>
      <c r="BL33" s="647"/>
      <c r="BM33" s="647"/>
    </row>
    <row r="34" spans="1:65" ht="24" hidden="1" customHeight="1">
      <c r="A34" s="633" t="s">
        <v>354</v>
      </c>
      <c r="B34" s="793">
        <v>0</v>
      </c>
      <c r="C34" s="657"/>
      <c r="E34" s="633" t="s">
        <v>354</v>
      </c>
      <c r="F34" s="793">
        <v>0</v>
      </c>
      <c r="G34" s="658"/>
      <c r="H34" s="814"/>
    </row>
    <row r="35" spans="1:65" ht="24" hidden="1" customHeight="1">
      <c r="A35" s="633" t="s">
        <v>355</v>
      </c>
      <c r="B35" s="793">
        <v>0</v>
      </c>
      <c r="C35" s="633"/>
      <c r="E35" s="633" t="s">
        <v>355</v>
      </c>
      <c r="F35" s="793">
        <v>0</v>
      </c>
      <c r="G35" s="639"/>
      <c r="H35" s="814"/>
    </row>
    <row r="36" spans="1:65" ht="24" hidden="1" customHeight="1">
      <c r="A36" s="633" t="s">
        <v>356</v>
      </c>
      <c r="B36" s="793">
        <v>0</v>
      </c>
      <c r="C36" s="633"/>
      <c r="E36" s="633" t="s">
        <v>356</v>
      </c>
      <c r="F36" s="793">
        <v>0</v>
      </c>
      <c r="G36" s="639"/>
      <c r="H36" s="814"/>
    </row>
    <row r="37" spans="1:65" ht="24" hidden="1" customHeight="1">
      <c r="A37" s="633" t="s">
        <v>653</v>
      </c>
      <c r="B37" s="793">
        <v>0</v>
      </c>
      <c r="C37" s="633"/>
      <c r="E37" s="633" t="s">
        <v>653</v>
      </c>
      <c r="F37" s="793">
        <v>0</v>
      </c>
      <c r="G37" s="639"/>
      <c r="H37" s="814"/>
    </row>
    <row r="38" spans="1:65" ht="24" hidden="1" customHeight="1">
      <c r="A38" s="633" t="s">
        <v>654</v>
      </c>
      <c r="B38" s="793">
        <v>0</v>
      </c>
      <c r="C38" s="633"/>
      <c r="E38" s="633" t="s">
        <v>654</v>
      </c>
      <c r="F38" s="793">
        <v>0</v>
      </c>
      <c r="G38" s="639"/>
      <c r="H38" s="814"/>
    </row>
    <row r="39" spans="1:65" ht="24" hidden="1" customHeight="1">
      <c r="A39" s="633" t="s">
        <v>357</v>
      </c>
      <c r="B39" s="793">
        <v>0</v>
      </c>
      <c r="C39" s="633"/>
      <c r="E39" s="633" t="s">
        <v>357</v>
      </c>
      <c r="F39" s="793">
        <v>0</v>
      </c>
      <c r="G39" s="639"/>
      <c r="H39" s="814"/>
    </row>
    <row r="40" spans="1:65" ht="24" hidden="1" customHeight="1">
      <c r="A40" s="653" t="s">
        <v>358</v>
      </c>
      <c r="B40" s="793">
        <v>0</v>
      </c>
      <c r="C40" s="633"/>
      <c r="E40" s="653" t="s">
        <v>358</v>
      </c>
      <c r="F40" s="793">
        <v>0</v>
      </c>
      <c r="G40" s="639"/>
      <c r="H40" s="814"/>
    </row>
    <row r="41" spans="1:65" ht="24" customHeight="1">
      <c r="A41" s="633" t="s">
        <v>359</v>
      </c>
      <c r="B41" s="793">
        <v>0</v>
      </c>
      <c r="C41" s="633"/>
      <c r="E41" s="633" t="s">
        <v>359</v>
      </c>
      <c r="F41" s="793">
        <v>0</v>
      </c>
      <c r="G41" s="639"/>
      <c r="H41" s="814"/>
    </row>
    <row r="42" spans="1:65" ht="24" customHeight="1">
      <c r="A42" s="657" t="s">
        <v>360</v>
      </c>
      <c r="B42" s="736">
        <v>0</v>
      </c>
      <c r="C42" s="633"/>
      <c r="E42" s="657" t="s">
        <v>360</v>
      </c>
      <c r="F42" s="736">
        <v>0</v>
      </c>
      <c r="G42" s="639"/>
      <c r="H42" s="814"/>
    </row>
    <row r="43" spans="1:65" ht="24" customHeight="1" thickBot="1">
      <c r="A43" s="724" t="s">
        <v>361</v>
      </c>
      <c r="B43" s="725">
        <v>6976</v>
      </c>
      <c r="C43" s="653"/>
      <c r="E43" s="724" t="s">
        <v>361</v>
      </c>
      <c r="F43" s="725">
        <f>'102'!$B$41</f>
        <v>51660</v>
      </c>
      <c r="G43" s="654"/>
      <c r="H43" s="906">
        <f>F43-B43</f>
        <v>44684</v>
      </c>
    </row>
  </sheetData>
  <pageMargins left="0.70000000000000007" right="0.70000000000000007" top="1.1437007874015745" bottom="1.1437007874015745" header="0.74999999999999989" footer="0.74999999999999989"/>
  <pageSetup fitToWidth="0" fitToHeight="0" orientation="portrait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00FF00"/>
  </sheetPr>
  <dimension ref="A1:GV43"/>
  <sheetViews>
    <sheetView workbookViewId="0">
      <selection activeCell="B23" sqref="B23:B43"/>
    </sheetView>
  </sheetViews>
  <sheetFormatPr defaultColWidth="3" defaultRowHeight="15.75"/>
  <cols>
    <col min="1" max="1" width="32.85546875" style="629" bestFit="1" customWidth="1"/>
    <col min="2" max="2" width="23.7109375" style="634" bestFit="1" customWidth="1"/>
    <col min="3" max="3" width="2.85546875" style="629" bestFit="1" customWidth="1"/>
    <col min="4" max="4" width="6.7109375" style="629" bestFit="1" customWidth="1"/>
    <col min="5" max="5" width="32.85546875" style="629" bestFit="1" customWidth="1"/>
    <col min="6" max="6" width="23.7109375" style="634" bestFit="1" customWidth="1"/>
    <col min="7" max="7" width="2.85546875" style="629" bestFit="1" customWidth="1"/>
    <col min="8" max="8" width="13.7109375" style="835" bestFit="1" customWidth="1"/>
    <col min="9" max="9" width="12.42578125" style="835" customWidth="1"/>
    <col min="10" max="10" width="14.42578125" style="629" bestFit="1" customWidth="1"/>
    <col min="11" max="11" width="2.140625" style="629" bestFit="1" customWidth="1"/>
    <col min="12" max="12" width="8.7109375" style="629" customWidth="1"/>
    <col min="13" max="13" width="13.42578125" style="629" bestFit="1" customWidth="1"/>
    <col min="14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 customWidth="1"/>
    <col min="223" max="223" width="0.42578125" style="629" customWidth="1"/>
    <col min="224" max="231" width="3" style="629" customWidth="1"/>
    <col min="232" max="232" width="0.42578125" style="629" customWidth="1"/>
    <col min="233" max="238" width="3" style="629" customWidth="1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 customWidth="1"/>
    <col min="249" max="249" width="0.42578125" style="629" customWidth="1"/>
    <col min="250" max="16384" width="3" style="629"/>
  </cols>
  <sheetData>
    <row r="1" spans="1:13" ht="17.25" customHeight="1">
      <c r="A1" s="628" t="s">
        <v>749</v>
      </c>
      <c r="B1" s="627"/>
      <c r="C1" s="628"/>
      <c r="E1" s="628" t="s">
        <v>748</v>
      </c>
      <c r="F1" s="627"/>
      <c r="G1" s="628"/>
      <c r="M1" s="629" t="s">
        <v>69</v>
      </c>
    </row>
    <row r="2" spans="1:13" ht="16.5">
      <c r="A2" s="631" t="s">
        <v>0</v>
      </c>
      <c r="B2" s="624" t="s">
        <v>70</v>
      </c>
      <c r="C2" s="632" t="s">
        <v>2</v>
      </c>
      <c r="E2" s="631" t="s">
        <v>0</v>
      </c>
      <c r="F2" s="624" t="str">
        <f>+B2</f>
        <v>ATRONIC</v>
      </c>
      <c r="G2" s="632" t="s">
        <v>2</v>
      </c>
    </row>
    <row r="3" spans="1:13">
      <c r="A3" s="631"/>
      <c r="B3" s="624" t="s">
        <v>368</v>
      </c>
      <c r="C3" s="633"/>
      <c r="E3" s="631"/>
      <c r="F3" s="624" t="str">
        <f>+B3</f>
        <v>KING KONG</v>
      </c>
      <c r="G3" s="633"/>
    </row>
    <row r="4" spans="1:13" ht="24" customHeight="1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3" ht="24" customHeight="1">
      <c r="C5" s="633"/>
      <c r="G5" s="633"/>
    </row>
    <row r="6" spans="1:13" ht="24" customHeight="1">
      <c r="A6" s="635" t="s">
        <v>5</v>
      </c>
      <c r="B6" s="636">
        <v>103</v>
      </c>
      <c r="C6" s="633"/>
      <c r="E6" s="635" t="s">
        <v>5</v>
      </c>
      <c r="F6" s="636">
        <v>103</v>
      </c>
      <c r="G6" s="633"/>
    </row>
    <row r="7" spans="1:13" ht="24" customHeight="1" thickBot="1">
      <c r="A7" s="637" t="s">
        <v>6</v>
      </c>
      <c r="B7" s="636" t="s">
        <v>813</v>
      </c>
      <c r="C7" s="633"/>
      <c r="E7" s="637" t="s">
        <v>6</v>
      </c>
      <c r="F7" s="636" t="s">
        <v>813</v>
      </c>
      <c r="G7" s="633"/>
      <c r="H7" s="903" t="s">
        <v>784</v>
      </c>
    </row>
    <row r="8" spans="1:13" ht="24" hidden="1" customHeight="1">
      <c r="A8" s="633" t="s">
        <v>76</v>
      </c>
      <c r="B8" s="923"/>
      <c r="C8" s="633"/>
      <c r="E8" s="633" t="s">
        <v>76</v>
      </c>
      <c r="F8" s="793"/>
      <c r="G8" s="633"/>
      <c r="I8" s="835" t="s">
        <v>814</v>
      </c>
    </row>
    <row r="9" spans="1:13" ht="24" hidden="1" customHeight="1">
      <c r="A9" s="633" t="s">
        <v>333</v>
      </c>
      <c r="B9" s="923"/>
      <c r="C9" s="633"/>
      <c r="E9" s="633" t="s">
        <v>333</v>
      </c>
      <c r="F9" s="793"/>
      <c r="G9" s="633"/>
    </row>
    <row r="10" spans="1:13" ht="24" hidden="1" customHeight="1">
      <c r="A10" s="633" t="s">
        <v>334</v>
      </c>
      <c r="B10" s="923"/>
      <c r="C10" s="633"/>
      <c r="E10" s="633" t="s">
        <v>334</v>
      </c>
      <c r="F10" s="793"/>
      <c r="G10" s="633"/>
    </row>
    <row r="11" spans="1:13" ht="24" hidden="1" customHeight="1">
      <c r="A11" s="633" t="s">
        <v>90</v>
      </c>
      <c r="B11" s="923"/>
      <c r="C11" s="633"/>
      <c r="E11" s="633" t="s">
        <v>90</v>
      </c>
      <c r="F11" s="793"/>
      <c r="G11" s="633"/>
    </row>
    <row r="12" spans="1:13" ht="24" hidden="1" customHeight="1">
      <c r="A12" s="633" t="s">
        <v>335</v>
      </c>
      <c r="B12" s="923"/>
      <c r="C12" s="633"/>
      <c r="E12" s="633" t="s">
        <v>335</v>
      </c>
      <c r="F12" s="793"/>
      <c r="G12" s="633"/>
    </row>
    <row r="13" spans="1:13" ht="24" hidden="1" customHeight="1">
      <c r="A13" s="633" t="s">
        <v>336</v>
      </c>
      <c r="B13" s="923"/>
      <c r="C13" s="633"/>
      <c r="D13" s="647"/>
      <c r="E13" s="633" t="s">
        <v>336</v>
      </c>
      <c r="F13" s="793"/>
      <c r="G13" s="633"/>
      <c r="H13" s="916"/>
      <c r="I13" s="916"/>
      <c r="J13" s="647"/>
    </row>
    <row r="14" spans="1:13" ht="24" hidden="1" customHeight="1">
      <c r="A14" s="633" t="s">
        <v>337</v>
      </c>
      <c r="B14" s="923"/>
      <c r="C14" s="633"/>
      <c r="D14" s="647"/>
      <c r="E14" s="633" t="s">
        <v>337</v>
      </c>
      <c r="F14" s="793"/>
      <c r="G14" s="633"/>
      <c r="H14" s="916"/>
      <c r="I14" s="916"/>
      <c r="J14" s="647"/>
    </row>
    <row r="15" spans="1:13" ht="24" hidden="1" customHeight="1">
      <c r="A15" s="633" t="s">
        <v>338</v>
      </c>
      <c r="B15" s="669"/>
      <c r="C15" s="633"/>
      <c r="D15" s="647"/>
      <c r="E15" s="633" t="s">
        <v>338</v>
      </c>
      <c r="F15" s="793"/>
      <c r="G15" s="633"/>
      <c r="H15" s="916"/>
      <c r="I15" s="916"/>
      <c r="J15" s="647"/>
    </row>
    <row r="16" spans="1:13" ht="24" hidden="1" customHeight="1">
      <c r="A16" s="633" t="s">
        <v>339</v>
      </c>
      <c r="B16" s="669"/>
      <c r="C16" s="633"/>
      <c r="D16" s="647"/>
      <c r="E16" s="633" t="s">
        <v>339</v>
      </c>
      <c r="F16" s="793"/>
      <c r="G16" s="633"/>
      <c r="H16" s="916"/>
      <c r="I16" s="916"/>
      <c r="J16" s="647"/>
    </row>
    <row r="17" spans="1:11" ht="24" hidden="1" customHeight="1">
      <c r="A17" s="633" t="s">
        <v>340</v>
      </c>
      <c r="B17" s="923"/>
      <c r="C17" s="633"/>
      <c r="D17" s="647"/>
      <c r="E17" s="633" t="s">
        <v>340</v>
      </c>
      <c r="F17" s="793"/>
      <c r="G17" s="633"/>
      <c r="H17" s="916"/>
      <c r="I17" s="916"/>
      <c r="J17" s="647"/>
    </row>
    <row r="18" spans="1:11" ht="24" hidden="1" customHeight="1">
      <c r="A18" s="633" t="s">
        <v>341</v>
      </c>
      <c r="B18" s="923"/>
      <c r="C18" s="633"/>
      <c r="D18" s="647"/>
      <c r="E18" s="633" t="s">
        <v>341</v>
      </c>
      <c r="F18" s="793"/>
      <c r="G18" s="633"/>
      <c r="H18" s="916">
        <v>20</v>
      </c>
      <c r="I18" s="916"/>
      <c r="J18" s="647"/>
    </row>
    <row r="19" spans="1:11" ht="24" hidden="1" customHeight="1">
      <c r="A19" s="633" t="s">
        <v>342</v>
      </c>
      <c r="B19" s="669"/>
      <c r="C19" s="633"/>
      <c r="E19" s="633" t="s">
        <v>342</v>
      </c>
      <c r="F19" s="793"/>
      <c r="G19" s="633"/>
      <c r="H19" s="884"/>
      <c r="I19" s="884"/>
    </row>
    <row r="20" spans="1:11" ht="24" hidden="1" customHeight="1">
      <c r="A20" s="633" t="s">
        <v>343</v>
      </c>
      <c r="B20" s="669"/>
      <c r="C20" s="633"/>
      <c r="E20" s="633" t="s">
        <v>343</v>
      </c>
      <c r="F20" s="793"/>
      <c r="G20" s="633"/>
      <c r="H20" s="884"/>
      <c r="I20" s="884"/>
    </row>
    <row r="21" spans="1:11" ht="24" hidden="1" customHeight="1">
      <c r="A21" s="633" t="s">
        <v>72</v>
      </c>
      <c r="B21" s="923"/>
      <c r="C21" s="633"/>
      <c r="E21" s="633" t="s">
        <v>72</v>
      </c>
      <c r="F21" s="793"/>
      <c r="G21" s="633"/>
      <c r="H21" s="884"/>
      <c r="I21" s="884"/>
    </row>
    <row r="22" spans="1:11" ht="24" customHeight="1">
      <c r="A22" s="633" t="s">
        <v>344</v>
      </c>
      <c r="B22" s="923"/>
      <c r="C22" s="633"/>
      <c r="E22" s="633" t="s">
        <v>344</v>
      </c>
      <c r="F22" s="793"/>
      <c r="G22" s="639"/>
      <c r="H22" s="952"/>
      <c r="I22" s="884"/>
    </row>
    <row r="23" spans="1:11" ht="24" customHeight="1">
      <c r="A23" s="724" t="s">
        <v>71</v>
      </c>
      <c r="B23" s="725">
        <v>13641.84</v>
      </c>
      <c r="C23" s="633"/>
      <c r="E23" s="724" t="s">
        <v>71</v>
      </c>
      <c r="F23" s="725">
        <f>'103'!$B$23</f>
        <v>9354.67</v>
      </c>
      <c r="G23" s="639"/>
      <c r="H23" s="806">
        <f>F23-B23</f>
        <v>-4287.17</v>
      </c>
      <c r="I23" s="925">
        <f>H23-H43</f>
        <v>-4081.17</v>
      </c>
      <c r="J23" s="687" t="s">
        <v>815</v>
      </c>
      <c r="K23" s="687"/>
    </row>
    <row r="24" spans="1:11" ht="24" customHeight="1">
      <c r="A24" s="724" t="s">
        <v>81</v>
      </c>
      <c r="B24" s="725">
        <v>13725.1</v>
      </c>
      <c r="C24" s="633"/>
      <c r="E24" s="724" t="s">
        <v>81</v>
      </c>
      <c r="F24" s="725">
        <f>'103'!$B$24</f>
        <v>7307.43</v>
      </c>
      <c r="G24" s="639"/>
      <c r="H24" s="806">
        <f>F24-B24</f>
        <v>-6417.67</v>
      </c>
      <c r="I24" s="884"/>
    </row>
    <row r="25" spans="1:11" ht="24" customHeight="1">
      <c r="A25" s="633" t="s">
        <v>345</v>
      </c>
      <c r="B25" s="790">
        <v>2207.44</v>
      </c>
      <c r="C25" s="633"/>
      <c r="E25" s="643" t="s">
        <v>345</v>
      </c>
      <c r="F25" s="790">
        <f>'103'!$B$25</f>
        <v>3272.9</v>
      </c>
      <c r="G25" s="639"/>
      <c r="H25" s="804"/>
      <c r="I25" s="884"/>
    </row>
    <row r="26" spans="1:11" ht="24" hidden="1" customHeight="1">
      <c r="A26" s="633" t="s">
        <v>346</v>
      </c>
      <c r="B26" s="793"/>
      <c r="C26" s="633"/>
      <c r="E26" s="633" t="s">
        <v>346</v>
      </c>
      <c r="F26" s="793"/>
      <c r="G26" s="639"/>
      <c r="H26" s="804"/>
      <c r="I26" s="884"/>
      <c r="K26" s="629">
        <f>H23-H24</f>
        <v>2130.5</v>
      </c>
    </row>
    <row r="27" spans="1:11" ht="24" hidden="1" customHeight="1">
      <c r="A27" s="633" t="s">
        <v>347</v>
      </c>
      <c r="B27" s="793"/>
      <c r="C27" s="633"/>
      <c r="E27" s="633" t="s">
        <v>347</v>
      </c>
      <c r="F27" s="793"/>
      <c r="G27" s="639"/>
      <c r="H27" s="804"/>
      <c r="I27" s="884"/>
    </row>
    <row r="28" spans="1:11" ht="24" hidden="1" customHeight="1">
      <c r="A28" s="633" t="s">
        <v>348</v>
      </c>
      <c r="B28" s="793">
        <v>0</v>
      </c>
      <c r="C28" s="650"/>
      <c r="E28" s="633" t="s">
        <v>348</v>
      </c>
      <c r="F28" s="793">
        <v>0</v>
      </c>
      <c r="G28" s="650"/>
      <c r="H28" s="804"/>
    </row>
    <row r="29" spans="1:11" ht="24" hidden="1" customHeight="1">
      <c r="A29" s="633" t="s">
        <v>349</v>
      </c>
      <c r="B29" s="793">
        <v>0</v>
      </c>
      <c r="C29" s="643"/>
      <c r="E29" s="633" t="s">
        <v>349</v>
      </c>
      <c r="F29" s="793">
        <v>0</v>
      </c>
      <c r="G29" s="742"/>
      <c r="H29" s="804"/>
      <c r="I29" s="884"/>
    </row>
    <row r="30" spans="1:11" ht="24" hidden="1" customHeight="1">
      <c r="A30" s="633" t="s">
        <v>350</v>
      </c>
      <c r="B30" s="793"/>
      <c r="C30" s="633"/>
      <c r="D30" s="629">
        <v>22617</v>
      </c>
      <c r="E30" s="633" t="s">
        <v>350</v>
      </c>
      <c r="F30" s="793"/>
      <c r="G30" s="639"/>
      <c r="H30" s="804"/>
    </row>
    <row r="31" spans="1:11" ht="24" hidden="1" customHeight="1">
      <c r="A31" s="653" t="s">
        <v>351</v>
      </c>
      <c r="B31" s="793">
        <v>0</v>
      </c>
      <c r="C31" s="653"/>
      <c r="E31" s="653" t="s">
        <v>351</v>
      </c>
      <c r="F31" s="793">
        <v>0</v>
      </c>
      <c r="G31" s="654"/>
      <c r="H31" s="804"/>
    </row>
    <row r="32" spans="1:11" ht="24" hidden="1" customHeight="1">
      <c r="A32" s="633" t="s">
        <v>352</v>
      </c>
      <c r="B32" s="793"/>
      <c r="C32" s="633"/>
      <c r="E32" s="633" t="s">
        <v>352</v>
      </c>
      <c r="F32" s="793"/>
      <c r="G32" s="639"/>
      <c r="H32" s="804"/>
    </row>
    <row r="33" spans="1:65" ht="24" hidden="1" customHeight="1">
      <c r="A33" s="629" t="s">
        <v>353</v>
      </c>
      <c r="B33" s="793">
        <v>0</v>
      </c>
      <c r="C33" s="633"/>
      <c r="E33" s="629" t="s">
        <v>353</v>
      </c>
      <c r="F33" s="793">
        <v>0</v>
      </c>
      <c r="G33" s="639"/>
      <c r="H33" s="804"/>
      <c r="BE33" s="659"/>
      <c r="BF33" s="647"/>
      <c r="BG33" s="647"/>
      <c r="BH33" s="647"/>
      <c r="BI33" s="647"/>
      <c r="BJ33" s="647"/>
      <c r="BK33" s="647"/>
      <c r="BL33" s="647"/>
      <c r="BM33" s="647"/>
    </row>
    <row r="34" spans="1:65" ht="24" hidden="1" customHeight="1">
      <c r="A34" s="633" t="s">
        <v>354</v>
      </c>
      <c r="B34" s="793"/>
      <c r="C34" s="657"/>
      <c r="E34" s="633" t="s">
        <v>354</v>
      </c>
      <c r="F34" s="793"/>
      <c r="G34" s="658"/>
      <c r="H34" s="804"/>
    </row>
    <row r="35" spans="1:65" ht="24" hidden="1" customHeight="1">
      <c r="A35" s="633" t="s">
        <v>355</v>
      </c>
      <c r="B35" s="793"/>
      <c r="C35" s="633"/>
      <c r="E35" s="633" t="s">
        <v>355</v>
      </c>
      <c r="F35" s="793"/>
      <c r="G35" s="639"/>
      <c r="H35" s="804"/>
    </row>
    <row r="36" spans="1:65" ht="24" hidden="1" customHeight="1">
      <c r="A36" s="633" t="s">
        <v>356</v>
      </c>
      <c r="B36" s="793"/>
      <c r="C36" s="633"/>
      <c r="E36" s="633" t="s">
        <v>356</v>
      </c>
      <c r="F36" s="793"/>
      <c r="G36" s="639"/>
      <c r="H36" s="804"/>
    </row>
    <row r="37" spans="1:65" ht="24" hidden="1" customHeight="1">
      <c r="A37" s="633" t="s">
        <v>653</v>
      </c>
      <c r="B37" s="793">
        <v>0</v>
      </c>
      <c r="C37" s="633"/>
      <c r="E37" s="633" t="s">
        <v>653</v>
      </c>
      <c r="F37" s="793">
        <v>0</v>
      </c>
      <c r="G37" s="639"/>
      <c r="H37" s="804"/>
    </row>
    <row r="38" spans="1:65" ht="24" hidden="1" customHeight="1">
      <c r="A38" s="633" t="s">
        <v>654</v>
      </c>
      <c r="B38" s="793">
        <v>0</v>
      </c>
      <c r="C38" s="633"/>
      <c r="E38" s="633" t="s">
        <v>654</v>
      </c>
      <c r="F38" s="793">
        <v>0</v>
      </c>
      <c r="G38" s="639"/>
      <c r="H38" s="804"/>
    </row>
    <row r="39" spans="1:65" ht="24" hidden="1" customHeight="1">
      <c r="A39" s="633" t="s">
        <v>357</v>
      </c>
      <c r="B39" s="793">
        <v>0</v>
      </c>
      <c r="C39" s="633"/>
      <c r="E39" s="633" t="s">
        <v>357</v>
      </c>
      <c r="F39" s="793">
        <v>0</v>
      </c>
      <c r="G39" s="639"/>
      <c r="H39" s="804"/>
    </row>
    <row r="40" spans="1:65" ht="24" hidden="1" customHeight="1">
      <c r="A40" s="653" t="s">
        <v>358</v>
      </c>
      <c r="B40" s="793">
        <v>0</v>
      </c>
      <c r="C40" s="633"/>
      <c r="E40" s="653" t="s">
        <v>358</v>
      </c>
      <c r="F40" s="793">
        <v>0</v>
      </c>
      <c r="G40" s="639"/>
      <c r="H40" s="804"/>
    </row>
    <row r="41" spans="1:65" ht="24" customHeight="1">
      <c r="A41" s="633" t="s">
        <v>359</v>
      </c>
      <c r="B41" s="793">
        <v>0</v>
      </c>
      <c r="C41" s="633"/>
      <c r="E41" s="633" t="s">
        <v>359</v>
      </c>
      <c r="F41" s="793">
        <v>0</v>
      </c>
      <c r="G41" s="639"/>
      <c r="H41" s="804"/>
    </row>
    <row r="42" spans="1:65" ht="24" customHeight="1">
      <c r="A42" s="657" t="s">
        <v>360</v>
      </c>
      <c r="B42" s="736">
        <v>0</v>
      </c>
      <c r="C42" s="633"/>
      <c r="E42" s="657" t="s">
        <v>360</v>
      </c>
      <c r="F42" s="736">
        <v>0</v>
      </c>
      <c r="G42" s="639"/>
      <c r="H42" s="804"/>
    </row>
    <row r="43" spans="1:65" ht="24" customHeight="1" thickBot="1">
      <c r="A43" s="724" t="s">
        <v>361</v>
      </c>
      <c r="B43" s="725">
        <v>5317</v>
      </c>
      <c r="C43" s="653"/>
      <c r="E43" s="724" t="s">
        <v>361</v>
      </c>
      <c r="F43" s="725">
        <f>'103'!$B$41</f>
        <v>5111</v>
      </c>
      <c r="G43" s="654"/>
      <c r="H43" s="906">
        <f>F43-B43</f>
        <v>-206</v>
      </c>
    </row>
  </sheetData>
  <pageMargins left="0.70000000000000007" right="0.70000000000000007" top="1.1437007874015745" bottom="1.1437007874015745" header="0.74999999999999989" footer="0.74999999999999989"/>
  <pageSetup fitToWidth="0" fitToHeight="0" orientation="portrait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00FF00"/>
  </sheetPr>
  <dimension ref="A1:GV69"/>
  <sheetViews>
    <sheetView workbookViewId="0">
      <selection activeCell="B26" sqref="B26:B40"/>
    </sheetView>
  </sheetViews>
  <sheetFormatPr defaultColWidth="3" defaultRowHeight="15.75"/>
  <cols>
    <col min="1" max="1" width="45.7109375" style="629" bestFit="1" customWidth="1"/>
    <col min="2" max="2" width="18" style="634" bestFit="1" customWidth="1"/>
    <col min="3" max="3" width="2.85546875" style="629" bestFit="1" customWidth="1"/>
    <col min="4" max="4" width="2.5703125" style="629" customWidth="1"/>
    <col min="5" max="5" width="45.7109375" style="629" bestFit="1" customWidth="1"/>
    <col min="6" max="6" width="18" style="634" bestFit="1" customWidth="1"/>
    <col min="7" max="7" width="2.85546875" style="629" bestFit="1" customWidth="1"/>
    <col min="8" max="8" width="13.5703125" style="629" bestFit="1" customWidth="1"/>
    <col min="9" max="9" width="8.14062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/>
    <col min="223" max="223" width="0.42578125" style="629" customWidth="1"/>
    <col min="224" max="231" width="3" style="629"/>
    <col min="232" max="232" width="0.42578125" style="629" customWidth="1"/>
    <col min="233" max="238" width="3" style="629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/>
    <col min="249" max="249" width="0.42578125" style="629" customWidth="1"/>
    <col min="250" max="16384" width="3" style="629"/>
  </cols>
  <sheetData>
    <row r="1" spans="1:10">
      <c r="A1" s="626" t="s">
        <v>749</v>
      </c>
      <c r="B1" s="627"/>
      <c r="C1" s="628"/>
      <c r="E1" s="626" t="s">
        <v>748</v>
      </c>
      <c r="F1" s="627"/>
      <c r="G1" s="628"/>
    </row>
    <row r="2" spans="1:10" ht="16.5">
      <c r="A2" s="631" t="s">
        <v>0</v>
      </c>
      <c r="B2" s="624" t="s">
        <v>1</v>
      </c>
      <c r="C2" s="632" t="s">
        <v>2</v>
      </c>
      <c r="E2" s="631" t="s">
        <v>0</v>
      </c>
      <c r="F2" s="624" t="s">
        <v>1</v>
      </c>
      <c r="G2" s="632" t="s">
        <v>2</v>
      </c>
    </row>
    <row r="3" spans="1:10">
      <c r="A3" s="631"/>
      <c r="B3" s="624" t="s">
        <v>3</v>
      </c>
      <c r="C3" s="633"/>
      <c r="E3" s="631"/>
      <c r="F3" s="624" t="s">
        <v>3</v>
      </c>
      <c r="G3" s="633"/>
    </row>
    <row r="4" spans="1:10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 ht="12.75" customHeight="1">
      <c r="C5" s="633"/>
      <c r="G5" s="633"/>
    </row>
    <row r="6" spans="1:10" ht="16.5">
      <c r="A6" s="635" t="s">
        <v>5</v>
      </c>
      <c r="B6" s="636">
        <v>114</v>
      </c>
      <c r="C6" s="633"/>
      <c r="E6" s="635" t="s">
        <v>5</v>
      </c>
      <c r="F6" s="636">
        <f>+B6</f>
        <v>114</v>
      </c>
      <c r="G6" s="633"/>
    </row>
    <row r="7" spans="1:10" ht="24" customHeight="1" thickBot="1">
      <c r="A7" s="637" t="s">
        <v>6</v>
      </c>
      <c r="B7" s="638" t="s">
        <v>7</v>
      </c>
      <c r="C7" s="633"/>
      <c r="E7" s="637" t="s">
        <v>6</v>
      </c>
      <c r="F7" s="638" t="s">
        <v>7</v>
      </c>
      <c r="G7" s="633"/>
      <c r="H7" s="706" t="s">
        <v>779</v>
      </c>
    </row>
    <row r="8" spans="1:10" ht="24" hidden="1" customHeight="1">
      <c r="A8" s="633" t="s">
        <v>8</v>
      </c>
      <c r="B8" s="641"/>
      <c r="C8" s="633"/>
      <c r="E8" s="633" t="s">
        <v>8</v>
      </c>
      <c r="F8" s="641"/>
      <c r="G8" s="633"/>
    </row>
    <row r="9" spans="1:10" ht="24" hidden="1" customHeight="1">
      <c r="A9" s="633" t="s">
        <v>9</v>
      </c>
      <c r="B9" s="641"/>
      <c r="C9" s="633"/>
      <c r="E9" s="633" t="s">
        <v>9</v>
      </c>
      <c r="F9" s="641"/>
      <c r="G9" s="633"/>
    </row>
    <row r="10" spans="1:10" ht="24" hidden="1" customHeight="1">
      <c r="A10" s="633" t="s">
        <v>93</v>
      </c>
      <c r="B10" s="641"/>
      <c r="C10" s="633"/>
      <c r="E10" s="633" t="s">
        <v>93</v>
      </c>
      <c r="F10" s="641"/>
      <c r="G10" s="633"/>
    </row>
    <row r="11" spans="1:10" ht="24" hidden="1" customHeight="1">
      <c r="A11" s="633" t="s">
        <v>95</v>
      </c>
      <c r="B11" s="641"/>
      <c r="C11" s="633"/>
      <c r="E11" s="633" t="s">
        <v>95</v>
      </c>
      <c r="F11" s="641"/>
      <c r="G11" s="633"/>
    </row>
    <row r="12" spans="1:10" ht="24" hidden="1" customHeight="1">
      <c r="A12" s="633"/>
      <c r="B12" s="641"/>
      <c r="C12" s="633"/>
      <c r="E12" s="633"/>
      <c r="F12" s="641"/>
      <c r="G12" s="633"/>
    </row>
    <row r="13" spans="1:10" ht="24" hidden="1" customHeight="1">
      <c r="A13" s="643" t="s">
        <v>12</v>
      </c>
      <c r="B13" s="644"/>
      <c r="C13" s="643"/>
      <c r="D13" s="645"/>
      <c r="E13" s="643" t="s">
        <v>12</v>
      </c>
      <c r="F13" s="644"/>
      <c r="G13" s="633"/>
      <c r="H13" s="647"/>
      <c r="I13" s="647"/>
      <c r="J13" s="647"/>
    </row>
    <row r="14" spans="1:10" ht="24" hidden="1" customHeight="1">
      <c r="A14" s="643" t="s">
        <v>13</v>
      </c>
      <c r="B14" s="644"/>
      <c r="C14" s="643"/>
      <c r="D14" s="645"/>
      <c r="E14" s="643" t="s">
        <v>13</v>
      </c>
      <c r="F14" s="644"/>
      <c r="G14" s="633"/>
      <c r="H14" s="647"/>
      <c r="I14" s="647"/>
      <c r="J14" s="647"/>
    </row>
    <row r="15" spans="1:10" ht="24" hidden="1" customHeight="1">
      <c r="A15" s="643" t="s">
        <v>96</v>
      </c>
      <c r="B15" s="644"/>
      <c r="C15" s="643"/>
      <c r="D15" s="645"/>
      <c r="E15" s="643" t="s">
        <v>96</v>
      </c>
      <c r="F15" s="644"/>
      <c r="G15" s="633"/>
      <c r="H15" s="647"/>
      <c r="I15" s="647"/>
      <c r="J15" s="647"/>
    </row>
    <row r="16" spans="1:10" ht="24" hidden="1" customHeight="1">
      <c r="A16" s="633" t="s">
        <v>15</v>
      </c>
      <c r="B16" s="648">
        <v>0</v>
      </c>
      <c r="C16" s="633"/>
      <c r="D16" s="647"/>
      <c r="E16" s="633" t="s">
        <v>15</v>
      </c>
      <c r="F16" s="648">
        <v>0</v>
      </c>
      <c r="G16" s="633"/>
      <c r="H16" s="647"/>
      <c r="I16" s="647"/>
      <c r="J16" s="647"/>
    </row>
    <row r="17" spans="1:65" ht="24" hidden="1" customHeight="1">
      <c r="A17" s="633" t="s">
        <v>16</v>
      </c>
      <c r="B17" s="648">
        <v>0</v>
      </c>
      <c r="C17" s="633"/>
      <c r="D17" s="647"/>
      <c r="E17" s="633" t="s">
        <v>16</v>
      </c>
      <c r="F17" s="648">
        <v>0</v>
      </c>
      <c r="G17" s="633"/>
      <c r="H17" s="647"/>
      <c r="I17" s="647"/>
      <c r="J17" s="647"/>
    </row>
    <row r="18" spans="1:65" ht="24" hidden="1" customHeight="1">
      <c r="A18" s="633" t="s">
        <v>17</v>
      </c>
      <c r="B18" s="648"/>
      <c r="C18" s="633"/>
      <c r="D18" s="647"/>
      <c r="E18" s="633" t="s">
        <v>17</v>
      </c>
      <c r="F18" s="648"/>
      <c r="G18" s="633"/>
      <c r="H18" s="647"/>
      <c r="I18" s="647"/>
      <c r="J18" s="647"/>
    </row>
    <row r="19" spans="1:65" ht="24" hidden="1" customHeight="1">
      <c r="A19" s="633" t="s">
        <v>97</v>
      </c>
      <c r="B19" s="648"/>
      <c r="C19" s="633"/>
      <c r="E19" s="633" t="s">
        <v>97</v>
      </c>
      <c r="F19" s="648"/>
      <c r="G19" s="633"/>
    </row>
    <row r="20" spans="1:65" ht="24" hidden="1" customHeight="1">
      <c r="A20" s="633" t="s">
        <v>19</v>
      </c>
      <c r="B20" s="648">
        <v>0</v>
      </c>
      <c r="C20" s="633"/>
      <c r="E20" s="633" t="s">
        <v>19</v>
      </c>
      <c r="F20" s="648">
        <v>0</v>
      </c>
      <c r="G20" s="633"/>
    </row>
    <row r="21" spans="1:65" ht="24" hidden="1" customHeight="1">
      <c r="A21" s="633" t="s">
        <v>20</v>
      </c>
      <c r="B21" s="648">
        <v>0</v>
      </c>
      <c r="C21" s="633"/>
      <c r="E21" s="633" t="s">
        <v>20</v>
      </c>
      <c r="F21" s="648">
        <v>0</v>
      </c>
      <c r="G21" s="633"/>
    </row>
    <row r="22" spans="1:65" ht="24" hidden="1" customHeight="1">
      <c r="A22" s="633"/>
      <c r="B22" s="648"/>
      <c r="C22" s="633"/>
      <c r="E22" s="633"/>
      <c r="F22" s="648"/>
      <c r="G22" s="633"/>
    </row>
    <row r="23" spans="1:65" ht="8.25" hidden="1" customHeight="1">
      <c r="A23" s="643"/>
      <c r="B23" s="649"/>
      <c r="C23" s="650"/>
      <c r="D23" s="651"/>
      <c r="E23" s="643"/>
      <c r="F23" s="649"/>
      <c r="G23" s="650"/>
    </row>
    <row r="24" spans="1:65" ht="16.5" hidden="1" customHeight="1">
      <c r="A24" s="643" t="s">
        <v>24</v>
      </c>
      <c r="B24" s="649"/>
      <c r="C24" s="633"/>
      <c r="D24" s="651"/>
      <c r="E24" s="643" t="s">
        <v>24</v>
      </c>
      <c r="F24" s="649"/>
      <c r="G24" s="633"/>
    </row>
    <row r="25" spans="1:65" ht="24" customHeight="1">
      <c r="A25" s="633" t="s">
        <v>25</v>
      </c>
      <c r="B25" s="648">
        <v>0</v>
      </c>
      <c r="C25" s="633"/>
      <c r="D25" s="651"/>
      <c r="E25" s="633" t="s">
        <v>25</v>
      </c>
      <c r="F25" s="648">
        <v>0</v>
      </c>
      <c r="G25" s="639"/>
      <c r="H25" s="924"/>
    </row>
    <row r="26" spans="1:65" ht="24" customHeight="1">
      <c r="A26" s="724" t="s">
        <v>26</v>
      </c>
      <c r="B26" s="725">
        <v>81934</v>
      </c>
      <c r="C26" s="653"/>
      <c r="E26" s="724" t="s">
        <v>26</v>
      </c>
      <c r="F26" s="725">
        <f>+'114'!$B$30</f>
        <v>761401</v>
      </c>
      <c r="G26" s="654"/>
      <c r="H26" s="813">
        <f>F26-B26</f>
        <v>679467</v>
      </c>
    </row>
    <row r="27" spans="1:65" ht="24" customHeight="1">
      <c r="A27" s="724" t="s">
        <v>27</v>
      </c>
      <c r="B27" s="725">
        <v>61742.2</v>
      </c>
      <c r="C27" s="633"/>
      <c r="E27" s="724" t="s">
        <v>27</v>
      </c>
      <c r="F27" s="725">
        <f>+'114'!$B$31</f>
        <v>347483.23</v>
      </c>
      <c r="G27" s="639"/>
      <c r="H27" s="813">
        <f>F27-B27</f>
        <v>285741.02999999997</v>
      </c>
    </row>
    <row r="28" spans="1:65" ht="24" hidden="1" customHeight="1">
      <c r="A28" s="651"/>
      <c r="B28" s="716">
        <v>61742.2</v>
      </c>
      <c r="C28" s="657"/>
      <c r="E28" s="651" t="s">
        <v>28</v>
      </c>
      <c r="F28" s="716">
        <f>F27</f>
        <v>347483.23</v>
      </c>
      <c r="G28" s="658"/>
      <c r="H28" s="814"/>
      <c r="BE28" s="659"/>
      <c r="BF28" s="647"/>
      <c r="BG28" s="647"/>
      <c r="BH28" s="647"/>
      <c r="BI28" s="647"/>
      <c r="BJ28" s="647"/>
      <c r="BK28" s="647"/>
      <c r="BL28" s="647"/>
      <c r="BM28" s="647"/>
    </row>
    <row r="29" spans="1:65" ht="24" hidden="1" customHeight="1">
      <c r="A29" s="633" t="s">
        <v>29</v>
      </c>
      <c r="B29" s="717"/>
      <c r="C29" s="657"/>
      <c r="E29" s="633" t="s">
        <v>29</v>
      </c>
      <c r="F29" s="717"/>
      <c r="G29" s="658"/>
      <c r="H29" s="814"/>
    </row>
    <row r="30" spans="1:65" ht="24" hidden="1" customHeight="1">
      <c r="A30" s="633" t="s">
        <v>30</v>
      </c>
      <c r="B30" s="718">
        <v>0</v>
      </c>
      <c r="C30" s="633"/>
      <c r="E30" s="633" t="s">
        <v>30</v>
      </c>
      <c r="F30" s="718">
        <v>0</v>
      </c>
      <c r="G30" s="639"/>
      <c r="H30" s="814"/>
    </row>
    <row r="31" spans="1:65" ht="24" hidden="1" customHeight="1">
      <c r="A31" s="633" t="s">
        <v>35</v>
      </c>
      <c r="B31" s="718">
        <v>0</v>
      </c>
      <c r="C31" s="633"/>
      <c r="E31" s="633" t="s">
        <v>35</v>
      </c>
      <c r="F31" s="718">
        <v>0</v>
      </c>
      <c r="G31" s="639"/>
      <c r="H31" s="814"/>
    </row>
    <row r="32" spans="1:65" ht="24" hidden="1" customHeight="1">
      <c r="A32" s="633" t="s">
        <v>36</v>
      </c>
      <c r="B32" s="718">
        <v>0</v>
      </c>
      <c r="C32" s="633"/>
      <c r="E32" s="633" t="s">
        <v>36</v>
      </c>
      <c r="F32" s="718">
        <v>0</v>
      </c>
      <c r="G32" s="639"/>
      <c r="H32" s="814">
        <f>+H26+H27-H39</f>
        <v>216471.56999999995</v>
      </c>
    </row>
    <row r="33" spans="1:65" ht="24" customHeight="1">
      <c r="A33" s="643" t="s">
        <v>37</v>
      </c>
      <c r="B33" s="649"/>
      <c r="C33" s="633"/>
      <c r="D33" s="651"/>
      <c r="E33" s="643" t="s">
        <v>37</v>
      </c>
      <c r="F33" s="649"/>
      <c r="G33" s="639"/>
      <c r="H33" s="814">
        <f>+H26+H27-H36-H39</f>
        <v>216363.58999999997</v>
      </c>
    </row>
    <row r="34" spans="1:65" ht="24" customHeight="1">
      <c r="A34" s="633" t="s">
        <v>38</v>
      </c>
      <c r="B34" s="719">
        <v>0</v>
      </c>
      <c r="C34" s="653"/>
      <c r="E34" s="633" t="s">
        <v>38</v>
      </c>
      <c r="F34" s="719">
        <v>0</v>
      </c>
      <c r="G34" s="654"/>
      <c r="H34" s="814"/>
    </row>
    <row r="35" spans="1:65" ht="24" customHeight="1">
      <c r="A35" s="724" t="s">
        <v>39</v>
      </c>
      <c r="B35" s="725">
        <v>17824</v>
      </c>
      <c r="C35" s="633"/>
      <c r="E35" s="724" t="s">
        <v>39</v>
      </c>
      <c r="F35" s="725">
        <f>+'114'!$B$43</f>
        <v>30224</v>
      </c>
      <c r="G35" s="639"/>
      <c r="H35" s="813">
        <f>F35-B35</f>
        <v>12400</v>
      </c>
      <c r="BE35" s="659"/>
      <c r="BF35" s="647"/>
      <c r="BG35" s="647"/>
      <c r="BH35" s="647"/>
      <c r="BI35" s="647"/>
      <c r="BJ35" s="647"/>
      <c r="BK35" s="647"/>
      <c r="BL35" s="647"/>
      <c r="BM35" s="647"/>
    </row>
    <row r="36" spans="1:65" ht="24" customHeight="1">
      <c r="A36" s="724" t="s">
        <v>40</v>
      </c>
      <c r="B36" s="725">
        <v>0</v>
      </c>
      <c r="C36" s="633"/>
      <c r="E36" s="724" t="s">
        <v>40</v>
      </c>
      <c r="F36" s="725">
        <f>+'114'!B44</f>
        <v>107.98</v>
      </c>
      <c r="G36" s="639"/>
      <c r="H36" s="813">
        <f>F36-B36</f>
        <v>107.98</v>
      </c>
      <c r="BE36" s="647"/>
      <c r="BF36" s="647"/>
      <c r="BG36" s="647"/>
      <c r="BH36" s="647"/>
      <c r="BI36" s="647"/>
      <c r="BJ36" s="647"/>
      <c r="BK36" s="647"/>
      <c r="BL36" s="647"/>
      <c r="BM36" s="647"/>
    </row>
    <row r="37" spans="1:65" ht="16.5">
      <c r="A37" s="661" t="s">
        <v>41</v>
      </c>
      <c r="B37" s="720">
        <v>0</v>
      </c>
      <c r="C37" s="662"/>
      <c r="E37" s="661" t="s">
        <v>41</v>
      </c>
      <c r="F37" s="720">
        <v>0</v>
      </c>
      <c r="G37" s="663"/>
      <c r="H37" s="814"/>
    </row>
    <row r="38" spans="1:65" ht="24" customHeight="1">
      <c r="A38" s="633" t="s">
        <v>43</v>
      </c>
      <c r="B38" s="668">
        <v>0</v>
      </c>
      <c r="C38" s="633"/>
      <c r="E38" s="633" t="s">
        <v>43</v>
      </c>
      <c r="F38" s="668">
        <v>0</v>
      </c>
      <c r="G38" s="639"/>
      <c r="H38" s="814"/>
    </row>
    <row r="39" spans="1:65" ht="24" customHeight="1">
      <c r="A39" s="724" t="s">
        <v>44</v>
      </c>
      <c r="B39" s="725">
        <v>83929.58</v>
      </c>
      <c r="C39" s="633"/>
      <c r="E39" s="724" t="s">
        <v>44</v>
      </c>
      <c r="F39" s="725">
        <f>+'114'!$B$48</f>
        <v>832666.04</v>
      </c>
      <c r="G39" s="639"/>
      <c r="H39" s="813">
        <f>F39-B39</f>
        <v>748736.46000000008</v>
      </c>
    </row>
    <row r="40" spans="1:65" ht="24" customHeight="1" thickBot="1">
      <c r="A40" s="633" t="s">
        <v>45</v>
      </c>
      <c r="B40" s="725">
        <v>83929.58</v>
      </c>
      <c r="C40" s="664"/>
      <c r="D40" s="665"/>
      <c r="E40" s="633" t="s">
        <v>45</v>
      </c>
      <c r="F40" s="725">
        <f>F39</f>
        <v>832666.04</v>
      </c>
      <c r="G40" s="666"/>
      <c r="H40" s="953"/>
    </row>
    <row r="41" spans="1:65" ht="24" hidden="1" customHeight="1">
      <c r="A41" s="633" t="s">
        <v>46</v>
      </c>
      <c r="B41" s="648">
        <v>0</v>
      </c>
      <c r="C41" s="633"/>
      <c r="E41" s="633" t="s">
        <v>46</v>
      </c>
      <c r="F41" s="668">
        <v>0</v>
      </c>
      <c r="G41" s="633"/>
    </row>
    <row r="42" spans="1:65" ht="24" hidden="1" customHeight="1">
      <c r="A42" s="633" t="s">
        <v>47</v>
      </c>
      <c r="B42" s="648">
        <v>0</v>
      </c>
      <c r="C42" s="633"/>
      <c r="E42" s="633" t="s">
        <v>47</v>
      </c>
      <c r="F42" s="648">
        <v>0</v>
      </c>
      <c r="G42" s="633"/>
    </row>
    <row r="43" spans="1:65" ht="8.25" hidden="1" customHeight="1">
      <c r="A43" s="643"/>
      <c r="B43" s="649">
        <v>0</v>
      </c>
      <c r="C43" s="650"/>
      <c r="D43" s="651"/>
      <c r="E43" s="643"/>
      <c r="F43" s="649">
        <v>0</v>
      </c>
      <c r="G43" s="650"/>
    </row>
    <row r="44" spans="1:65" ht="24" hidden="1" customHeight="1">
      <c r="A44" s="643" t="s">
        <v>48</v>
      </c>
      <c r="B44" s="644"/>
      <c r="C44" s="633"/>
      <c r="E44" s="643" t="s">
        <v>48</v>
      </c>
      <c r="F44" s="644"/>
      <c r="G44" s="633"/>
    </row>
    <row r="45" spans="1:65" ht="24" hidden="1" customHeight="1">
      <c r="A45" s="633"/>
      <c r="B45" s="648">
        <v>0</v>
      </c>
      <c r="C45" s="633"/>
      <c r="E45" s="633"/>
      <c r="F45" s="648">
        <v>0</v>
      </c>
      <c r="G45" s="633"/>
    </row>
    <row r="46" spans="1:65" ht="24" hidden="1" customHeight="1">
      <c r="A46" s="633" t="s">
        <v>49</v>
      </c>
      <c r="B46" s="648">
        <v>0</v>
      </c>
      <c r="C46" s="633"/>
      <c r="E46" s="633" t="s">
        <v>49</v>
      </c>
      <c r="F46" s="648">
        <f>F49</f>
        <v>0</v>
      </c>
      <c r="G46" s="633"/>
    </row>
    <row r="47" spans="1:65" ht="24" hidden="1" customHeight="1">
      <c r="A47" s="633" t="s">
        <v>50</v>
      </c>
      <c r="B47" s="648">
        <v>0</v>
      </c>
      <c r="C47" s="633"/>
      <c r="E47" s="633" t="s">
        <v>50</v>
      </c>
      <c r="F47" s="648">
        <v>0</v>
      </c>
      <c r="G47" s="633"/>
    </row>
    <row r="48" spans="1:65" ht="24" hidden="1" customHeight="1">
      <c r="A48" s="633" t="s">
        <v>51</v>
      </c>
      <c r="B48" s="648">
        <v>0</v>
      </c>
      <c r="C48" s="633"/>
      <c r="E48" s="633" t="s">
        <v>51</v>
      </c>
      <c r="F48" s="648">
        <v>0</v>
      </c>
      <c r="G48" s="633"/>
    </row>
    <row r="49" spans="1:7" ht="24" hidden="1" customHeight="1">
      <c r="A49" s="633"/>
      <c r="B49" s="648">
        <v>0</v>
      </c>
      <c r="C49" s="633"/>
      <c r="E49" s="633"/>
      <c r="F49" s="648">
        <v>0</v>
      </c>
      <c r="G49" s="633"/>
    </row>
    <row r="50" spans="1:7" ht="24" hidden="1" customHeight="1">
      <c r="A50" s="633" t="s">
        <v>52</v>
      </c>
      <c r="B50" s="648">
        <v>0</v>
      </c>
      <c r="C50" s="633"/>
      <c r="E50" s="633" t="s">
        <v>52</v>
      </c>
      <c r="F50" s="648">
        <v>0</v>
      </c>
      <c r="G50" s="633"/>
    </row>
    <row r="51" spans="1:7" ht="24" hidden="1" customHeight="1">
      <c r="A51" s="633" t="s">
        <v>53</v>
      </c>
      <c r="B51" s="648">
        <v>0</v>
      </c>
      <c r="C51" s="633"/>
      <c r="E51" s="633" t="s">
        <v>53</v>
      </c>
      <c r="F51" s="648">
        <v>0</v>
      </c>
      <c r="G51" s="633"/>
    </row>
    <row r="52" spans="1:7" ht="24" hidden="1" customHeight="1">
      <c r="A52" s="633" t="s">
        <v>54</v>
      </c>
      <c r="B52" s="648">
        <v>0</v>
      </c>
      <c r="C52" s="633"/>
      <c r="E52" s="633" t="s">
        <v>54</v>
      </c>
      <c r="F52" s="648">
        <v>0</v>
      </c>
      <c r="G52" s="633"/>
    </row>
    <row r="53" spans="1:7" ht="24" hidden="1" customHeight="1">
      <c r="A53" s="633" t="s">
        <v>55</v>
      </c>
      <c r="B53" s="648">
        <v>0</v>
      </c>
      <c r="C53" s="633"/>
      <c r="E53" s="633" t="s">
        <v>55</v>
      </c>
      <c r="F53" s="648">
        <v>0</v>
      </c>
      <c r="G53" s="633"/>
    </row>
    <row r="54" spans="1:7" ht="24" hidden="1" customHeight="1">
      <c r="A54" s="633" t="s">
        <v>56</v>
      </c>
      <c r="B54" s="648">
        <v>0</v>
      </c>
      <c r="C54" s="633"/>
      <c r="E54" s="633" t="s">
        <v>56</v>
      </c>
      <c r="F54" s="648">
        <v>0</v>
      </c>
      <c r="G54" s="633"/>
    </row>
    <row r="55" spans="1:7" ht="24" hidden="1" customHeight="1">
      <c r="A55" s="633" t="s">
        <v>57</v>
      </c>
      <c r="B55" s="648">
        <v>0</v>
      </c>
      <c r="C55" s="633"/>
      <c r="E55" s="633" t="s">
        <v>57</v>
      </c>
      <c r="F55" s="648">
        <v>0</v>
      </c>
      <c r="G55" s="633"/>
    </row>
    <row r="56" spans="1:7" ht="24" hidden="1" customHeight="1">
      <c r="A56" s="633"/>
      <c r="B56" s="648">
        <v>0</v>
      </c>
      <c r="C56" s="633"/>
      <c r="E56" s="633"/>
      <c r="F56" s="648">
        <v>0</v>
      </c>
      <c r="G56" s="633"/>
    </row>
    <row r="57" spans="1:7" ht="24" hidden="1" customHeight="1">
      <c r="A57" s="633" t="s">
        <v>58</v>
      </c>
      <c r="B57" s="648">
        <v>0</v>
      </c>
      <c r="C57" s="633"/>
      <c r="E57" s="633" t="s">
        <v>58</v>
      </c>
      <c r="F57" s="648">
        <v>0</v>
      </c>
      <c r="G57" s="633"/>
    </row>
    <row r="58" spans="1:7" ht="24" hidden="1" customHeight="1">
      <c r="A58" s="633" t="s">
        <v>59</v>
      </c>
      <c r="B58" s="669"/>
      <c r="C58" s="633"/>
      <c r="E58" s="633" t="s">
        <v>59</v>
      </c>
      <c r="F58" s="669"/>
      <c r="G58" s="633"/>
    </row>
    <row r="59" spans="1:7" ht="24" hidden="1" customHeight="1">
      <c r="A59" s="633" t="s">
        <v>60</v>
      </c>
      <c r="B59" s="669"/>
      <c r="C59" s="633"/>
      <c r="E59" s="633" t="s">
        <v>60</v>
      </c>
      <c r="F59" s="669"/>
      <c r="G59" s="633"/>
    </row>
    <row r="60" spans="1:7" ht="24" hidden="1" customHeight="1">
      <c r="A60" s="633" t="s">
        <v>61</v>
      </c>
      <c r="B60" s="669"/>
      <c r="C60" s="633"/>
      <c r="E60" s="633" t="s">
        <v>61</v>
      </c>
      <c r="F60" s="669"/>
      <c r="G60" s="633"/>
    </row>
    <row r="61" spans="1:7" ht="24" hidden="1" customHeight="1">
      <c r="A61" s="633" t="s">
        <v>103</v>
      </c>
      <c r="B61" s="669"/>
      <c r="C61" s="633"/>
      <c r="E61" s="633" t="s">
        <v>103</v>
      </c>
      <c r="F61" s="669"/>
      <c r="G61" s="633"/>
    </row>
    <row r="62" spans="1:7" ht="24" hidden="1" customHeight="1">
      <c r="A62" s="633"/>
      <c r="B62" s="669"/>
      <c r="C62" s="633"/>
      <c r="E62" s="633"/>
      <c r="F62" s="669"/>
      <c r="G62" s="633"/>
    </row>
    <row r="63" spans="1:7" ht="24" hidden="1" customHeight="1">
      <c r="A63" s="633"/>
      <c r="B63" s="648"/>
      <c r="C63" s="633"/>
      <c r="E63" s="633"/>
      <c r="F63" s="648"/>
      <c r="G63" s="633"/>
    </row>
    <row r="64" spans="1:7" ht="24" hidden="1" customHeight="1">
      <c r="A64" s="633"/>
      <c r="B64" s="648"/>
      <c r="C64" s="633"/>
      <c r="E64" s="633"/>
      <c r="F64" s="648"/>
      <c r="G64" s="633"/>
    </row>
    <row r="65" spans="1:7" ht="24" hidden="1" customHeight="1">
      <c r="A65" s="633"/>
      <c r="B65" s="648"/>
      <c r="C65" s="633"/>
      <c r="E65" s="633"/>
      <c r="F65" s="648"/>
      <c r="G65" s="633"/>
    </row>
    <row r="66" spans="1:7" ht="24" hidden="1" customHeight="1">
      <c r="A66" s="633"/>
      <c r="B66" s="648"/>
      <c r="C66" s="633"/>
      <c r="E66" s="633"/>
      <c r="F66" s="648"/>
      <c r="G66" s="633"/>
    </row>
    <row r="67" spans="1:7" ht="24" hidden="1" customHeight="1">
      <c r="A67" s="633"/>
      <c r="B67" s="648"/>
      <c r="C67" s="633"/>
      <c r="E67" s="633"/>
      <c r="F67" s="648"/>
      <c r="G67" s="633"/>
    </row>
    <row r="68" spans="1:7" ht="24" hidden="1" customHeight="1">
      <c r="A68" s="633"/>
      <c r="B68" s="648"/>
      <c r="C68" s="633"/>
      <c r="E68" s="633"/>
      <c r="F68" s="648"/>
      <c r="G68" s="633"/>
    </row>
    <row r="69" spans="1:7" ht="15.75" hidden="1" customHeight="1"/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00FF00"/>
  </sheetPr>
  <dimension ref="A1:GV68"/>
  <sheetViews>
    <sheetView workbookViewId="0">
      <pane xSplit="8" ySplit="39" topLeftCell="M40" activePane="bottomRight" state="frozen"/>
      <selection activeCell="F26" sqref="F26"/>
      <selection pane="topRight" activeCell="F26" sqref="F26"/>
      <selection pane="bottomLeft" activeCell="F26" sqref="F26"/>
      <selection pane="bottomRight" activeCell="B25" sqref="B25:B39"/>
    </sheetView>
  </sheetViews>
  <sheetFormatPr defaultColWidth="3" defaultRowHeight="15.75"/>
  <cols>
    <col min="1" max="1" width="45.7109375" style="629" bestFit="1" customWidth="1"/>
    <col min="2" max="2" width="18" style="634" bestFit="1" customWidth="1"/>
    <col min="3" max="3" width="2.85546875" style="629" bestFit="1" customWidth="1"/>
    <col min="4" max="4" width="2.5703125" style="629" customWidth="1"/>
    <col min="5" max="5" width="45.7109375" style="629" bestFit="1" customWidth="1"/>
    <col min="6" max="6" width="18" style="634" bestFit="1" customWidth="1"/>
    <col min="7" max="7" width="2.85546875" style="629" bestFit="1" customWidth="1"/>
    <col min="8" max="8" width="13.5703125" style="629" bestFit="1" customWidth="1"/>
    <col min="9" max="9" width="8.14062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/>
    <col min="223" max="223" width="0.42578125" style="629" customWidth="1"/>
    <col min="224" max="231" width="3" style="629"/>
    <col min="232" max="232" width="0.42578125" style="629" customWidth="1"/>
    <col min="233" max="238" width="3" style="629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/>
    <col min="249" max="249" width="0.42578125" style="629" customWidth="1"/>
    <col min="250" max="16384" width="3" style="629"/>
  </cols>
  <sheetData>
    <row r="1" spans="1:10">
      <c r="A1" s="626" t="s">
        <v>749</v>
      </c>
      <c r="B1" s="627"/>
      <c r="C1" s="628"/>
      <c r="E1" s="626" t="s">
        <v>748</v>
      </c>
      <c r="F1" s="627"/>
      <c r="G1" s="628"/>
    </row>
    <row r="2" spans="1:10" ht="16.5">
      <c r="A2" s="631" t="s">
        <v>0</v>
      </c>
      <c r="B2" s="624" t="s">
        <v>1</v>
      </c>
      <c r="C2" s="632" t="s">
        <v>2</v>
      </c>
      <c r="E2" s="631" t="s">
        <v>0</v>
      </c>
      <c r="F2" s="624" t="s">
        <v>1</v>
      </c>
      <c r="G2" s="632" t="s">
        <v>2</v>
      </c>
    </row>
    <row r="3" spans="1:10">
      <c r="A3" s="631"/>
      <c r="B3" s="624" t="s">
        <v>3</v>
      </c>
      <c r="C3" s="633"/>
      <c r="E3" s="631"/>
      <c r="F3" s="624" t="s">
        <v>3</v>
      </c>
      <c r="G3" s="633"/>
    </row>
    <row r="4" spans="1:10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 ht="12.75" hidden="1" customHeight="1">
      <c r="C5" s="633"/>
      <c r="G5" s="633"/>
    </row>
    <row r="6" spans="1:10" ht="16.5">
      <c r="A6" s="635" t="s">
        <v>5</v>
      </c>
      <c r="B6" s="636">
        <v>119</v>
      </c>
      <c r="C6" s="633"/>
      <c r="E6" s="635" t="s">
        <v>5</v>
      </c>
      <c r="F6" s="636">
        <f>+B6</f>
        <v>119</v>
      </c>
      <c r="G6" s="633"/>
    </row>
    <row r="7" spans="1:10" ht="24" customHeight="1" thickBot="1">
      <c r="A7" s="637" t="s">
        <v>6</v>
      </c>
      <c r="B7" s="638" t="s">
        <v>7</v>
      </c>
      <c r="C7" s="633"/>
      <c r="E7" s="637" t="s">
        <v>6</v>
      </c>
      <c r="F7" s="638" t="s">
        <v>7</v>
      </c>
      <c r="G7" s="633"/>
      <c r="H7" s="706" t="s">
        <v>779</v>
      </c>
    </row>
    <row r="8" spans="1:10" ht="24" hidden="1" customHeight="1">
      <c r="A8" s="633" t="s">
        <v>8</v>
      </c>
      <c r="B8" s="641"/>
      <c r="C8" s="633"/>
      <c r="E8" s="633" t="s">
        <v>8</v>
      </c>
      <c r="F8" s="641"/>
      <c r="G8" s="633"/>
    </row>
    <row r="9" spans="1:10" ht="24" hidden="1" customHeight="1">
      <c r="A9" s="633" t="s">
        <v>9</v>
      </c>
      <c r="B9" s="641"/>
      <c r="C9" s="633"/>
      <c r="E9" s="633" t="s">
        <v>9</v>
      </c>
      <c r="F9" s="641"/>
      <c r="G9" s="633"/>
    </row>
    <row r="10" spans="1:10" ht="24" hidden="1" customHeight="1">
      <c r="A10" s="633" t="s">
        <v>93</v>
      </c>
      <c r="B10" s="641"/>
      <c r="C10" s="633"/>
      <c r="E10" s="633" t="s">
        <v>93</v>
      </c>
      <c r="F10" s="641"/>
      <c r="G10" s="633"/>
    </row>
    <row r="11" spans="1:10" ht="24" hidden="1" customHeight="1">
      <c r="A11" s="633" t="s">
        <v>95</v>
      </c>
      <c r="B11" s="641"/>
      <c r="C11" s="633"/>
      <c r="E11" s="633" t="s">
        <v>95</v>
      </c>
      <c r="F11" s="641"/>
      <c r="G11" s="633"/>
    </row>
    <row r="12" spans="1:10" ht="24" hidden="1" customHeight="1">
      <c r="A12" s="633"/>
      <c r="B12" s="641"/>
      <c r="C12" s="633"/>
      <c r="E12" s="633"/>
      <c r="F12" s="641"/>
      <c r="G12" s="633"/>
    </row>
    <row r="13" spans="1:10" ht="24" hidden="1" customHeight="1">
      <c r="A13" s="643" t="s">
        <v>12</v>
      </c>
      <c r="B13" s="644"/>
      <c r="C13" s="643"/>
      <c r="D13" s="645"/>
      <c r="E13" s="643" t="s">
        <v>12</v>
      </c>
      <c r="F13" s="644"/>
      <c r="G13" s="633"/>
      <c r="H13" s="647"/>
      <c r="I13" s="647"/>
      <c r="J13" s="647"/>
    </row>
    <row r="14" spans="1:10" ht="24" hidden="1" customHeight="1">
      <c r="A14" s="643" t="s">
        <v>13</v>
      </c>
      <c r="B14" s="644"/>
      <c r="C14" s="643"/>
      <c r="D14" s="645"/>
      <c r="E14" s="643" t="s">
        <v>13</v>
      </c>
      <c r="F14" s="644"/>
      <c r="G14" s="633"/>
      <c r="H14" s="647"/>
      <c r="I14" s="647"/>
      <c r="J14" s="647"/>
    </row>
    <row r="15" spans="1:10" ht="24" hidden="1" customHeight="1">
      <c r="A15" s="643" t="s">
        <v>96</v>
      </c>
      <c r="B15" s="644"/>
      <c r="C15" s="643"/>
      <c r="D15" s="645"/>
      <c r="E15" s="643" t="s">
        <v>96</v>
      </c>
      <c r="F15" s="644"/>
      <c r="G15" s="633"/>
      <c r="H15" s="647"/>
      <c r="I15" s="647"/>
      <c r="J15" s="647"/>
    </row>
    <row r="16" spans="1:10" ht="24" hidden="1" customHeight="1">
      <c r="A16" s="633" t="s">
        <v>15</v>
      </c>
      <c r="B16" s="648">
        <v>0</v>
      </c>
      <c r="C16" s="633"/>
      <c r="D16" s="647"/>
      <c r="E16" s="633" t="s">
        <v>15</v>
      </c>
      <c r="F16" s="648">
        <v>0</v>
      </c>
      <c r="G16" s="633"/>
      <c r="H16" s="647"/>
      <c r="I16" s="647"/>
      <c r="J16" s="647"/>
    </row>
    <row r="17" spans="1:65" ht="24" hidden="1" customHeight="1">
      <c r="A17" s="633" t="s">
        <v>16</v>
      </c>
      <c r="B17" s="648">
        <v>0</v>
      </c>
      <c r="C17" s="633"/>
      <c r="D17" s="647"/>
      <c r="E17" s="633" t="s">
        <v>16</v>
      </c>
      <c r="F17" s="648">
        <v>0</v>
      </c>
      <c r="G17" s="633"/>
      <c r="H17" s="647"/>
      <c r="I17" s="647"/>
      <c r="J17" s="647"/>
    </row>
    <row r="18" spans="1:65" ht="24" hidden="1" customHeight="1">
      <c r="A18" s="633" t="s">
        <v>17</v>
      </c>
      <c r="B18" s="648"/>
      <c r="C18" s="633"/>
      <c r="D18" s="647"/>
      <c r="E18" s="633" t="s">
        <v>17</v>
      </c>
      <c r="F18" s="648"/>
      <c r="G18" s="633"/>
      <c r="H18" s="647"/>
      <c r="I18" s="647"/>
      <c r="J18" s="647"/>
    </row>
    <row r="19" spans="1:65" ht="24" hidden="1" customHeight="1">
      <c r="A19" s="633" t="s">
        <v>97</v>
      </c>
      <c r="B19" s="648"/>
      <c r="C19" s="633"/>
      <c r="E19" s="633" t="s">
        <v>97</v>
      </c>
      <c r="F19" s="648"/>
      <c r="G19" s="633"/>
    </row>
    <row r="20" spans="1:65" ht="24" hidden="1" customHeight="1">
      <c r="A20" s="633" t="s">
        <v>19</v>
      </c>
      <c r="B20" s="648">
        <v>0</v>
      </c>
      <c r="C20" s="633"/>
      <c r="E20" s="633" t="s">
        <v>19</v>
      </c>
      <c r="F20" s="648">
        <v>0</v>
      </c>
      <c r="G20" s="633"/>
    </row>
    <row r="21" spans="1:65" ht="24" hidden="1" customHeight="1">
      <c r="A21" s="633" t="s">
        <v>20</v>
      </c>
      <c r="B21" s="648">
        <v>0</v>
      </c>
      <c r="C21" s="633"/>
      <c r="E21" s="633" t="s">
        <v>20</v>
      </c>
      <c r="F21" s="648">
        <v>0</v>
      </c>
      <c r="G21" s="633"/>
    </row>
    <row r="22" spans="1:65" ht="24" hidden="1" customHeight="1">
      <c r="A22" s="633"/>
      <c r="B22" s="648"/>
      <c r="C22" s="633"/>
      <c r="E22" s="633"/>
      <c r="F22" s="648"/>
      <c r="G22" s="633"/>
    </row>
    <row r="23" spans="1:65" ht="8.25" hidden="1" customHeight="1">
      <c r="A23" s="643"/>
      <c r="B23" s="649"/>
      <c r="C23" s="650"/>
      <c r="D23" s="651"/>
      <c r="E23" s="643"/>
      <c r="F23" s="649"/>
      <c r="G23" s="650"/>
    </row>
    <row r="24" spans="1:65" ht="16.5" hidden="1" customHeight="1">
      <c r="A24" s="643" t="s">
        <v>24</v>
      </c>
      <c r="B24" s="649"/>
      <c r="C24" s="633"/>
      <c r="D24" s="651"/>
      <c r="E24" s="643" t="s">
        <v>24</v>
      </c>
      <c r="F24" s="649"/>
      <c r="G24" s="633"/>
    </row>
    <row r="25" spans="1:65" ht="24" customHeight="1">
      <c r="A25" s="724" t="s">
        <v>26</v>
      </c>
      <c r="B25" s="725">
        <v>61513</v>
      </c>
      <c r="C25" s="653"/>
      <c r="E25" s="724" t="s">
        <v>26</v>
      </c>
      <c r="F25" s="725">
        <f>'119'!$B$30</f>
        <v>583315</v>
      </c>
      <c r="G25" s="654"/>
      <c r="H25" s="727">
        <f>F25-B25</f>
        <v>521802</v>
      </c>
    </row>
    <row r="26" spans="1:65" ht="24" customHeight="1">
      <c r="A26" s="724" t="s">
        <v>27</v>
      </c>
      <c r="B26" s="725">
        <v>130037</v>
      </c>
      <c r="C26" s="633"/>
      <c r="E26" s="724" t="s">
        <v>27</v>
      </c>
      <c r="F26" s="725">
        <f>'119'!$B$31</f>
        <v>359073.09</v>
      </c>
      <c r="G26" s="639"/>
      <c r="H26" s="694">
        <f>F26-B26</f>
        <v>229036.09000000003</v>
      </c>
    </row>
    <row r="27" spans="1:65" ht="24" hidden="1" customHeight="1">
      <c r="A27" s="651"/>
      <c r="B27" s="788">
        <v>130037</v>
      </c>
      <c r="C27" s="657"/>
      <c r="E27" s="651" t="s">
        <v>28</v>
      </c>
      <c r="F27" s="788">
        <f>F26</f>
        <v>359073.09</v>
      </c>
      <c r="G27" s="658"/>
      <c r="H27" s="695"/>
      <c r="BE27" s="659"/>
      <c r="BF27" s="647"/>
      <c r="BG27" s="647"/>
      <c r="BH27" s="647"/>
      <c r="BI27" s="647"/>
      <c r="BJ27" s="647"/>
      <c r="BK27" s="647"/>
      <c r="BL27" s="647"/>
      <c r="BM27" s="647"/>
    </row>
    <row r="28" spans="1:65" ht="24" hidden="1" customHeight="1">
      <c r="A28" s="633" t="s">
        <v>29</v>
      </c>
      <c r="B28" s="789"/>
      <c r="C28" s="657"/>
      <c r="E28" s="633" t="s">
        <v>29</v>
      </c>
      <c r="F28" s="789"/>
      <c r="G28" s="658"/>
      <c r="H28" s="695"/>
    </row>
    <row r="29" spans="1:65" ht="24" hidden="1" customHeight="1">
      <c r="A29" s="633" t="s">
        <v>30</v>
      </c>
      <c r="B29" s="789">
        <v>0</v>
      </c>
      <c r="C29" s="633"/>
      <c r="E29" s="633" t="s">
        <v>30</v>
      </c>
      <c r="F29" s="789">
        <v>0</v>
      </c>
      <c r="G29" s="639"/>
      <c r="H29" s="695"/>
    </row>
    <row r="30" spans="1:65" ht="24" hidden="1" customHeight="1">
      <c r="A30" s="633" t="s">
        <v>35</v>
      </c>
      <c r="B30" s="789">
        <v>0</v>
      </c>
      <c r="C30" s="633"/>
      <c r="E30" s="633" t="s">
        <v>35</v>
      </c>
      <c r="F30" s="789">
        <v>0</v>
      </c>
      <c r="G30" s="639"/>
      <c r="H30" s="695"/>
    </row>
    <row r="31" spans="1:65" ht="24" hidden="1" customHeight="1">
      <c r="A31" s="633" t="s">
        <v>36</v>
      </c>
      <c r="B31" s="789">
        <v>0</v>
      </c>
      <c r="C31" s="633"/>
      <c r="E31" s="633" t="s">
        <v>36</v>
      </c>
      <c r="F31" s="789">
        <v>0</v>
      </c>
      <c r="G31" s="639"/>
      <c r="H31" s="695">
        <f>+H25+H26-H38</f>
        <v>173648.31000000006</v>
      </c>
    </row>
    <row r="32" spans="1:65" ht="24" customHeight="1">
      <c r="A32" s="643" t="s">
        <v>37</v>
      </c>
      <c r="B32" s="790"/>
      <c r="C32" s="633"/>
      <c r="D32" s="651"/>
      <c r="E32" s="643" t="s">
        <v>37</v>
      </c>
      <c r="F32" s="790"/>
      <c r="G32" s="639"/>
      <c r="H32" s="695">
        <f>+H25+H26-H35-H38</f>
        <v>173638.10000000009</v>
      </c>
    </row>
    <row r="33" spans="1:65" ht="24" customHeight="1">
      <c r="A33" s="633" t="s">
        <v>38</v>
      </c>
      <c r="B33" s="791">
        <v>0</v>
      </c>
      <c r="C33" s="653"/>
      <c r="E33" s="633" t="s">
        <v>38</v>
      </c>
      <c r="F33" s="791">
        <v>0</v>
      </c>
      <c r="G33" s="654"/>
      <c r="H33" s="695"/>
    </row>
    <row r="34" spans="1:65" ht="24" customHeight="1">
      <c r="A34" s="724" t="s">
        <v>39</v>
      </c>
      <c r="B34" s="725">
        <v>74680</v>
      </c>
      <c r="C34" s="633"/>
      <c r="E34" s="724" t="s">
        <v>39</v>
      </c>
      <c r="F34" s="725">
        <f>'119'!$B$43</f>
        <v>106830</v>
      </c>
      <c r="G34" s="639"/>
      <c r="H34" s="694">
        <f>F34-B34</f>
        <v>32150</v>
      </c>
      <c r="BE34" s="659"/>
      <c r="BF34" s="647"/>
      <c r="BG34" s="647"/>
      <c r="BH34" s="647"/>
      <c r="BI34" s="647"/>
      <c r="BJ34" s="647"/>
      <c r="BK34" s="647"/>
      <c r="BL34" s="647"/>
      <c r="BM34" s="647"/>
    </row>
    <row r="35" spans="1:65" ht="24" customHeight="1">
      <c r="A35" s="724" t="s">
        <v>40</v>
      </c>
      <c r="B35" s="725">
        <v>0.05</v>
      </c>
      <c r="C35" s="633"/>
      <c r="E35" s="724" t="s">
        <v>40</v>
      </c>
      <c r="F35" s="725">
        <f>'119'!$B$44</f>
        <v>10.26</v>
      </c>
      <c r="G35" s="639"/>
      <c r="H35" s="694">
        <f>F35-B35</f>
        <v>10.209999999999999</v>
      </c>
      <c r="BE35" s="647"/>
      <c r="BF35" s="647"/>
      <c r="BG35" s="647"/>
      <c r="BH35" s="647"/>
      <c r="BI35" s="647"/>
      <c r="BJ35" s="647"/>
      <c r="BK35" s="647"/>
      <c r="BL35" s="647"/>
      <c r="BM35" s="647"/>
    </row>
    <row r="36" spans="1:65">
      <c r="A36" s="661" t="s">
        <v>41</v>
      </c>
      <c r="B36" s="792">
        <v>0</v>
      </c>
      <c r="C36" s="662"/>
      <c r="E36" s="661" t="s">
        <v>41</v>
      </c>
      <c r="F36" s="792">
        <v>0</v>
      </c>
      <c r="G36" s="663"/>
      <c r="H36" s="695"/>
    </row>
    <row r="37" spans="1:65" ht="24" customHeight="1">
      <c r="A37" s="633" t="s">
        <v>43</v>
      </c>
      <c r="B37" s="793">
        <v>0</v>
      </c>
      <c r="C37" s="633"/>
      <c r="E37" s="633" t="s">
        <v>43</v>
      </c>
      <c r="F37" s="793">
        <v>0</v>
      </c>
      <c r="G37" s="639"/>
      <c r="H37" s="695"/>
    </row>
    <row r="38" spans="1:65" ht="24" customHeight="1">
      <c r="A38" s="724" t="s">
        <v>44</v>
      </c>
      <c r="B38" s="725">
        <v>99931.95</v>
      </c>
      <c r="C38" s="633"/>
      <c r="E38" s="724" t="s">
        <v>44</v>
      </c>
      <c r="F38" s="725">
        <f>'119'!$B$48</f>
        <v>677121.73</v>
      </c>
      <c r="G38" s="639"/>
      <c r="H38" s="694">
        <f>F38-B38</f>
        <v>577189.78</v>
      </c>
    </row>
    <row r="39" spans="1:65" ht="24" customHeight="1">
      <c r="A39" s="633" t="s">
        <v>45</v>
      </c>
      <c r="B39" s="725">
        <v>99931.95</v>
      </c>
      <c r="C39" s="664"/>
      <c r="D39" s="665"/>
      <c r="E39" s="633" t="s">
        <v>45</v>
      </c>
      <c r="F39" s="725">
        <f>F38</f>
        <v>677121.73</v>
      </c>
      <c r="G39" s="666"/>
      <c r="H39" s="954"/>
    </row>
    <row r="40" spans="1:65" ht="24" customHeight="1">
      <c r="A40" s="633" t="s">
        <v>46</v>
      </c>
      <c r="B40" s="648">
        <v>0</v>
      </c>
      <c r="C40" s="633"/>
      <c r="E40" s="633" t="s">
        <v>46</v>
      </c>
      <c r="F40" s="668">
        <v>0</v>
      </c>
      <c r="G40" s="639"/>
      <c r="H40" s="695"/>
    </row>
    <row r="41" spans="1:65" ht="24" customHeight="1">
      <c r="A41" s="633" t="s">
        <v>47</v>
      </c>
      <c r="B41" s="648">
        <v>0</v>
      </c>
      <c r="C41" s="633"/>
      <c r="E41" s="633" t="s">
        <v>47</v>
      </c>
      <c r="F41" s="648">
        <v>0</v>
      </c>
      <c r="G41" s="639"/>
      <c r="H41" s="695"/>
    </row>
    <row r="42" spans="1:65">
      <c r="A42" s="643"/>
      <c r="B42" s="649">
        <v>0</v>
      </c>
      <c r="C42" s="650"/>
      <c r="D42" s="651"/>
      <c r="E42" s="643"/>
      <c r="F42" s="649">
        <v>0</v>
      </c>
      <c r="G42" s="650"/>
      <c r="H42" s="695"/>
    </row>
    <row r="43" spans="1:65" ht="24" customHeight="1" thickBot="1">
      <c r="A43" s="643" t="s">
        <v>48</v>
      </c>
      <c r="B43" s="644"/>
      <c r="C43" s="633"/>
      <c r="E43" s="643" t="s">
        <v>48</v>
      </c>
      <c r="F43" s="644"/>
      <c r="G43" s="639"/>
      <c r="H43" s="955"/>
    </row>
    <row r="44" spans="1:65" ht="24" hidden="1" customHeight="1">
      <c r="A44" s="633"/>
      <c r="B44" s="648">
        <v>0</v>
      </c>
      <c r="C44" s="633"/>
      <c r="E44" s="633"/>
      <c r="F44" s="648">
        <v>0</v>
      </c>
      <c r="G44" s="633"/>
    </row>
    <row r="45" spans="1:65" ht="24" hidden="1" customHeight="1">
      <c r="A45" s="633" t="s">
        <v>49</v>
      </c>
      <c r="B45" s="648">
        <v>0</v>
      </c>
      <c r="C45" s="633"/>
      <c r="E45" s="633" t="s">
        <v>49</v>
      </c>
      <c r="F45" s="648">
        <f>F48</f>
        <v>0</v>
      </c>
      <c r="G45" s="633"/>
    </row>
    <row r="46" spans="1:65" ht="24" hidden="1" customHeight="1">
      <c r="A46" s="633" t="s">
        <v>50</v>
      </c>
      <c r="B46" s="648">
        <v>0</v>
      </c>
      <c r="C46" s="633"/>
      <c r="E46" s="633" t="s">
        <v>50</v>
      </c>
      <c r="F46" s="648">
        <v>0</v>
      </c>
      <c r="G46" s="633"/>
    </row>
    <row r="47" spans="1:65" ht="24" hidden="1" customHeight="1">
      <c r="A47" s="633" t="s">
        <v>51</v>
      </c>
      <c r="B47" s="648">
        <v>0</v>
      </c>
      <c r="C47" s="633"/>
      <c r="E47" s="633" t="s">
        <v>51</v>
      </c>
      <c r="F47" s="648">
        <v>0</v>
      </c>
      <c r="G47" s="633"/>
    </row>
    <row r="48" spans="1:65" ht="24" hidden="1" customHeight="1">
      <c r="A48" s="633"/>
      <c r="B48" s="648">
        <v>0</v>
      </c>
      <c r="C48" s="633"/>
      <c r="E48" s="633"/>
      <c r="F48" s="648">
        <v>0</v>
      </c>
      <c r="G48" s="633"/>
    </row>
    <row r="49" spans="1:7" ht="24" hidden="1" customHeight="1">
      <c r="A49" s="633" t="s">
        <v>52</v>
      </c>
      <c r="B49" s="648">
        <v>0</v>
      </c>
      <c r="C49" s="633"/>
      <c r="E49" s="633" t="s">
        <v>52</v>
      </c>
      <c r="F49" s="648">
        <v>0</v>
      </c>
      <c r="G49" s="633"/>
    </row>
    <row r="50" spans="1:7" ht="24" hidden="1" customHeight="1">
      <c r="A50" s="633" t="s">
        <v>53</v>
      </c>
      <c r="B50" s="648">
        <v>0</v>
      </c>
      <c r="C50" s="633"/>
      <c r="E50" s="633" t="s">
        <v>53</v>
      </c>
      <c r="F50" s="648">
        <v>0</v>
      </c>
      <c r="G50" s="633"/>
    </row>
    <row r="51" spans="1:7" ht="24" hidden="1" customHeight="1">
      <c r="A51" s="633" t="s">
        <v>54</v>
      </c>
      <c r="B51" s="648">
        <v>0</v>
      </c>
      <c r="C51" s="633"/>
      <c r="E51" s="633" t="s">
        <v>54</v>
      </c>
      <c r="F51" s="648">
        <v>0</v>
      </c>
      <c r="G51" s="633"/>
    </row>
    <row r="52" spans="1:7" ht="24" hidden="1" customHeight="1">
      <c r="A52" s="633" t="s">
        <v>55</v>
      </c>
      <c r="B52" s="648">
        <v>0</v>
      </c>
      <c r="C52" s="633"/>
      <c r="E52" s="633" t="s">
        <v>55</v>
      </c>
      <c r="F52" s="648">
        <v>0</v>
      </c>
      <c r="G52" s="633"/>
    </row>
    <row r="53" spans="1:7" ht="24" hidden="1" customHeight="1">
      <c r="A53" s="633" t="s">
        <v>56</v>
      </c>
      <c r="B53" s="648">
        <v>0</v>
      </c>
      <c r="C53" s="633"/>
      <c r="E53" s="633" t="s">
        <v>56</v>
      </c>
      <c r="F53" s="648">
        <v>0</v>
      </c>
      <c r="G53" s="633"/>
    </row>
    <row r="54" spans="1:7" ht="24" hidden="1" customHeight="1">
      <c r="A54" s="633" t="s">
        <v>57</v>
      </c>
      <c r="B54" s="648">
        <v>0</v>
      </c>
      <c r="C54" s="633"/>
      <c r="E54" s="633" t="s">
        <v>57</v>
      </c>
      <c r="F54" s="648">
        <v>0</v>
      </c>
      <c r="G54" s="633"/>
    </row>
    <row r="55" spans="1:7" ht="24" hidden="1" customHeight="1">
      <c r="A55" s="633"/>
      <c r="B55" s="648">
        <v>0</v>
      </c>
      <c r="C55" s="633"/>
      <c r="E55" s="633"/>
      <c r="F55" s="648">
        <v>0</v>
      </c>
      <c r="G55" s="633"/>
    </row>
    <row r="56" spans="1:7" ht="24" hidden="1" customHeight="1">
      <c r="A56" s="633" t="s">
        <v>58</v>
      </c>
      <c r="B56" s="648">
        <v>0</v>
      </c>
      <c r="C56" s="633"/>
      <c r="E56" s="633" t="s">
        <v>58</v>
      </c>
      <c r="F56" s="648">
        <v>0</v>
      </c>
      <c r="G56" s="633"/>
    </row>
    <row r="57" spans="1:7" ht="24" hidden="1" customHeight="1">
      <c r="A57" s="633" t="s">
        <v>59</v>
      </c>
      <c r="B57" s="669"/>
      <c r="C57" s="633"/>
      <c r="E57" s="633" t="s">
        <v>59</v>
      </c>
      <c r="F57" s="669"/>
      <c r="G57" s="633"/>
    </row>
    <row r="58" spans="1:7" ht="24" hidden="1" customHeight="1">
      <c r="A58" s="633" t="s">
        <v>60</v>
      </c>
      <c r="B58" s="669"/>
      <c r="C58" s="633"/>
      <c r="E58" s="633" t="s">
        <v>60</v>
      </c>
      <c r="F58" s="669"/>
      <c r="G58" s="633"/>
    </row>
    <row r="59" spans="1:7" ht="24" hidden="1" customHeight="1">
      <c r="A59" s="633" t="s">
        <v>61</v>
      </c>
      <c r="B59" s="669"/>
      <c r="C59" s="633"/>
      <c r="E59" s="633" t="s">
        <v>61</v>
      </c>
      <c r="F59" s="669"/>
      <c r="G59" s="633"/>
    </row>
    <row r="60" spans="1:7" ht="24" hidden="1" customHeight="1">
      <c r="A60" s="633" t="s">
        <v>103</v>
      </c>
      <c r="B60" s="669"/>
      <c r="C60" s="633"/>
      <c r="E60" s="633" t="s">
        <v>103</v>
      </c>
      <c r="F60" s="669"/>
      <c r="G60" s="633"/>
    </row>
    <row r="61" spans="1:7" ht="24" hidden="1" customHeight="1">
      <c r="A61" s="633"/>
      <c r="B61" s="669"/>
      <c r="C61" s="633"/>
      <c r="E61" s="633"/>
      <c r="F61" s="669"/>
      <c r="G61" s="633"/>
    </row>
    <row r="62" spans="1:7" ht="24" hidden="1" customHeight="1">
      <c r="A62" s="633"/>
      <c r="B62" s="648"/>
      <c r="C62" s="633"/>
      <c r="E62" s="633"/>
      <c r="F62" s="648"/>
      <c r="G62" s="633"/>
    </row>
    <row r="63" spans="1:7" ht="24" hidden="1" customHeight="1">
      <c r="A63" s="633"/>
      <c r="B63" s="648"/>
      <c r="C63" s="633"/>
      <c r="E63" s="633"/>
      <c r="F63" s="648"/>
      <c r="G63" s="633"/>
    </row>
    <row r="64" spans="1:7" ht="24" hidden="1" customHeight="1">
      <c r="A64" s="633"/>
      <c r="B64" s="648"/>
      <c r="C64" s="633"/>
      <c r="E64" s="633"/>
      <c r="F64" s="648"/>
      <c r="G64" s="633"/>
    </row>
    <row r="65" spans="1:7" ht="24" hidden="1" customHeight="1">
      <c r="A65" s="633"/>
      <c r="B65" s="648"/>
      <c r="C65" s="633"/>
      <c r="E65" s="633"/>
      <c r="F65" s="648"/>
      <c r="G65" s="633"/>
    </row>
    <row r="66" spans="1:7" ht="24" hidden="1" customHeight="1">
      <c r="A66" s="633"/>
      <c r="B66" s="648"/>
      <c r="C66" s="633"/>
      <c r="E66" s="633"/>
      <c r="F66" s="648"/>
      <c r="G66" s="633"/>
    </row>
    <row r="67" spans="1:7" ht="24" hidden="1" customHeight="1">
      <c r="A67" s="633"/>
      <c r="B67" s="648"/>
      <c r="C67" s="633"/>
      <c r="E67" s="633"/>
      <c r="F67" s="648"/>
      <c r="G67" s="633"/>
    </row>
    <row r="68" spans="1:7" ht="15.75" customHeight="1"/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00FF00"/>
  </sheetPr>
  <dimension ref="A1:GV69"/>
  <sheetViews>
    <sheetView workbookViewId="0">
      <pane xSplit="8" ySplit="40" topLeftCell="S41" activePane="bottomRight" state="frozen"/>
      <selection activeCell="F26" sqref="F26"/>
      <selection pane="topRight" activeCell="F26" sqref="F26"/>
      <selection pane="bottomLeft" activeCell="F26" sqref="F26"/>
      <selection pane="bottomRight" activeCell="B26" sqref="B26:B40"/>
    </sheetView>
  </sheetViews>
  <sheetFormatPr defaultColWidth="3" defaultRowHeight="15.75"/>
  <cols>
    <col min="1" max="1" width="45.7109375" style="629" bestFit="1" customWidth="1"/>
    <col min="2" max="2" width="18" style="634" bestFit="1" customWidth="1"/>
    <col min="3" max="3" width="2.85546875" style="629" bestFit="1" customWidth="1"/>
    <col min="4" max="4" width="2.5703125" style="629" customWidth="1"/>
    <col min="5" max="5" width="45.7109375" style="629" bestFit="1" customWidth="1"/>
    <col min="6" max="6" width="18" style="634" bestFit="1" customWidth="1"/>
    <col min="7" max="7" width="2.85546875" style="629" bestFit="1" customWidth="1"/>
    <col min="8" max="8" width="13.5703125" style="629" bestFit="1" customWidth="1"/>
    <col min="9" max="9" width="8.14062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/>
    <col min="223" max="223" width="0.42578125" style="629" customWidth="1"/>
    <col min="224" max="231" width="3" style="629"/>
    <col min="232" max="232" width="0.42578125" style="629" customWidth="1"/>
    <col min="233" max="238" width="3" style="629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/>
    <col min="249" max="249" width="0.42578125" style="629" customWidth="1"/>
    <col min="250" max="16384" width="3" style="629"/>
  </cols>
  <sheetData>
    <row r="1" spans="1:10">
      <c r="A1" s="626" t="s">
        <v>749</v>
      </c>
      <c r="B1" s="627"/>
      <c r="C1" s="628"/>
      <c r="E1" s="626" t="s">
        <v>748</v>
      </c>
      <c r="F1" s="627"/>
      <c r="G1" s="628"/>
    </row>
    <row r="2" spans="1:10" ht="16.5">
      <c r="A2" s="631" t="s">
        <v>0</v>
      </c>
      <c r="B2" s="624" t="s">
        <v>1</v>
      </c>
      <c r="C2" s="632" t="s">
        <v>2</v>
      </c>
      <c r="E2" s="631" t="s">
        <v>0</v>
      </c>
      <c r="F2" s="624" t="s">
        <v>1</v>
      </c>
      <c r="G2" s="632" t="s">
        <v>2</v>
      </c>
    </row>
    <row r="3" spans="1:10">
      <c r="A3" s="631"/>
      <c r="B3" s="624" t="s">
        <v>3</v>
      </c>
      <c r="C3" s="633"/>
      <c r="E3" s="631"/>
      <c r="F3" s="624" t="s">
        <v>3</v>
      </c>
      <c r="G3" s="633"/>
    </row>
    <row r="4" spans="1:10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 ht="15.75" hidden="1" customHeight="1">
      <c r="C5" s="633"/>
      <c r="G5" s="633"/>
    </row>
    <row r="6" spans="1:10" ht="16.5">
      <c r="A6" s="635" t="s">
        <v>5</v>
      </c>
      <c r="B6" s="636">
        <v>120</v>
      </c>
      <c r="C6" s="633"/>
      <c r="E6" s="635" t="s">
        <v>5</v>
      </c>
      <c r="F6" s="636">
        <f>+B6</f>
        <v>120</v>
      </c>
      <c r="G6" s="633"/>
    </row>
    <row r="7" spans="1:10" ht="24" customHeight="1" thickBot="1">
      <c r="A7" s="637" t="s">
        <v>6</v>
      </c>
      <c r="B7" s="638" t="s">
        <v>7</v>
      </c>
      <c r="C7" s="633"/>
      <c r="E7" s="637" t="s">
        <v>6</v>
      </c>
      <c r="F7" s="638" t="s">
        <v>7</v>
      </c>
      <c r="G7" s="633"/>
      <c r="H7" s="706" t="s">
        <v>779</v>
      </c>
    </row>
    <row r="8" spans="1:10" ht="17.25" hidden="1" customHeight="1" thickBot="1">
      <c r="A8" s="633" t="s">
        <v>8</v>
      </c>
      <c r="B8" s="641"/>
      <c r="C8" s="633"/>
      <c r="E8" s="633" t="s">
        <v>8</v>
      </c>
      <c r="F8" s="641"/>
      <c r="G8" s="633"/>
      <c r="H8" s="706"/>
    </row>
    <row r="9" spans="1:10" ht="17.25" hidden="1" customHeight="1" thickBot="1">
      <c r="A9" s="633" t="s">
        <v>9</v>
      </c>
      <c r="B9" s="641"/>
      <c r="C9" s="633"/>
      <c r="E9" s="633" t="s">
        <v>9</v>
      </c>
      <c r="F9" s="641"/>
      <c r="G9" s="633"/>
      <c r="H9" s="706"/>
    </row>
    <row r="10" spans="1:10" ht="17.25" hidden="1" customHeight="1" thickBot="1">
      <c r="A10" s="633" t="s">
        <v>93</v>
      </c>
      <c r="B10" s="641"/>
      <c r="C10" s="633"/>
      <c r="E10" s="633" t="s">
        <v>93</v>
      </c>
      <c r="F10" s="641"/>
      <c r="G10" s="633"/>
      <c r="H10" s="706"/>
    </row>
    <row r="11" spans="1:10" ht="17.25" hidden="1" customHeight="1" thickBot="1">
      <c r="A11" s="633" t="s">
        <v>95</v>
      </c>
      <c r="B11" s="641"/>
      <c r="C11" s="633"/>
      <c r="E11" s="633" t="s">
        <v>95</v>
      </c>
      <c r="F11" s="641"/>
      <c r="G11" s="633"/>
      <c r="H11" s="706"/>
    </row>
    <row r="12" spans="1:10" ht="17.25" hidden="1" customHeight="1" thickBot="1">
      <c r="A12" s="633"/>
      <c r="B12" s="641"/>
      <c r="C12" s="633"/>
      <c r="E12" s="633"/>
      <c r="F12" s="641"/>
      <c r="G12" s="633"/>
      <c r="H12" s="706"/>
    </row>
    <row r="13" spans="1:10" ht="17.25" hidden="1" customHeight="1" thickBot="1">
      <c r="A13" s="643" t="s">
        <v>12</v>
      </c>
      <c r="B13" s="644"/>
      <c r="C13" s="643"/>
      <c r="D13" s="645"/>
      <c r="E13" s="643" t="s">
        <v>12</v>
      </c>
      <c r="F13" s="644"/>
      <c r="G13" s="633"/>
      <c r="H13" s="733"/>
      <c r="I13" s="647"/>
      <c r="J13" s="647"/>
    </row>
    <row r="14" spans="1:10" ht="17.25" hidden="1" customHeight="1" thickBot="1">
      <c r="A14" s="643" t="s">
        <v>13</v>
      </c>
      <c r="B14" s="644"/>
      <c r="C14" s="643"/>
      <c r="D14" s="645"/>
      <c r="E14" s="643" t="s">
        <v>13</v>
      </c>
      <c r="F14" s="644"/>
      <c r="G14" s="633"/>
      <c r="H14" s="733"/>
      <c r="I14" s="647"/>
      <c r="J14" s="647"/>
    </row>
    <row r="15" spans="1:10" ht="17.25" hidden="1" customHeight="1" thickBot="1">
      <c r="A15" s="643" t="s">
        <v>96</v>
      </c>
      <c r="B15" s="644"/>
      <c r="C15" s="643"/>
      <c r="D15" s="645"/>
      <c r="E15" s="643" t="s">
        <v>96</v>
      </c>
      <c r="F15" s="644"/>
      <c r="G15" s="633"/>
      <c r="H15" s="733"/>
      <c r="I15" s="647"/>
      <c r="J15" s="647"/>
    </row>
    <row r="16" spans="1:10" ht="17.25" hidden="1" customHeight="1" thickBot="1">
      <c r="A16" s="633" t="s">
        <v>15</v>
      </c>
      <c r="B16" s="648">
        <v>0</v>
      </c>
      <c r="C16" s="633"/>
      <c r="D16" s="647"/>
      <c r="E16" s="633" t="s">
        <v>15</v>
      </c>
      <c r="F16" s="648">
        <v>0</v>
      </c>
      <c r="G16" s="633"/>
      <c r="H16" s="733"/>
      <c r="I16" s="647"/>
      <c r="J16" s="647"/>
    </row>
    <row r="17" spans="1:65" ht="17.25" hidden="1" customHeight="1" thickBot="1">
      <c r="A17" s="633" t="s">
        <v>16</v>
      </c>
      <c r="B17" s="648">
        <v>0</v>
      </c>
      <c r="C17" s="633"/>
      <c r="D17" s="647"/>
      <c r="E17" s="633" t="s">
        <v>16</v>
      </c>
      <c r="F17" s="648">
        <v>0</v>
      </c>
      <c r="G17" s="633"/>
      <c r="H17" s="733"/>
      <c r="I17" s="647"/>
      <c r="J17" s="647"/>
    </row>
    <row r="18" spans="1:65" ht="17.25" hidden="1" customHeight="1" thickBot="1">
      <c r="A18" s="633" t="s">
        <v>17</v>
      </c>
      <c r="B18" s="648"/>
      <c r="C18" s="633"/>
      <c r="D18" s="647"/>
      <c r="E18" s="633" t="s">
        <v>17</v>
      </c>
      <c r="F18" s="648"/>
      <c r="G18" s="633"/>
      <c r="H18" s="733"/>
      <c r="I18" s="647"/>
      <c r="J18" s="647"/>
    </row>
    <row r="19" spans="1:65" ht="17.25" hidden="1" customHeight="1" thickBot="1">
      <c r="A19" s="633" t="s">
        <v>97</v>
      </c>
      <c r="B19" s="648"/>
      <c r="C19" s="633"/>
      <c r="E19" s="633" t="s">
        <v>97</v>
      </c>
      <c r="F19" s="648"/>
      <c r="G19" s="633"/>
      <c r="H19" s="706"/>
    </row>
    <row r="20" spans="1:65" ht="17.25" hidden="1" customHeight="1" thickBot="1">
      <c r="A20" s="633" t="s">
        <v>19</v>
      </c>
      <c r="B20" s="648">
        <v>0</v>
      </c>
      <c r="C20" s="633"/>
      <c r="E20" s="633" t="s">
        <v>19</v>
      </c>
      <c r="F20" s="648">
        <v>0</v>
      </c>
      <c r="G20" s="633"/>
      <c r="H20" s="706"/>
    </row>
    <row r="21" spans="1:65" ht="17.25" hidden="1" customHeight="1" thickBot="1">
      <c r="A21" s="633" t="s">
        <v>20</v>
      </c>
      <c r="B21" s="648">
        <v>0</v>
      </c>
      <c r="C21" s="633"/>
      <c r="E21" s="633" t="s">
        <v>20</v>
      </c>
      <c r="F21" s="648">
        <v>0</v>
      </c>
      <c r="G21" s="633"/>
      <c r="H21" s="706"/>
    </row>
    <row r="22" spans="1:65" ht="17.25" hidden="1" customHeight="1" thickBot="1">
      <c r="A22" s="633"/>
      <c r="B22" s="648"/>
      <c r="C22" s="633"/>
      <c r="E22" s="633"/>
      <c r="F22" s="648"/>
      <c r="G22" s="633"/>
      <c r="H22" s="706"/>
    </row>
    <row r="23" spans="1:65" ht="17.25" hidden="1" customHeight="1" thickBot="1">
      <c r="A23" s="643"/>
      <c r="B23" s="649"/>
      <c r="C23" s="650"/>
      <c r="D23" s="651"/>
      <c r="E23" s="643"/>
      <c r="F23" s="649"/>
      <c r="G23" s="650"/>
      <c r="H23" s="706"/>
    </row>
    <row r="24" spans="1:65" ht="17.25" hidden="1" customHeight="1" thickBot="1">
      <c r="A24" s="643" t="s">
        <v>24</v>
      </c>
      <c r="B24" s="649"/>
      <c r="C24" s="633"/>
      <c r="D24" s="651"/>
      <c r="E24" s="643" t="s">
        <v>24</v>
      </c>
      <c r="F24" s="649"/>
      <c r="G24" s="633"/>
      <c r="H24" s="706"/>
    </row>
    <row r="25" spans="1:65" ht="17.25" hidden="1" customHeight="1" thickBot="1">
      <c r="A25" s="633" t="s">
        <v>25</v>
      </c>
      <c r="B25" s="648">
        <v>0</v>
      </c>
      <c r="C25" s="633"/>
      <c r="D25" s="651"/>
      <c r="E25" s="633" t="s">
        <v>25</v>
      </c>
      <c r="F25" s="648">
        <v>0</v>
      </c>
      <c r="G25" s="633"/>
      <c r="H25" s="706"/>
    </row>
    <row r="26" spans="1:65" ht="24" customHeight="1">
      <c r="A26" s="724" t="s">
        <v>26</v>
      </c>
      <c r="B26" s="725">
        <v>21737</v>
      </c>
      <c r="C26" s="653"/>
      <c r="E26" s="724" t="s">
        <v>26</v>
      </c>
      <c r="F26" s="725">
        <f>+'120'!$B$30</f>
        <v>687432</v>
      </c>
      <c r="G26" s="654"/>
      <c r="H26" s="812">
        <f>F26-B26</f>
        <v>665695</v>
      </c>
    </row>
    <row r="27" spans="1:65" ht="24" customHeight="1">
      <c r="A27" s="724" t="s">
        <v>27</v>
      </c>
      <c r="B27" s="725">
        <v>73282.39</v>
      </c>
      <c r="C27" s="633"/>
      <c r="E27" s="724" t="s">
        <v>27</v>
      </c>
      <c r="F27" s="725">
        <f>+'120'!$B$31</f>
        <v>391278.05</v>
      </c>
      <c r="G27" s="639"/>
      <c r="H27" s="813">
        <f>F27-B27</f>
        <v>317995.65999999997</v>
      </c>
    </row>
    <row r="28" spans="1:65" ht="16.5" hidden="1" customHeight="1">
      <c r="A28" s="651"/>
      <c r="B28" s="788">
        <v>73282.39</v>
      </c>
      <c r="C28" s="657"/>
      <c r="E28" s="651" t="s">
        <v>28</v>
      </c>
      <c r="F28" s="788">
        <f>F27</f>
        <v>391278.05</v>
      </c>
      <c r="G28" s="658"/>
      <c r="H28" s="814"/>
      <c r="BE28" s="659"/>
      <c r="BF28" s="647"/>
      <c r="BG28" s="647"/>
      <c r="BH28" s="647"/>
      <c r="BI28" s="647"/>
      <c r="BJ28" s="647"/>
      <c r="BK28" s="647"/>
      <c r="BL28" s="647"/>
      <c r="BM28" s="647"/>
    </row>
    <row r="29" spans="1:65" ht="16.5" hidden="1" customHeight="1">
      <c r="A29" s="633" t="s">
        <v>29</v>
      </c>
      <c r="B29" s="789"/>
      <c r="C29" s="657"/>
      <c r="E29" s="633" t="s">
        <v>29</v>
      </c>
      <c r="F29" s="789"/>
      <c r="G29" s="658"/>
      <c r="H29" s="814"/>
    </row>
    <row r="30" spans="1:65" ht="16.5" hidden="1" customHeight="1">
      <c r="A30" s="633" t="s">
        <v>30</v>
      </c>
      <c r="B30" s="789">
        <v>0</v>
      </c>
      <c r="C30" s="633"/>
      <c r="E30" s="633" t="s">
        <v>30</v>
      </c>
      <c r="F30" s="789">
        <v>0</v>
      </c>
      <c r="G30" s="639"/>
      <c r="H30" s="814"/>
    </row>
    <row r="31" spans="1:65" ht="16.5" hidden="1" customHeight="1">
      <c r="A31" s="633" t="s">
        <v>35</v>
      </c>
      <c r="B31" s="789">
        <v>0</v>
      </c>
      <c r="C31" s="633"/>
      <c r="E31" s="633" t="s">
        <v>35</v>
      </c>
      <c r="F31" s="789">
        <v>0</v>
      </c>
      <c r="G31" s="639"/>
      <c r="H31" s="814"/>
    </row>
    <row r="32" spans="1:65" ht="16.5" hidden="1" customHeight="1">
      <c r="A32" s="633" t="s">
        <v>36</v>
      </c>
      <c r="B32" s="789">
        <v>0</v>
      </c>
      <c r="C32" s="633"/>
      <c r="E32" s="633" t="s">
        <v>36</v>
      </c>
      <c r="F32" s="789">
        <v>0</v>
      </c>
      <c r="G32" s="639"/>
      <c r="H32" s="814">
        <f>+H26+H27-H39</f>
        <v>214534.84999999986</v>
      </c>
    </row>
    <row r="33" spans="1:65" ht="24" customHeight="1">
      <c r="A33" s="643" t="s">
        <v>37</v>
      </c>
      <c r="B33" s="790"/>
      <c r="C33" s="633"/>
      <c r="D33" s="651"/>
      <c r="E33" s="643" t="s">
        <v>37</v>
      </c>
      <c r="F33" s="790"/>
      <c r="G33" s="639"/>
      <c r="H33" s="814">
        <f>+H26+H27-H36-H39</f>
        <v>214479.72999999986</v>
      </c>
    </row>
    <row r="34" spans="1:65" ht="24" customHeight="1">
      <c r="A34" s="633" t="s">
        <v>38</v>
      </c>
      <c r="B34" s="791">
        <v>0</v>
      </c>
      <c r="C34" s="653"/>
      <c r="E34" s="633" t="s">
        <v>38</v>
      </c>
      <c r="F34" s="791">
        <v>0</v>
      </c>
      <c r="G34" s="654"/>
      <c r="H34" s="814"/>
    </row>
    <row r="35" spans="1:65" ht="24" customHeight="1">
      <c r="A35" s="724" t="s">
        <v>39</v>
      </c>
      <c r="B35" s="725">
        <v>21101</v>
      </c>
      <c r="C35" s="633"/>
      <c r="E35" s="724" t="s">
        <v>39</v>
      </c>
      <c r="F35" s="725">
        <f>+'120'!$B$43</f>
        <v>57551</v>
      </c>
      <c r="G35" s="639"/>
      <c r="H35" s="813">
        <f>F35-B35</f>
        <v>36450</v>
      </c>
      <c r="BE35" s="659"/>
      <c r="BF35" s="647"/>
      <c r="BG35" s="647"/>
      <c r="BH35" s="647"/>
      <c r="BI35" s="647"/>
      <c r="BJ35" s="647"/>
      <c r="BK35" s="647"/>
      <c r="BL35" s="647"/>
      <c r="BM35" s="647"/>
    </row>
    <row r="36" spans="1:65" ht="24" customHeight="1">
      <c r="A36" s="724" t="s">
        <v>40</v>
      </c>
      <c r="B36" s="725">
        <v>0.18</v>
      </c>
      <c r="C36" s="633"/>
      <c r="E36" s="724" t="s">
        <v>40</v>
      </c>
      <c r="F36" s="725">
        <f>+'120'!$B$44</f>
        <v>55.3</v>
      </c>
      <c r="G36" s="639"/>
      <c r="H36" s="813">
        <f>F36-B36</f>
        <v>55.12</v>
      </c>
      <c r="BE36" s="647"/>
      <c r="BF36" s="647"/>
      <c r="BG36" s="647"/>
      <c r="BH36" s="647"/>
      <c r="BI36" s="647"/>
      <c r="BJ36" s="647"/>
      <c r="BK36" s="647"/>
      <c r="BL36" s="647"/>
      <c r="BM36" s="647"/>
    </row>
    <row r="37" spans="1:65" ht="16.5">
      <c r="A37" s="661" t="s">
        <v>41</v>
      </c>
      <c r="B37" s="792">
        <v>0</v>
      </c>
      <c r="C37" s="662"/>
      <c r="E37" s="661" t="s">
        <v>41</v>
      </c>
      <c r="F37" s="792">
        <v>0</v>
      </c>
      <c r="G37" s="663"/>
      <c r="H37" s="814"/>
    </row>
    <row r="38" spans="1:65" ht="24" customHeight="1">
      <c r="A38" s="633" t="s">
        <v>43</v>
      </c>
      <c r="B38" s="793">
        <v>0</v>
      </c>
      <c r="C38" s="633"/>
      <c r="E38" s="633" t="s">
        <v>43</v>
      </c>
      <c r="F38" s="793">
        <v>0</v>
      </c>
      <c r="G38" s="639"/>
      <c r="H38" s="814"/>
    </row>
    <row r="39" spans="1:65" ht="24" customHeight="1">
      <c r="A39" s="724" t="s">
        <v>44</v>
      </c>
      <c r="B39" s="725">
        <v>68693.25</v>
      </c>
      <c r="C39" s="633"/>
      <c r="E39" s="724" t="s">
        <v>44</v>
      </c>
      <c r="F39" s="725">
        <f>+'120'!$B$48</f>
        <v>837849.06</v>
      </c>
      <c r="G39" s="639"/>
      <c r="H39" s="813">
        <f>F39-B39</f>
        <v>769155.81</v>
      </c>
    </row>
    <row r="40" spans="1:65" ht="24" customHeight="1">
      <c r="A40" s="633" t="s">
        <v>45</v>
      </c>
      <c r="B40" s="725">
        <v>68693.25</v>
      </c>
      <c r="C40" s="664"/>
      <c r="D40" s="665"/>
      <c r="E40" s="633" t="s">
        <v>45</v>
      </c>
      <c r="F40" s="725">
        <f>F39</f>
        <v>837849.06</v>
      </c>
      <c r="G40" s="666"/>
      <c r="H40" s="956"/>
    </row>
    <row r="41" spans="1:65" ht="24" customHeight="1">
      <c r="A41" s="633" t="s">
        <v>46</v>
      </c>
      <c r="B41" s="648">
        <v>0</v>
      </c>
      <c r="C41" s="633"/>
      <c r="E41" s="633" t="s">
        <v>46</v>
      </c>
      <c r="F41" s="668">
        <v>0</v>
      </c>
      <c r="G41" s="639"/>
      <c r="H41" s="698"/>
    </row>
    <row r="42" spans="1:65" ht="24" customHeight="1">
      <c r="A42" s="633" t="s">
        <v>47</v>
      </c>
      <c r="B42" s="648">
        <v>0</v>
      </c>
      <c r="C42" s="633"/>
      <c r="E42" s="633" t="s">
        <v>47</v>
      </c>
      <c r="F42" s="648">
        <v>0</v>
      </c>
      <c r="G42" s="639"/>
      <c r="H42" s="698"/>
    </row>
    <row r="43" spans="1:65" ht="17.25" thickBot="1">
      <c r="A43" s="643"/>
      <c r="B43" s="649">
        <v>0</v>
      </c>
      <c r="C43" s="650"/>
      <c r="D43" s="651"/>
      <c r="E43" s="643"/>
      <c r="F43" s="649">
        <v>0</v>
      </c>
      <c r="G43" s="650"/>
      <c r="H43" s="957"/>
    </row>
    <row r="44" spans="1:65" ht="15.75" hidden="1" customHeight="1">
      <c r="A44" s="643" t="s">
        <v>48</v>
      </c>
      <c r="B44" s="644"/>
      <c r="C44" s="633"/>
      <c r="E44" s="643" t="s">
        <v>48</v>
      </c>
      <c r="F44" s="644"/>
      <c r="G44" s="633"/>
    </row>
    <row r="45" spans="1:65" ht="15.75" hidden="1" customHeight="1">
      <c r="A45" s="633"/>
      <c r="B45" s="648">
        <v>0</v>
      </c>
      <c r="C45" s="633"/>
      <c r="E45" s="633"/>
      <c r="F45" s="648">
        <v>0</v>
      </c>
      <c r="G45" s="633"/>
    </row>
    <row r="46" spans="1:65" ht="15.75" hidden="1" customHeight="1">
      <c r="A46" s="633" t="s">
        <v>49</v>
      </c>
      <c r="B46" s="648">
        <v>0</v>
      </c>
      <c r="C46" s="633"/>
      <c r="E46" s="633" t="s">
        <v>49</v>
      </c>
      <c r="F46" s="648">
        <f>F49</f>
        <v>0</v>
      </c>
      <c r="G46" s="633"/>
    </row>
    <row r="47" spans="1:65" ht="15.75" hidden="1" customHeight="1">
      <c r="A47" s="633" t="s">
        <v>50</v>
      </c>
      <c r="B47" s="648">
        <v>0</v>
      </c>
      <c r="C47" s="633"/>
      <c r="E47" s="633" t="s">
        <v>50</v>
      </c>
      <c r="F47" s="648">
        <v>0</v>
      </c>
      <c r="G47" s="633"/>
    </row>
    <row r="48" spans="1:65" ht="15.75" hidden="1" customHeight="1">
      <c r="A48" s="633" t="s">
        <v>51</v>
      </c>
      <c r="B48" s="648">
        <v>0</v>
      </c>
      <c r="C48" s="633"/>
      <c r="E48" s="633" t="s">
        <v>51</v>
      </c>
      <c r="F48" s="648">
        <v>0</v>
      </c>
      <c r="G48" s="633"/>
    </row>
    <row r="49" spans="1:7" ht="15.75" hidden="1" customHeight="1">
      <c r="A49" s="633"/>
      <c r="B49" s="648">
        <v>0</v>
      </c>
      <c r="C49" s="633"/>
      <c r="E49" s="633"/>
      <c r="F49" s="648">
        <v>0</v>
      </c>
      <c r="G49" s="633"/>
    </row>
    <row r="50" spans="1:7" ht="15.75" hidden="1" customHeight="1">
      <c r="A50" s="633" t="s">
        <v>52</v>
      </c>
      <c r="B50" s="648">
        <v>0</v>
      </c>
      <c r="C50" s="633"/>
      <c r="E50" s="633" t="s">
        <v>52</v>
      </c>
      <c r="F50" s="648">
        <v>0</v>
      </c>
      <c r="G50" s="633"/>
    </row>
    <row r="51" spans="1:7" ht="15.75" hidden="1" customHeight="1">
      <c r="A51" s="633" t="s">
        <v>53</v>
      </c>
      <c r="B51" s="648">
        <v>0</v>
      </c>
      <c r="C51" s="633"/>
      <c r="E51" s="633" t="s">
        <v>53</v>
      </c>
      <c r="F51" s="648">
        <v>0</v>
      </c>
      <c r="G51" s="633"/>
    </row>
    <row r="52" spans="1:7" ht="15.75" hidden="1" customHeight="1">
      <c r="A52" s="633" t="s">
        <v>54</v>
      </c>
      <c r="B52" s="648">
        <v>0</v>
      </c>
      <c r="C52" s="633"/>
      <c r="E52" s="633" t="s">
        <v>54</v>
      </c>
      <c r="F52" s="648">
        <v>0</v>
      </c>
      <c r="G52" s="633"/>
    </row>
    <row r="53" spans="1:7" ht="15.75" hidden="1" customHeight="1">
      <c r="A53" s="633" t="s">
        <v>55</v>
      </c>
      <c r="B53" s="648">
        <v>0</v>
      </c>
      <c r="C53" s="633"/>
      <c r="E53" s="633" t="s">
        <v>55</v>
      </c>
      <c r="F53" s="648">
        <v>0</v>
      </c>
      <c r="G53" s="633"/>
    </row>
    <row r="54" spans="1:7" ht="15.75" hidden="1" customHeight="1">
      <c r="A54" s="633" t="s">
        <v>56</v>
      </c>
      <c r="B54" s="648">
        <v>0</v>
      </c>
      <c r="C54" s="633"/>
      <c r="E54" s="633" t="s">
        <v>56</v>
      </c>
      <c r="F54" s="648">
        <v>0</v>
      </c>
      <c r="G54" s="633"/>
    </row>
    <row r="55" spans="1:7" ht="15.75" hidden="1" customHeight="1">
      <c r="A55" s="633" t="s">
        <v>57</v>
      </c>
      <c r="B55" s="648">
        <v>0</v>
      </c>
      <c r="C55" s="633"/>
      <c r="E55" s="633" t="s">
        <v>57</v>
      </c>
      <c r="F55" s="648">
        <v>0</v>
      </c>
      <c r="G55" s="633"/>
    </row>
    <row r="56" spans="1:7" ht="15.75" hidden="1" customHeight="1">
      <c r="A56" s="633"/>
      <c r="B56" s="648">
        <v>0</v>
      </c>
      <c r="C56" s="633"/>
      <c r="E56" s="633"/>
      <c r="F56" s="648">
        <v>0</v>
      </c>
      <c r="G56" s="633"/>
    </row>
    <row r="57" spans="1:7" ht="15.75" hidden="1" customHeight="1">
      <c r="A57" s="633" t="s">
        <v>58</v>
      </c>
      <c r="B57" s="648">
        <v>0</v>
      </c>
      <c r="C57" s="633"/>
      <c r="E57" s="633" t="s">
        <v>58</v>
      </c>
      <c r="F57" s="648">
        <v>0</v>
      </c>
      <c r="G57" s="633"/>
    </row>
    <row r="58" spans="1:7" ht="15.75" hidden="1" customHeight="1">
      <c r="A58" s="633" t="s">
        <v>59</v>
      </c>
      <c r="B58" s="669"/>
      <c r="C58" s="633"/>
      <c r="E58" s="633" t="s">
        <v>59</v>
      </c>
      <c r="F58" s="669"/>
      <c r="G58" s="633"/>
    </row>
    <row r="59" spans="1:7" ht="15.75" hidden="1" customHeight="1">
      <c r="A59" s="633" t="s">
        <v>60</v>
      </c>
      <c r="B59" s="669"/>
      <c r="C59" s="633"/>
      <c r="E59" s="633" t="s">
        <v>60</v>
      </c>
      <c r="F59" s="669"/>
      <c r="G59" s="633"/>
    </row>
    <row r="60" spans="1:7" ht="15.75" hidden="1" customHeight="1">
      <c r="A60" s="633" t="s">
        <v>61</v>
      </c>
      <c r="B60" s="669"/>
      <c r="C60" s="633"/>
      <c r="E60" s="633" t="s">
        <v>61</v>
      </c>
      <c r="F60" s="669"/>
      <c r="G60" s="633"/>
    </row>
    <row r="61" spans="1:7" ht="15.75" hidden="1" customHeight="1">
      <c r="A61" s="633" t="s">
        <v>103</v>
      </c>
      <c r="B61" s="669"/>
      <c r="C61" s="633"/>
      <c r="E61" s="633" t="s">
        <v>103</v>
      </c>
      <c r="F61" s="669"/>
      <c r="G61" s="633"/>
    </row>
    <row r="62" spans="1:7" ht="15.75" hidden="1" customHeight="1">
      <c r="A62" s="633"/>
      <c r="B62" s="669"/>
      <c r="C62" s="633"/>
      <c r="E62" s="633"/>
      <c r="F62" s="669"/>
      <c r="G62" s="633"/>
    </row>
    <row r="63" spans="1:7" ht="15.75" hidden="1" customHeight="1">
      <c r="A63" s="633"/>
      <c r="B63" s="648"/>
      <c r="C63" s="633"/>
      <c r="E63" s="633"/>
      <c r="F63" s="648"/>
      <c r="G63" s="633"/>
    </row>
    <row r="64" spans="1:7" ht="15.75" hidden="1" customHeight="1">
      <c r="A64" s="633"/>
      <c r="B64" s="648"/>
      <c r="C64" s="633"/>
      <c r="E64" s="633"/>
      <c r="F64" s="648"/>
      <c r="G64" s="633"/>
    </row>
    <row r="65" spans="1:7" ht="15.75" hidden="1" customHeight="1">
      <c r="A65" s="633"/>
      <c r="B65" s="648"/>
      <c r="C65" s="633"/>
      <c r="E65" s="633"/>
      <c r="F65" s="648"/>
      <c r="G65" s="633"/>
    </row>
    <row r="66" spans="1:7" ht="15.75" hidden="1" customHeight="1">
      <c r="A66" s="633"/>
      <c r="B66" s="648"/>
      <c r="C66" s="633"/>
      <c r="E66" s="633"/>
      <c r="F66" s="648"/>
      <c r="G66" s="633"/>
    </row>
    <row r="67" spans="1:7" ht="15.75" hidden="1" customHeight="1">
      <c r="A67" s="633"/>
      <c r="B67" s="648"/>
      <c r="C67" s="633"/>
      <c r="E67" s="633"/>
      <c r="F67" s="648"/>
      <c r="G67" s="633"/>
    </row>
    <row r="68" spans="1:7" ht="15.75" hidden="1" customHeight="1">
      <c r="A68" s="633"/>
      <c r="B68" s="648"/>
      <c r="C68" s="633"/>
      <c r="E68" s="633"/>
      <c r="F68" s="648"/>
      <c r="G68" s="633"/>
    </row>
    <row r="69" spans="1:7" ht="15.75" customHeight="1"/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00FF00"/>
  </sheetPr>
  <dimension ref="A1:GV69"/>
  <sheetViews>
    <sheetView workbookViewId="0">
      <selection activeCell="B26" sqref="B26:B40"/>
    </sheetView>
  </sheetViews>
  <sheetFormatPr defaultColWidth="3" defaultRowHeight="15.75"/>
  <cols>
    <col min="1" max="1" width="45.7109375" style="629" bestFit="1" customWidth="1"/>
    <col min="2" max="2" width="18" style="634" bestFit="1" customWidth="1"/>
    <col min="3" max="3" width="2.85546875" style="629" bestFit="1" customWidth="1"/>
    <col min="4" max="4" width="2.5703125" style="629" customWidth="1"/>
    <col min="5" max="5" width="45.7109375" style="629" bestFit="1" customWidth="1"/>
    <col min="6" max="6" width="18" style="634" bestFit="1" customWidth="1"/>
    <col min="7" max="7" width="2.85546875" style="629" bestFit="1" customWidth="1"/>
    <col min="8" max="8" width="15.28515625" style="835" customWidth="1"/>
    <col min="9" max="9" width="8.140625" style="629" customWidth="1"/>
    <col min="10" max="195" width="8.7109375" style="629" customWidth="1"/>
    <col min="196" max="196" width="30.140625" style="629" customWidth="1"/>
    <col min="197" max="197" width="28.7109375" style="629" customWidth="1"/>
    <col min="198" max="198" width="4.5703125" style="629" customWidth="1"/>
    <col min="199" max="199" width="2.140625" style="629" customWidth="1"/>
    <col min="200" max="204" width="12.28515625" style="629" hidden="1" customWidth="1"/>
    <col min="205" max="205" width="0.42578125" style="629" customWidth="1"/>
    <col min="206" max="213" width="3.7109375" style="629" customWidth="1"/>
    <col min="214" max="214" width="0.42578125" style="629" customWidth="1"/>
    <col min="215" max="215" width="2.85546875" style="629" customWidth="1"/>
    <col min="216" max="222" width="3" style="629"/>
    <col min="223" max="223" width="0.42578125" style="629" customWidth="1"/>
    <col min="224" max="231" width="3" style="629"/>
    <col min="232" max="232" width="0.42578125" style="629" customWidth="1"/>
    <col min="233" max="238" width="3" style="629"/>
    <col min="239" max="239" width="3.140625" style="629" customWidth="1"/>
    <col min="240" max="240" width="3.5703125" style="629" customWidth="1"/>
    <col min="241" max="241" width="0.85546875" style="629" customWidth="1"/>
    <col min="242" max="248" width="3" style="629"/>
    <col min="249" max="249" width="0.42578125" style="629" customWidth="1"/>
    <col min="250" max="16384" width="3" style="629"/>
  </cols>
  <sheetData>
    <row r="1" spans="1:10">
      <c r="A1" s="626" t="s">
        <v>749</v>
      </c>
      <c r="B1" s="627"/>
      <c r="C1" s="628"/>
      <c r="E1" s="626" t="s">
        <v>748</v>
      </c>
      <c r="F1" s="627"/>
      <c r="G1" s="628"/>
    </row>
    <row r="2" spans="1:10" ht="16.5">
      <c r="A2" s="631" t="s">
        <v>0</v>
      </c>
      <c r="B2" s="624" t="s">
        <v>1</v>
      </c>
      <c r="C2" s="632" t="s">
        <v>2</v>
      </c>
      <c r="E2" s="631" t="s">
        <v>0</v>
      </c>
      <c r="F2" s="624" t="s">
        <v>1</v>
      </c>
      <c r="G2" s="632" t="s">
        <v>2</v>
      </c>
    </row>
    <row r="3" spans="1:10">
      <c r="A3" s="631"/>
      <c r="B3" s="624" t="s">
        <v>3</v>
      </c>
      <c r="C3" s="633"/>
      <c r="E3" s="631"/>
      <c r="F3" s="624" t="s">
        <v>3</v>
      </c>
      <c r="G3" s="633"/>
    </row>
    <row r="4" spans="1:10">
      <c r="A4" s="631" t="s">
        <v>4</v>
      </c>
      <c r="B4" s="625">
        <v>1</v>
      </c>
      <c r="C4" s="633"/>
      <c r="E4" s="631" t="s">
        <v>4</v>
      </c>
      <c r="F4" s="625">
        <v>1</v>
      </c>
      <c r="G4" s="633"/>
    </row>
    <row r="5" spans="1:10" ht="12.75" hidden="1" customHeight="1">
      <c r="C5" s="633"/>
      <c r="G5" s="633"/>
    </row>
    <row r="6" spans="1:10" ht="16.5">
      <c r="A6" s="635" t="s">
        <v>5</v>
      </c>
      <c r="B6" s="636">
        <v>115</v>
      </c>
      <c r="C6" s="633"/>
      <c r="E6" s="635" t="s">
        <v>5</v>
      </c>
      <c r="F6" s="636">
        <f>+B6</f>
        <v>115</v>
      </c>
      <c r="G6" s="633"/>
    </row>
    <row r="7" spans="1:10" ht="24" customHeight="1" thickBot="1">
      <c r="A7" s="637" t="s">
        <v>6</v>
      </c>
      <c r="B7" s="638" t="s">
        <v>7</v>
      </c>
      <c r="C7" s="633"/>
      <c r="E7" s="637" t="s">
        <v>6</v>
      </c>
      <c r="F7" s="638" t="s">
        <v>7</v>
      </c>
      <c r="G7" s="633"/>
      <c r="H7" s="903" t="s">
        <v>779</v>
      </c>
    </row>
    <row r="8" spans="1:10" ht="24" hidden="1" customHeight="1">
      <c r="A8" s="633" t="s">
        <v>8</v>
      </c>
      <c r="B8" s="641"/>
      <c r="C8" s="633"/>
      <c r="E8" s="633" t="s">
        <v>8</v>
      </c>
      <c r="F8" s="641"/>
      <c r="G8" s="633"/>
      <c r="H8" s="903"/>
    </row>
    <row r="9" spans="1:10" ht="24" hidden="1" customHeight="1">
      <c r="A9" s="633" t="s">
        <v>9</v>
      </c>
      <c r="B9" s="641"/>
      <c r="C9" s="633"/>
      <c r="E9" s="633" t="s">
        <v>9</v>
      </c>
      <c r="F9" s="641"/>
      <c r="G9" s="633"/>
      <c r="H9" s="903"/>
    </row>
    <row r="10" spans="1:10" ht="24" hidden="1" customHeight="1">
      <c r="A10" s="633" t="s">
        <v>93</v>
      </c>
      <c r="B10" s="641"/>
      <c r="C10" s="633"/>
      <c r="E10" s="633" t="s">
        <v>93</v>
      </c>
      <c r="F10" s="641"/>
      <c r="G10" s="633"/>
      <c r="H10" s="903"/>
    </row>
    <row r="11" spans="1:10" ht="24" hidden="1" customHeight="1">
      <c r="A11" s="633" t="s">
        <v>95</v>
      </c>
      <c r="B11" s="641"/>
      <c r="C11" s="633"/>
      <c r="E11" s="633" t="s">
        <v>95</v>
      </c>
      <c r="F11" s="641"/>
      <c r="G11" s="633"/>
      <c r="H11" s="903"/>
    </row>
    <row r="12" spans="1:10" ht="24" hidden="1" customHeight="1">
      <c r="A12" s="633"/>
      <c r="B12" s="641"/>
      <c r="C12" s="633"/>
      <c r="E12" s="633"/>
      <c r="F12" s="641"/>
      <c r="G12" s="633"/>
      <c r="H12" s="903"/>
    </row>
    <row r="13" spans="1:10" ht="24" hidden="1" customHeight="1">
      <c r="A13" s="643" t="s">
        <v>12</v>
      </c>
      <c r="B13" s="644"/>
      <c r="C13" s="643"/>
      <c r="D13" s="645"/>
      <c r="E13" s="643" t="s">
        <v>12</v>
      </c>
      <c r="F13" s="644"/>
      <c r="G13" s="633"/>
      <c r="H13" s="958"/>
      <c r="I13" s="647"/>
      <c r="J13" s="647"/>
    </row>
    <row r="14" spans="1:10" ht="24" hidden="1" customHeight="1">
      <c r="A14" s="643" t="s">
        <v>13</v>
      </c>
      <c r="B14" s="644"/>
      <c r="C14" s="643"/>
      <c r="D14" s="645"/>
      <c r="E14" s="643" t="s">
        <v>13</v>
      </c>
      <c r="F14" s="644"/>
      <c r="G14" s="633"/>
      <c r="H14" s="958"/>
      <c r="I14" s="647"/>
      <c r="J14" s="647"/>
    </row>
    <row r="15" spans="1:10" ht="24" hidden="1" customHeight="1">
      <c r="A15" s="643" t="s">
        <v>96</v>
      </c>
      <c r="B15" s="644"/>
      <c r="C15" s="643"/>
      <c r="D15" s="645"/>
      <c r="E15" s="643" t="s">
        <v>96</v>
      </c>
      <c r="F15" s="644"/>
      <c r="G15" s="633"/>
      <c r="H15" s="958"/>
      <c r="I15" s="647"/>
      <c r="J15" s="647"/>
    </row>
    <row r="16" spans="1:10" ht="24" hidden="1" customHeight="1">
      <c r="A16" s="633" t="s">
        <v>15</v>
      </c>
      <c r="B16" s="648">
        <v>0</v>
      </c>
      <c r="C16" s="633"/>
      <c r="D16" s="647"/>
      <c r="E16" s="633" t="s">
        <v>15</v>
      </c>
      <c r="F16" s="648">
        <v>0</v>
      </c>
      <c r="G16" s="633"/>
      <c r="H16" s="958"/>
      <c r="I16" s="647"/>
      <c r="J16" s="647"/>
    </row>
    <row r="17" spans="1:65" ht="24" hidden="1" customHeight="1">
      <c r="A17" s="633" t="s">
        <v>16</v>
      </c>
      <c r="B17" s="648">
        <v>0</v>
      </c>
      <c r="C17" s="633"/>
      <c r="D17" s="647"/>
      <c r="E17" s="633" t="s">
        <v>16</v>
      </c>
      <c r="F17" s="648">
        <v>0</v>
      </c>
      <c r="G17" s="633"/>
      <c r="H17" s="958"/>
      <c r="I17" s="647"/>
      <c r="J17" s="647"/>
    </row>
    <row r="18" spans="1:65" ht="24" hidden="1" customHeight="1">
      <c r="A18" s="633" t="s">
        <v>17</v>
      </c>
      <c r="B18" s="648"/>
      <c r="C18" s="633"/>
      <c r="D18" s="647"/>
      <c r="E18" s="633" t="s">
        <v>17</v>
      </c>
      <c r="F18" s="648"/>
      <c r="G18" s="633"/>
      <c r="H18" s="958"/>
      <c r="I18" s="647"/>
      <c r="J18" s="647"/>
    </row>
    <row r="19" spans="1:65" ht="24" hidden="1" customHeight="1">
      <c r="A19" s="633" t="s">
        <v>97</v>
      </c>
      <c r="B19" s="648"/>
      <c r="C19" s="633"/>
      <c r="E19" s="633" t="s">
        <v>97</v>
      </c>
      <c r="F19" s="648"/>
      <c r="G19" s="633"/>
      <c r="H19" s="950"/>
    </row>
    <row r="20" spans="1:65" ht="24" hidden="1" customHeight="1">
      <c r="A20" s="633" t="s">
        <v>19</v>
      </c>
      <c r="B20" s="648">
        <v>0</v>
      </c>
      <c r="C20" s="633"/>
      <c r="E20" s="633" t="s">
        <v>19</v>
      </c>
      <c r="F20" s="648">
        <v>0</v>
      </c>
      <c r="G20" s="633"/>
      <c r="H20" s="950"/>
    </row>
    <row r="21" spans="1:65" ht="24" hidden="1" customHeight="1">
      <c r="A21" s="633" t="s">
        <v>20</v>
      </c>
      <c r="B21" s="648">
        <v>0</v>
      </c>
      <c r="C21" s="633"/>
      <c r="E21" s="633" t="s">
        <v>20</v>
      </c>
      <c r="F21" s="648">
        <v>0</v>
      </c>
      <c r="G21" s="633"/>
      <c r="H21" s="950"/>
    </row>
    <row r="22" spans="1:65" ht="24" hidden="1" customHeight="1">
      <c r="A22" s="633"/>
      <c r="B22" s="648"/>
      <c r="C22" s="633"/>
      <c r="E22" s="633"/>
      <c r="F22" s="648"/>
      <c r="G22" s="633"/>
      <c r="H22" s="950"/>
    </row>
    <row r="23" spans="1:65" ht="8.25" hidden="1" customHeight="1">
      <c r="A23" s="643"/>
      <c r="B23" s="649"/>
      <c r="C23" s="650"/>
      <c r="D23" s="651"/>
      <c r="E23" s="643"/>
      <c r="F23" s="649"/>
      <c r="G23" s="650"/>
      <c r="H23" s="903"/>
    </row>
    <row r="24" spans="1:65" ht="16.5" hidden="1" customHeight="1">
      <c r="A24" s="643" t="s">
        <v>24</v>
      </c>
      <c r="B24" s="649"/>
      <c r="C24" s="633"/>
      <c r="D24" s="651"/>
      <c r="E24" s="643" t="s">
        <v>24</v>
      </c>
      <c r="F24" s="649"/>
      <c r="G24" s="633"/>
      <c r="H24" s="950"/>
    </row>
    <row r="25" spans="1:65" ht="24" hidden="1" customHeight="1">
      <c r="A25" s="633" t="s">
        <v>25</v>
      </c>
      <c r="B25" s="793">
        <v>0</v>
      </c>
      <c r="C25" s="633"/>
      <c r="D25" s="651"/>
      <c r="E25" s="633" t="s">
        <v>25</v>
      </c>
      <c r="F25" s="793">
        <v>0</v>
      </c>
      <c r="G25" s="633"/>
      <c r="H25" s="903"/>
    </row>
    <row r="26" spans="1:65" ht="24" customHeight="1">
      <c r="A26" s="724" t="s">
        <v>26</v>
      </c>
      <c r="B26" s="725">
        <v>17560</v>
      </c>
      <c r="C26" s="653"/>
      <c r="E26" s="724" t="s">
        <v>26</v>
      </c>
      <c r="F26" s="725">
        <f>'115'!$B$30</f>
        <v>577867</v>
      </c>
      <c r="G26" s="654"/>
      <c r="H26" s="812">
        <f>F26-B26</f>
        <v>560307</v>
      </c>
    </row>
    <row r="27" spans="1:65" ht="24" customHeight="1">
      <c r="A27" s="724" t="s">
        <v>27</v>
      </c>
      <c r="B27" s="725">
        <v>78780.52</v>
      </c>
      <c r="C27" s="633"/>
      <c r="E27" s="724" t="s">
        <v>27</v>
      </c>
      <c r="F27" s="725">
        <f>'115'!$B$31</f>
        <v>433033.96</v>
      </c>
      <c r="G27" s="639"/>
      <c r="H27" s="813">
        <f>F27-B27</f>
        <v>354253.44</v>
      </c>
    </row>
    <row r="28" spans="1:65" ht="24" hidden="1" customHeight="1">
      <c r="A28" s="651"/>
      <c r="B28" s="788">
        <v>78780.52</v>
      </c>
      <c r="C28" s="657"/>
      <c r="E28" s="651" t="s">
        <v>28</v>
      </c>
      <c r="F28" s="788">
        <f>F27</f>
        <v>433033.96</v>
      </c>
      <c r="G28" s="658"/>
      <c r="H28" s="814"/>
      <c r="BE28" s="659"/>
      <c r="BF28" s="647"/>
      <c r="BG28" s="647"/>
      <c r="BH28" s="647"/>
      <c r="BI28" s="647"/>
      <c r="BJ28" s="647"/>
      <c r="BK28" s="647"/>
      <c r="BL28" s="647"/>
      <c r="BM28" s="647"/>
    </row>
    <row r="29" spans="1:65" ht="24" hidden="1" customHeight="1">
      <c r="A29" s="633" t="s">
        <v>29</v>
      </c>
      <c r="B29" s="789"/>
      <c r="C29" s="657"/>
      <c r="E29" s="633" t="s">
        <v>29</v>
      </c>
      <c r="F29" s="789"/>
      <c r="G29" s="658"/>
      <c r="H29" s="814"/>
    </row>
    <row r="30" spans="1:65" ht="24" hidden="1" customHeight="1">
      <c r="A30" s="633" t="s">
        <v>30</v>
      </c>
      <c r="B30" s="789">
        <v>0</v>
      </c>
      <c r="C30" s="633"/>
      <c r="E30" s="633" t="s">
        <v>30</v>
      </c>
      <c r="F30" s="789">
        <v>0</v>
      </c>
      <c r="G30" s="639"/>
      <c r="H30" s="814"/>
    </row>
    <row r="31" spans="1:65" ht="24" hidden="1" customHeight="1">
      <c r="A31" s="633" t="s">
        <v>35</v>
      </c>
      <c r="B31" s="789">
        <v>0</v>
      </c>
      <c r="C31" s="633"/>
      <c r="E31" s="633" t="s">
        <v>35</v>
      </c>
      <c r="F31" s="789">
        <v>0</v>
      </c>
      <c r="G31" s="639"/>
      <c r="H31" s="814"/>
    </row>
    <row r="32" spans="1:65" ht="24" hidden="1" customHeight="1">
      <c r="A32" s="633" t="s">
        <v>36</v>
      </c>
      <c r="B32" s="789">
        <v>0</v>
      </c>
      <c r="C32" s="633"/>
      <c r="E32" s="633" t="s">
        <v>36</v>
      </c>
      <c r="F32" s="789">
        <v>0</v>
      </c>
      <c r="G32" s="639"/>
      <c r="H32" s="814">
        <f>+H26+H27-H39</f>
        <v>149952.82999999996</v>
      </c>
    </row>
    <row r="33" spans="1:65" ht="24" customHeight="1">
      <c r="A33" s="643" t="s">
        <v>37</v>
      </c>
      <c r="B33" s="790"/>
      <c r="C33" s="633"/>
      <c r="D33" s="651"/>
      <c r="E33" s="643" t="s">
        <v>37</v>
      </c>
      <c r="F33" s="790"/>
      <c r="G33" s="639"/>
      <c r="H33" s="814">
        <f>+H26+H27-H36-H39</f>
        <v>149952.81999999995</v>
      </c>
    </row>
    <row r="34" spans="1:65" ht="24" customHeight="1">
      <c r="A34" s="633" t="s">
        <v>38</v>
      </c>
      <c r="B34" s="791">
        <v>0</v>
      </c>
      <c r="C34" s="653"/>
      <c r="E34" s="633" t="s">
        <v>38</v>
      </c>
      <c r="F34" s="791">
        <v>0</v>
      </c>
      <c r="G34" s="654"/>
      <c r="H34" s="814"/>
    </row>
    <row r="35" spans="1:65" ht="24" customHeight="1">
      <c r="A35" s="724" t="s">
        <v>39</v>
      </c>
      <c r="B35" s="725">
        <v>21737</v>
      </c>
      <c r="C35" s="633"/>
      <c r="E35" s="724" t="s">
        <v>39</v>
      </c>
      <c r="F35" s="725">
        <f>'115'!$B$43</f>
        <v>76337</v>
      </c>
      <c r="G35" s="639"/>
      <c r="H35" s="813">
        <f>F35-B35</f>
        <v>54600</v>
      </c>
      <c r="BE35" s="659"/>
      <c r="BF35" s="647"/>
      <c r="BG35" s="647"/>
      <c r="BH35" s="647"/>
      <c r="BI35" s="647"/>
      <c r="BJ35" s="647"/>
      <c r="BK35" s="647"/>
      <c r="BL35" s="647"/>
      <c r="BM35" s="647"/>
    </row>
    <row r="36" spans="1:65" ht="24" customHeight="1">
      <c r="A36" s="724" t="s">
        <v>40</v>
      </c>
      <c r="B36" s="725">
        <v>0</v>
      </c>
      <c r="C36" s="633"/>
      <c r="E36" s="724" t="s">
        <v>40</v>
      </c>
      <c r="F36" s="725">
        <f>'115'!B44</f>
        <v>0.01</v>
      </c>
      <c r="G36" s="639"/>
      <c r="H36" s="813">
        <f>F36-B36</f>
        <v>0.01</v>
      </c>
      <c r="BE36" s="647"/>
      <c r="BF36" s="647"/>
      <c r="BG36" s="647"/>
      <c r="BH36" s="647"/>
      <c r="BI36" s="647"/>
      <c r="BJ36" s="647"/>
      <c r="BK36" s="647"/>
      <c r="BL36" s="647"/>
      <c r="BM36" s="647"/>
    </row>
    <row r="37" spans="1:65" ht="16.5">
      <c r="A37" s="661" t="s">
        <v>41</v>
      </c>
      <c r="B37" s="792">
        <v>0</v>
      </c>
      <c r="C37" s="662"/>
      <c r="E37" s="661" t="s">
        <v>41</v>
      </c>
      <c r="F37" s="792">
        <v>0</v>
      </c>
      <c r="G37" s="663"/>
      <c r="H37" s="814"/>
    </row>
    <row r="38" spans="1:65" ht="24" customHeight="1">
      <c r="A38" s="633" t="s">
        <v>43</v>
      </c>
      <c r="B38" s="793">
        <v>0</v>
      </c>
      <c r="C38" s="633"/>
      <c r="E38" s="633" t="s">
        <v>43</v>
      </c>
      <c r="F38" s="793">
        <v>0</v>
      </c>
      <c r="G38" s="639"/>
      <c r="H38" s="814"/>
    </row>
    <row r="39" spans="1:65" ht="24" customHeight="1">
      <c r="A39" s="724" t="s">
        <v>44</v>
      </c>
      <c r="B39" s="725">
        <v>52906.47</v>
      </c>
      <c r="C39" s="633"/>
      <c r="E39" s="724" t="s">
        <v>44</v>
      </c>
      <c r="F39" s="725">
        <f>'115'!$B$48</f>
        <v>817514.08</v>
      </c>
      <c r="G39" s="639"/>
      <c r="H39" s="813">
        <f>F39-B39</f>
        <v>764607.61</v>
      </c>
    </row>
    <row r="40" spans="1:65" ht="24" customHeight="1" thickBot="1">
      <c r="A40" s="633" t="s">
        <v>45</v>
      </c>
      <c r="B40" s="725">
        <v>52906.47</v>
      </c>
      <c r="C40" s="664"/>
      <c r="D40" s="665"/>
      <c r="E40" s="633" t="s">
        <v>45</v>
      </c>
      <c r="F40" s="725">
        <f>F39</f>
        <v>817514.08</v>
      </c>
      <c r="G40" s="666"/>
      <c r="H40" s="953"/>
    </row>
    <row r="41" spans="1:65" ht="24" hidden="1" customHeight="1">
      <c r="A41" s="633" t="s">
        <v>46</v>
      </c>
      <c r="B41" s="648">
        <v>0</v>
      </c>
      <c r="C41" s="633"/>
      <c r="E41" s="633" t="s">
        <v>46</v>
      </c>
      <c r="F41" s="668">
        <v>0</v>
      </c>
      <c r="G41" s="633"/>
    </row>
    <row r="42" spans="1:65" ht="24" hidden="1" customHeight="1">
      <c r="A42" s="633" t="s">
        <v>47</v>
      </c>
      <c r="B42" s="648">
        <v>0</v>
      </c>
      <c r="C42" s="633"/>
      <c r="E42" s="633" t="s">
        <v>47</v>
      </c>
      <c r="F42" s="648">
        <v>0</v>
      </c>
      <c r="G42" s="633"/>
    </row>
    <row r="43" spans="1:65" ht="8.25" hidden="1" customHeight="1">
      <c r="A43" s="643"/>
      <c r="B43" s="649">
        <v>0</v>
      </c>
      <c r="C43" s="650"/>
      <c r="D43" s="651"/>
      <c r="E43" s="643"/>
      <c r="F43" s="649">
        <v>0</v>
      </c>
      <c r="G43" s="650"/>
    </row>
    <row r="44" spans="1:65" ht="24" hidden="1" customHeight="1">
      <c r="A44" s="643" t="s">
        <v>48</v>
      </c>
      <c r="B44" s="644"/>
      <c r="C44" s="633"/>
      <c r="E44" s="643" t="s">
        <v>48</v>
      </c>
      <c r="F44" s="644"/>
      <c r="G44" s="633"/>
    </row>
    <row r="45" spans="1:65" ht="24" hidden="1" customHeight="1">
      <c r="A45" s="633"/>
      <c r="B45" s="648">
        <v>0</v>
      </c>
      <c r="C45" s="633"/>
      <c r="E45" s="633"/>
      <c r="F45" s="648">
        <v>0</v>
      </c>
      <c r="G45" s="633"/>
    </row>
    <row r="46" spans="1:65" ht="24" hidden="1" customHeight="1">
      <c r="A46" s="633" t="s">
        <v>49</v>
      </c>
      <c r="B46" s="648">
        <v>0</v>
      </c>
      <c r="C46" s="633"/>
      <c r="E46" s="633" t="s">
        <v>49</v>
      </c>
      <c r="F46" s="648">
        <f>F49</f>
        <v>0</v>
      </c>
      <c r="G46" s="633"/>
    </row>
    <row r="47" spans="1:65" ht="24" hidden="1" customHeight="1">
      <c r="A47" s="633" t="s">
        <v>50</v>
      </c>
      <c r="B47" s="648">
        <v>0</v>
      </c>
      <c r="C47" s="633"/>
      <c r="E47" s="633" t="s">
        <v>50</v>
      </c>
      <c r="F47" s="648">
        <v>0</v>
      </c>
      <c r="G47" s="633"/>
    </row>
    <row r="48" spans="1:65" ht="24" hidden="1" customHeight="1">
      <c r="A48" s="633" t="s">
        <v>51</v>
      </c>
      <c r="B48" s="648">
        <v>0</v>
      </c>
      <c r="C48" s="633"/>
      <c r="E48" s="633" t="s">
        <v>51</v>
      </c>
      <c r="F48" s="648">
        <v>0</v>
      </c>
      <c r="G48" s="633"/>
    </row>
    <row r="49" spans="1:7" ht="24" hidden="1" customHeight="1">
      <c r="A49" s="633"/>
      <c r="B49" s="648">
        <v>0</v>
      </c>
      <c r="C49" s="633"/>
      <c r="E49" s="633"/>
      <c r="F49" s="648">
        <v>0</v>
      </c>
      <c r="G49" s="633"/>
    </row>
    <row r="50" spans="1:7" ht="24" hidden="1" customHeight="1">
      <c r="A50" s="633" t="s">
        <v>52</v>
      </c>
      <c r="B50" s="648">
        <v>0</v>
      </c>
      <c r="C50" s="633"/>
      <c r="E50" s="633" t="s">
        <v>52</v>
      </c>
      <c r="F50" s="648">
        <v>0</v>
      </c>
      <c r="G50" s="633"/>
    </row>
    <row r="51" spans="1:7" ht="24" hidden="1" customHeight="1">
      <c r="A51" s="633" t="s">
        <v>53</v>
      </c>
      <c r="B51" s="648">
        <v>0</v>
      </c>
      <c r="C51" s="633"/>
      <c r="E51" s="633" t="s">
        <v>53</v>
      </c>
      <c r="F51" s="648">
        <v>0</v>
      </c>
      <c r="G51" s="633"/>
    </row>
    <row r="52" spans="1:7" ht="24" hidden="1" customHeight="1">
      <c r="A52" s="633" t="s">
        <v>54</v>
      </c>
      <c r="B52" s="648">
        <v>0</v>
      </c>
      <c r="C52" s="633"/>
      <c r="E52" s="633" t="s">
        <v>54</v>
      </c>
      <c r="F52" s="648">
        <v>0</v>
      </c>
      <c r="G52" s="633"/>
    </row>
    <row r="53" spans="1:7" ht="24" hidden="1" customHeight="1">
      <c r="A53" s="633" t="s">
        <v>55</v>
      </c>
      <c r="B53" s="648">
        <v>0</v>
      </c>
      <c r="C53" s="633"/>
      <c r="E53" s="633" t="s">
        <v>55</v>
      </c>
      <c r="F53" s="648">
        <v>0</v>
      </c>
      <c r="G53" s="633"/>
    </row>
    <row r="54" spans="1:7" ht="24" hidden="1" customHeight="1">
      <c r="A54" s="633" t="s">
        <v>56</v>
      </c>
      <c r="B54" s="648">
        <v>0</v>
      </c>
      <c r="C54" s="633"/>
      <c r="E54" s="633" t="s">
        <v>56</v>
      </c>
      <c r="F54" s="648">
        <v>0</v>
      </c>
      <c r="G54" s="633"/>
    </row>
    <row r="55" spans="1:7" ht="24" hidden="1" customHeight="1">
      <c r="A55" s="633" t="s">
        <v>57</v>
      </c>
      <c r="B55" s="648">
        <v>0</v>
      </c>
      <c r="C55" s="633"/>
      <c r="E55" s="633" t="s">
        <v>57</v>
      </c>
      <c r="F55" s="648">
        <v>0</v>
      </c>
      <c r="G55" s="633"/>
    </row>
    <row r="56" spans="1:7" ht="24" hidden="1" customHeight="1">
      <c r="A56" s="633"/>
      <c r="B56" s="648">
        <v>0</v>
      </c>
      <c r="C56" s="633"/>
      <c r="E56" s="633"/>
      <c r="F56" s="648">
        <v>0</v>
      </c>
      <c r="G56" s="633"/>
    </row>
    <row r="57" spans="1:7" ht="24" hidden="1" customHeight="1">
      <c r="A57" s="633" t="s">
        <v>58</v>
      </c>
      <c r="B57" s="648">
        <v>0</v>
      </c>
      <c r="C57" s="633"/>
      <c r="E57" s="633" t="s">
        <v>58</v>
      </c>
      <c r="F57" s="648">
        <v>0</v>
      </c>
      <c r="G57" s="633"/>
    </row>
    <row r="58" spans="1:7" ht="24" hidden="1" customHeight="1">
      <c r="A58" s="633" t="s">
        <v>59</v>
      </c>
      <c r="B58" s="669"/>
      <c r="C58" s="633"/>
      <c r="E58" s="633" t="s">
        <v>59</v>
      </c>
      <c r="F58" s="669"/>
      <c r="G58" s="633"/>
    </row>
    <row r="59" spans="1:7" ht="24" hidden="1" customHeight="1">
      <c r="A59" s="633" t="s">
        <v>60</v>
      </c>
      <c r="B59" s="669"/>
      <c r="C59" s="633"/>
      <c r="E59" s="633" t="s">
        <v>60</v>
      </c>
      <c r="F59" s="669"/>
      <c r="G59" s="633"/>
    </row>
    <row r="60" spans="1:7" ht="24" hidden="1" customHeight="1">
      <c r="A60" s="633" t="s">
        <v>61</v>
      </c>
      <c r="B60" s="669"/>
      <c r="C60" s="633"/>
      <c r="E60" s="633" t="s">
        <v>61</v>
      </c>
      <c r="F60" s="669"/>
      <c r="G60" s="633"/>
    </row>
    <row r="61" spans="1:7" ht="24" hidden="1" customHeight="1">
      <c r="A61" s="633" t="s">
        <v>103</v>
      </c>
      <c r="B61" s="669"/>
      <c r="C61" s="633"/>
      <c r="E61" s="633" t="s">
        <v>103</v>
      </c>
      <c r="F61" s="669"/>
      <c r="G61" s="633"/>
    </row>
    <row r="62" spans="1:7" ht="24" hidden="1" customHeight="1">
      <c r="A62" s="633"/>
      <c r="B62" s="669"/>
      <c r="C62" s="633"/>
      <c r="E62" s="633"/>
      <c r="F62" s="669"/>
      <c r="G62" s="633"/>
    </row>
    <row r="63" spans="1:7" ht="24" hidden="1" customHeight="1">
      <c r="A63" s="633"/>
      <c r="B63" s="648"/>
      <c r="C63" s="633"/>
      <c r="E63" s="633"/>
      <c r="F63" s="648"/>
      <c r="G63" s="633"/>
    </row>
    <row r="64" spans="1:7" ht="24" hidden="1" customHeight="1">
      <c r="A64" s="633"/>
      <c r="B64" s="648"/>
      <c r="C64" s="633"/>
      <c r="E64" s="633"/>
      <c r="F64" s="648"/>
      <c r="G64" s="633"/>
    </row>
    <row r="65" spans="1:7" ht="24" hidden="1" customHeight="1">
      <c r="A65" s="633"/>
      <c r="B65" s="648"/>
      <c r="C65" s="633"/>
      <c r="E65" s="633"/>
      <c r="F65" s="648"/>
      <c r="G65" s="633"/>
    </row>
    <row r="66" spans="1:7" ht="24" hidden="1" customHeight="1">
      <c r="A66" s="633"/>
      <c r="B66" s="648"/>
      <c r="C66" s="633"/>
      <c r="E66" s="633"/>
      <c r="F66" s="648"/>
      <c r="G66" s="633"/>
    </row>
    <row r="67" spans="1:7" ht="24" hidden="1" customHeight="1">
      <c r="A67" s="633"/>
      <c r="B67" s="648"/>
      <c r="C67" s="633"/>
      <c r="E67" s="633"/>
      <c r="F67" s="648"/>
      <c r="G67" s="633"/>
    </row>
    <row r="68" spans="1:7" ht="24" hidden="1" customHeight="1">
      <c r="A68" s="633"/>
      <c r="B68" s="648"/>
      <c r="C68" s="633"/>
      <c r="E68" s="633"/>
      <c r="F68" s="648"/>
      <c r="G68" s="633"/>
    </row>
    <row r="69" spans="1:7" ht="15.75" customHeight="1"/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3:H14"/>
  <sheetViews>
    <sheetView workbookViewId="0">
      <selection activeCell="G33" sqref="G33"/>
    </sheetView>
  </sheetViews>
  <sheetFormatPr defaultColWidth="9.140625" defaultRowHeight="12"/>
  <cols>
    <col min="1" max="1" width="24.85546875" style="180" customWidth="1"/>
    <col min="2" max="2" width="15.140625" style="180" customWidth="1"/>
    <col min="3" max="3" width="9.28515625" style="180" customWidth="1"/>
    <col min="4" max="5" width="20.42578125" style="180" customWidth="1"/>
    <col min="6" max="6" width="19.42578125" style="180" customWidth="1"/>
    <col min="7" max="7" width="18.28515625" style="180" customWidth="1"/>
    <col min="8" max="8" width="18.140625" style="180" customWidth="1"/>
    <col min="9" max="256" width="11.42578125" style="180" customWidth="1"/>
    <col min="257" max="16384" width="9.140625" style="180"/>
  </cols>
  <sheetData>
    <row r="3" spans="1:8">
      <c r="A3" s="181" t="s">
        <v>410</v>
      </c>
      <c r="B3" s="181" t="s">
        <v>411</v>
      </c>
      <c r="C3" s="181" t="s">
        <v>412</v>
      </c>
      <c r="D3" s="182" t="s">
        <v>24</v>
      </c>
      <c r="E3" s="182" t="s">
        <v>37</v>
      </c>
      <c r="F3" s="182" t="s">
        <v>413</v>
      </c>
      <c r="G3" s="182"/>
    </row>
    <row r="4" spans="1:8">
      <c r="A4" s="183" t="s">
        <v>414</v>
      </c>
      <c r="B4" s="183" t="s">
        <v>415</v>
      </c>
      <c r="C4" s="183">
        <v>68</v>
      </c>
      <c r="D4" s="184">
        <f>'68'!B21</f>
        <v>7211</v>
      </c>
      <c r="E4" s="185">
        <f>'68'!B30</f>
        <v>4945.17</v>
      </c>
      <c r="F4" s="185"/>
      <c r="G4" s="185"/>
    </row>
    <row r="5" spans="1:8">
      <c r="A5" s="183" t="s">
        <v>416</v>
      </c>
      <c r="B5" s="183" t="s">
        <v>254</v>
      </c>
      <c r="C5" s="183">
        <v>76</v>
      </c>
      <c r="D5" s="186">
        <f>'76'!C7</f>
        <v>36000</v>
      </c>
      <c r="E5" s="185">
        <f>'76'!C16</f>
        <v>24006</v>
      </c>
      <c r="F5" s="185">
        <f>'76'!C103</f>
        <v>1385</v>
      </c>
      <c r="G5" s="185"/>
    </row>
    <row r="6" spans="1:8">
      <c r="A6" s="183" t="s">
        <v>416</v>
      </c>
      <c r="B6" s="183" t="s">
        <v>254</v>
      </c>
      <c r="C6" s="183">
        <v>77</v>
      </c>
      <c r="D6" s="186">
        <f>'77'!C9</f>
        <v>7415400</v>
      </c>
      <c r="E6" s="185">
        <f>'77'!C18</f>
        <v>6515685</v>
      </c>
      <c r="F6" s="185">
        <f>'77'!C105</f>
        <v>325835</v>
      </c>
      <c r="G6" s="185"/>
    </row>
    <row r="7" spans="1:8">
      <c r="A7" s="183" t="s">
        <v>416</v>
      </c>
      <c r="B7" s="183" t="s">
        <v>254</v>
      </c>
      <c r="C7" s="183">
        <v>78</v>
      </c>
      <c r="D7" s="186">
        <f>'78'!C9</f>
        <v>30000</v>
      </c>
      <c r="E7" s="185">
        <f>'78'!C18</f>
        <v>0</v>
      </c>
      <c r="F7" s="185">
        <f>'78'!C105</f>
        <v>846.5</v>
      </c>
      <c r="G7" s="185"/>
    </row>
    <row r="8" spans="1:8">
      <c r="A8" s="183" t="s">
        <v>416</v>
      </c>
      <c r="B8" s="183" t="s">
        <v>254</v>
      </c>
      <c r="C8" s="183">
        <v>79</v>
      </c>
      <c r="D8" s="186">
        <f>'79'!C9</f>
        <v>6000</v>
      </c>
      <c r="E8" s="185">
        <f>'79'!C18</f>
        <v>3005</v>
      </c>
      <c r="F8" s="185">
        <f>'79'!C105</f>
        <v>177.4</v>
      </c>
      <c r="G8" s="185"/>
    </row>
    <row r="9" spans="1:8">
      <c r="A9" s="183" t="s">
        <v>416</v>
      </c>
      <c r="B9" s="183" t="s">
        <v>254</v>
      </c>
      <c r="C9" s="183">
        <v>80</v>
      </c>
      <c r="D9" s="186">
        <f>'80'!C9</f>
        <v>1000</v>
      </c>
      <c r="E9" s="185">
        <f>'80'!C18</f>
        <v>0</v>
      </c>
      <c r="F9" s="185">
        <f>'80'!C105</f>
        <v>13.8</v>
      </c>
      <c r="G9" s="185"/>
    </row>
    <row r="10" spans="1:8" ht="12.75">
      <c r="A10" s="183" t="s">
        <v>416</v>
      </c>
      <c r="B10" s="183" t="s">
        <v>254</v>
      </c>
      <c r="C10" s="183">
        <v>81</v>
      </c>
      <c r="D10" s="186">
        <f>'81'!C9</f>
        <v>6000</v>
      </c>
      <c r="E10" s="185">
        <f>'81'!C18</f>
        <v>15000</v>
      </c>
      <c r="F10" s="185">
        <f>'81'!C105</f>
        <v>2773361</v>
      </c>
      <c r="G10" s="185"/>
      <c r="H10" s="187"/>
    </row>
    <row r="11" spans="1:8">
      <c r="A11" s="183" t="s">
        <v>416</v>
      </c>
      <c r="B11" s="183" t="s">
        <v>254</v>
      </c>
      <c r="C11" s="183">
        <v>82</v>
      </c>
      <c r="D11" s="186">
        <f>'82'!C9</f>
        <v>61700</v>
      </c>
      <c r="E11" s="185">
        <f>'82'!C18</f>
        <v>27010</v>
      </c>
      <c r="F11" s="185">
        <f>'82'!C105</f>
        <v>1867.6000000000001</v>
      </c>
      <c r="G11" s="185"/>
    </row>
    <row r="12" spans="1:8">
      <c r="A12" s="183"/>
      <c r="B12" s="183"/>
      <c r="C12" s="183"/>
      <c r="D12" s="186">
        <v>0</v>
      </c>
      <c r="E12" s="185">
        <v>0</v>
      </c>
      <c r="F12" s="185"/>
      <c r="G12" s="185"/>
    </row>
    <row r="13" spans="1:8">
      <c r="A13" s="183"/>
      <c r="B13" s="183"/>
      <c r="C13" s="183"/>
      <c r="D13" s="186">
        <v>0</v>
      </c>
      <c r="E13" s="185">
        <v>0</v>
      </c>
      <c r="F13" s="185"/>
      <c r="G13" s="185"/>
    </row>
    <row r="14" spans="1:8">
      <c r="E14" s="180">
        <v>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3:I14"/>
  <sheetViews>
    <sheetView workbookViewId="0">
      <selection activeCell="F4" sqref="F4:F13"/>
    </sheetView>
  </sheetViews>
  <sheetFormatPr defaultColWidth="9.140625" defaultRowHeight="12"/>
  <cols>
    <col min="1" max="1" width="24.85546875" style="180" customWidth="1"/>
    <col min="2" max="2" width="15.140625" style="180" customWidth="1"/>
    <col min="3" max="3" width="9.28515625" style="180" customWidth="1"/>
    <col min="4" max="4" width="20.42578125" style="180" customWidth="1"/>
    <col min="5" max="5" width="15.85546875" style="180" customWidth="1"/>
    <col min="6" max="6" width="20.42578125" style="180" customWidth="1"/>
    <col min="7" max="8" width="11.42578125" style="180" customWidth="1"/>
    <col min="9" max="9" width="18.140625" style="180" customWidth="1"/>
    <col min="10" max="256" width="11.42578125" style="180" customWidth="1"/>
    <col min="257" max="16384" width="9.140625" style="180"/>
  </cols>
  <sheetData>
    <row r="3" spans="1:9">
      <c r="A3" s="181" t="s">
        <v>410</v>
      </c>
      <c r="B3" s="181" t="s">
        <v>411</v>
      </c>
      <c r="C3" s="181" t="s">
        <v>412</v>
      </c>
      <c r="D3" s="181" t="s">
        <v>417</v>
      </c>
      <c r="E3" s="188" t="s">
        <v>418</v>
      </c>
      <c r="F3" s="189" t="s">
        <v>406</v>
      </c>
    </row>
    <row r="4" spans="1:9">
      <c r="A4" s="183" t="s">
        <v>658</v>
      </c>
      <c r="B4" s="183" t="s">
        <v>606</v>
      </c>
      <c r="C4" s="183">
        <v>44</v>
      </c>
      <c r="D4" s="190">
        <f>'44'!B27</f>
        <v>807524.11</v>
      </c>
      <c r="E4" s="185">
        <f>'44'!B24</f>
        <v>22381</v>
      </c>
      <c r="F4" s="191">
        <f>'44'!B25</f>
        <v>649557.94999999995</v>
      </c>
      <c r="G4" s="192"/>
      <c r="I4" s="193"/>
    </row>
    <row r="5" spans="1:9">
      <c r="A5" s="194" t="s">
        <v>658</v>
      </c>
      <c r="B5" s="194" t="s">
        <v>607</v>
      </c>
      <c r="C5" s="194">
        <v>45</v>
      </c>
      <c r="D5" s="195">
        <f>'45'!B26</f>
        <v>455309</v>
      </c>
      <c r="E5" s="196">
        <f>'45'!B24</f>
        <v>10371</v>
      </c>
      <c r="F5" s="197">
        <f>'45'!B25</f>
        <v>354054.78</v>
      </c>
      <c r="G5" s="192"/>
      <c r="I5" s="193"/>
    </row>
    <row r="6" spans="1:9">
      <c r="A6" s="183" t="s">
        <v>658</v>
      </c>
      <c r="B6" s="183" t="s">
        <v>659</v>
      </c>
      <c r="C6" s="183">
        <v>46</v>
      </c>
      <c r="D6" s="190">
        <f>'46'!B26</f>
        <v>760735</v>
      </c>
      <c r="E6" s="185">
        <f>'46'!B24</f>
        <v>18796</v>
      </c>
      <c r="F6" s="191">
        <f>'46'!B25</f>
        <v>597623.4</v>
      </c>
      <c r="G6" s="192"/>
      <c r="I6" s="193"/>
    </row>
    <row r="7" spans="1:9">
      <c r="A7" s="183" t="s">
        <v>658</v>
      </c>
      <c r="B7" s="183" t="s">
        <v>607</v>
      </c>
      <c r="C7" s="183">
        <v>47</v>
      </c>
      <c r="D7" s="190">
        <f>'47'!B27</f>
        <v>781505</v>
      </c>
      <c r="E7" s="185">
        <f>'47'!B24</f>
        <v>18796</v>
      </c>
      <c r="F7" s="191">
        <f>'47'!B25</f>
        <v>613981.31000000006</v>
      </c>
      <c r="G7" s="192"/>
      <c r="I7" s="192"/>
    </row>
    <row r="8" spans="1:9">
      <c r="A8" s="183" t="s">
        <v>416</v>
      </c>
      <c r="B8" s="183" t="s">
        <v>254</v>
      </c>
      <c r="C8" s="183">
        <v>76</v>
      </c>
      <c r="D8" s="186">
        <f>'76'!C9</f>
        <v>36000</v>
      </c>
      <c r="E8" s="185">
        <f>'76'!C10</f>
        <v>0</v>
      </c>
      <c r="F8" s="191">
        <f>'76'!C18</f>
        <v>24006</v>
      </c>
    </row>
    <row r="9" spans="1:9">
      <c r="A9" s="183" t="s">
        <v>416</v>
      </c>
      <c r="B9" s="183" t="s">
        <v>254</v>
      </c>
      <c r="C9" s="183">
        <v>78</v>
      </c>
      <c r="D9" s="186">
        <f>'78'!C11</f>
        <v>30000</v>
      </c>
      <c r="E9" s="185">
        <f>'78'!C12</f>
        <v>0</v>
      </c>
      <c r="F9" s="191">
        <f>'78'!C20</f>
        <v>0</v>
      </c>
    </row>
    <row r="10" spans="1:9">
      <c r="A10" s="183" t="s">
        <v>416</v>
      </c>
      <c r="B10" s="183" t="s">
        <v>254</v>
      </c>
      <c r="C10" s="183">
        <v>79</v>
      </c>
      <c r="D10" s="186">
        <f>'79'!C11</f>
        <v>6000</v>
      </c>
      <c r="E10" s="185">
        <f>'79'!C12</f>
        <v>0</v>
      </c>
      <c r="F10" s="191">
        <f>'79'!C20</f>
        <v>3005</v>
      </c>
    </row>
    <row r="11" spans="1:9">
      <c r="A11" s="183" t="s">
        <v>416</v>
      </c>
      <c r="B11" s="183" t="s">
        <v>254</v>
      </c>
      <c r="C11" s="183">
        <v>80</v>
      </c>
      <c r="D11" s="186">
        <f>'80'!C11</f>
        <v>1000</v>
      </c>
      <c r="E11" s="185">
        <f>'80'!C12</f>
        <v>0</v>
      </c>
      <c r="F11" s="191">
        <f>'80'!C20</f>
        <v>0</v>
      </c>
    </row>
    <row r="12" spans="1:9">
      <c r="A12" s="183" t="s">
        <v>416</v>
      </c>
      <c r="B12" s="183" t="s">
        <v>254</v>
      </c>
      <c r="C12" s="183">
        <v>81</v>
      </c>
      <c r="D12" s="186">
        <f>'81'!C11</f>
        <v>6000</v>
      </c>
      <c r="E12" s="185">
        <f>'81'!C12</f>
        <v>0</v>
      </c>
      <c r="F12" s="191">
        <f>'81'!C20</f>
        <v>15000</v>
      </c>
    </row>
    <row r="13" spans="1:9">
      <c r="A13" s="183" t="s">
        <v>416</v>
      </c>
      <c r="B13" s="183" t="s">
        <v>254</v>
      </c>
      <c r="C13" s="183">
        <v>82</v>
      </c>
      <c r="D13" s="186">
        <f>'82'!C11</f>
        <v>61700</v>
      </c>
      <c r="E13" s="185">
        <f>'82'!C12</f>
        <v>0</v>
      </c>
      <c r="F13" s="191">
        <f>'82'!C20</f>
        <v>27010</v>
      </c>
    </row>
    <row r="14" spans="1:9">
      <c r="A14" s="183"/>
      <c r="B14" s="183"/>
      <c r="C14" s="183"/>
      <c r="D14" s="186"/>
      <c r="E14" s="185"/>
      <c r="F14" s="191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3:AQ67"/>
  <sheetViews>
    <sheetView workbookViewId="0">
      <pane xSplit="3" ySplit="3" topLeftCell="D22" activePane="bottomRight" state="frozen"/>
      <selection pane="topRight" activeCell="D1" sqref="D1"/>
      <selection pane="bottomLeft" activeCell="A28" sqref="A28"/>
      <selection pane="bottomRight" activeCell="E11" sqref="E11"/>
    </sheetView>
  </sheetViews>
  <sheetFormatPr defaultColWidth="9.140625" defaultRowHeight="12"/>
  <cols>
    <col min="1" max="1" width="27.140625" style="180" customWidth="1"/>
    <col min="2" max="2" width="15.140625" style="180" customWidth="1"/>
    <col min="3" max="3" width="9.28515625" style="180" customWidth="1"/>
    <col min="4" max="6" width="20.42578125" style="180" customWidth="1"/>
    <col min="7" max="7" width="17" style="180" customWidth="1"/>
    <col min="8" max="8" width="19.42578125" style="180" customWidth="1"/>
    <col min="9" max="9" width="11.42578125" style="180" customWidth="1"/>
    <col min="10" max="10" width="18.5703125" style="180" customWidth="1"/>
    <col min="11" max="11" width="18.140625" style="180" customWidth="1"/>
    <col min="12" max="256" width="11.42578125" style="180" customWidth="1"/>
    <col min="257" max="16384" width="9.140625" style="180"/>
  </cols>
  <sheetData>
    <row r="3" spans="1:11" s="187" customFormat="1" ht="25.5">
      <c r="A3" s="198" t="s">
        <v>410</v>
      </c>
      <c r="B3" s="198" t="s">
        <v>411</v>
      </c>
      <c r="C3" s="198" t="s">
        <v>412</v>
      </c>
      <c r="D3" s="198" t="s">
        <v>417</v>
      </c>
      <c r="E3" s="199" t="s">
        <v>183</v>
      </c>
      <c r="F3" s="199" t="s">
        <v>44</v>
      </c>
      <c r="G3" s="200" t="s">
        <v>236</v>
      </c>
      <c r="H3" s="201" t="s">
        <v>421</v>
      </c>
    </row>
    <row r="4" spans="1:11">
      <c r="A4" s="202" t="s">
        <v>665</v>
      </c>
      <c r="B4" s="202" t="s">
        <v>111</v>
      </c>
      <c r="C4" s="203">
        <v>12</v>
      </c>
      <c r="D4" s="191">
        <f>+'12'!B18</f>
        <v>12817000</v>
      </c>
      <c r="E4" s="191">
        <f>'12'!B19</f>
        <v>8238799</v>
      </c>
      <c r="F4" s="191">
        <f>+'12'!B23</f>
        <v>18089540</v>
      </c>
      <c r="G4" s="191">
        <f>+'12'!B25</f>
        <v>0</v>
      </c>
      <c r="H4" s="191">
        <f>'12'!B24</f>
        <v>0</v>
      </c>
    </row>
    <row r="5" spans="1:11">
      <c r="A5" s="183" t="s">
        <v>600</v>
      </c>
      <c r="B5" s="183" t="s">
        <v>111</v>
      </c>
      <c r="C5" s="204">
        <v>13</v>
      </c>
      <c r="D5" s="191">
        <f>+'13'!B18</f>
        <v>4474000</v>
      </c>
      <c r="E5" s="191">
        <f>+'13'!B19</f>
        <v>2851465</v>
      </c>
      <c r="F5" s="191">
        <f>+'13'!B23</f>
        <v>5740981</v>
      </c>
      <c r="G5" s="191">
        <f>+'13'!B25</f>
        <v>23145</v>
      </c>
      <c r="H5" s="191">
        <f>'13'!B24</f>
        <v>317274</v>
      </c>
    </row>
    <row r="6" spans="1:11">
      <c r="A6" s="183" t="s">
        <v>603</v>
      </c>
      <c r="B6" s="183" t="s">
        <v>111</v>
      </c>
      <c r="C6" s="204">
        <v>14</v>
      </c>
      <c r="D6" s="191">
        <f>+'14'!B18</f>
        <v>958500</v>
      </c>
      <c r="E6" s="191">
        <f>+'14'!B19</f>
        <v>1093036</v>
      </c>
      <c r="F6" s="191">
        <f>+'14'!B23</f>
        <v>1631982</v>
      </c>
      <c r="G6" s="191">
        <f>+'14'!B25</f>
        <v>0</v>
      </c>
      <c r="H6" s="191">
        <f>'14'!B24</f>
        <v>58000</v>
      </c>
    </row>
    <row r="7" spans="1:11">
      <c r="A7" s="183" t="s">
        <v>223</v>
      </c>
      <c r="B7" s="183" t="s">
        <v>111</v>
      </c>
      <c r="C7" s="204">
        <v>15</v>
      </c>
      <c r="D7" s="191">
        <f>'15'!B28</f>
        <v>43701000</v>
      </c>
      <c r="E7" s="185">
        <f>+'15'!B19</f>
        <v>30956527</v>
      </c>
      <c r="F7" s="185">
        <f>+'15'!B23</f>
        <v>59208835</v>
      </c>
      <c r="G7" s="191">
        <f>'15'!B25</f>
        <v>0</v>
      </c>
      <c r="H7" s="191">
        <f>'15'!B24</f>
        <v>3130560</v>
      </c>
    </row>
    <row r="8" spans="1:11">
      <c r="A8" s="183" t="s">
        <v>601</v>
      </c>
      <c r="B8" s="183" t="s">
        <v>111</v>
      </c>
      <c r="C8" s="204">
        <v>16</v>
      </c>
      <c r="D8" s="191">
        <f>+'16'!B18</f>
        <v>7626350</v>
      </c>
      <c r="E8" s="185">
        <f>+'16'!B19</f>
        <v>5326092</v>
      </c>
      <c r="F8" s="185">
        <f>+'16'!B25</f>
        <v>10324218</v>
      </c>
      <c r="G8" s="191">
        <f>+'16'!B27</f>
        <v>20971</v>
      </c>
      <c r="H8" s="191">
        <f>'16'!B26</f>
        <v>674786</v>
      </c>
    </row>
    <row r="9" spans="1:11">
      <c r="A9" s="183" t="s">
        <v>605</v>
      </c>
      <c r="B9" s="183" t="s">
        <v>111</v>
      </c>
      <c r="C9" s="204">
        <v>27</v>
      </c>
      <c r="D9" s="191">
        <f>+'27'!B29</f>
        <v>14848500</v>
      </c>
      <c r="E9" s="185">
        <f>+'27'!B30</f>
        <v>7689801</v>
      </c>
      <c r="F9" s="185">
        <f>+'27'!B45</f>
        <v>16790158</v>
      </c>
      <c r="G9" s="191">
        <f>'27'!B51</f>
        <v>50898</v>
      </c>
      <c r="H9" s="191">
        <f>'27'!B55</f>
        <v>0</v>
      </c>
    </row>
    <row r="10" spans="1:11">
      <c r="A10" s="183" t="s">
        <v>363</v>
      </c>
      <c r="B10" s="183" t="s">
        <v>111</v>
      </c>
      <c r="C10" s="204">
        <v>28</v>
      </c>
      <c r="D10" s="191">
        <f>+'28'!B30</f>
        <v>3958300</v>
      </c>
      <c r="E10" s="185">
        <f>'28'!B19</f>
        <v>3490370</v>
      </c>
      <c r="F10" s="185">
        <f>'28'!B25</f>
        <v>6377433</v>
      </c>
      <c r="G10" s="191">
        <f>+'28'!B27</f>
        <v>83785</v>
      </c>
      <c r="H10" s="191">
        <f>'28'!B26</f>
        <v>80178</v>
      </c>
    </row>
    <row r="11" spans="1:11">
      <c r="A11" s="183" t="s">
        <v>422</v>
      </c>
      <c r="B11" s="183" t="s">
        <v>112</v>
      </c>
      <c r="C11" s="204">
        <v>34</v>
      </c>
      <c r="D11" s="191">
        <f>+'34'!B15</f>
        <v>0</v>
      </c>
      <c r="E11" s="185">
        <f>'34'!B43</f>
        <v>458712</v>
      </c>
      <c r="F11" s="185">
        <f>'34'!B46</f>
        <v>326923</v>
      </c>
      <c r="G11" s="191">
        <f>'34'!B12</f>
        <v>324</v>
      </c>
      <c r="H11" s="191">
        <f>'34'!B13</f>
        <v>64000</v>
      </c>
    </row>
    <row r="12" spans="1:11">
      <c r="A12" s="183" t="s">
        <v>422</v>
      </c>
      <c r="B12" s="183" t="s">
        <v>112</v>
      </c>
      <c r="C12" s="204" t="s">
        <v>423</v>
      </c>
      <c r="D12" s="185">
        <f>'35'!B15</f>
        <v>0</v>
      </c>
      <c r="E12" s="185">
        <f>'35'!B43</f>
        <v>222875</v>
      </c>
      <c r="F12" s="191">
        <f>'35'!B46</f>
        <v>126918</v>
      </c>
      <c r="G12" s="191">
        <f>'35'!B12</f>
        <v>0</v>
      </c>
      <c r="H12" s="205">
        <f>'35'!B13</f>
        <v>32000</v>
      </c>
    </row>
    <row r="13" spans="1:11">
      <c r="A13" s="183" t="s">
        <v>606</v>
      </c>
      <c r="B13" s="183" t="s">
        <v>606</v>
      </c>
      <c r="C13" s="204">
        <v>40</v>
      </c>
      <c r="D13" s="191">
        <f>+'40'!B26</f>
        <v>3116190</v>
      </c>
      <c r="E13" s="185">
        <f>+'40'!B27</f>
        <v>1379111.85</v>
      </c>
      <c r="F13" s="185">
        <f>+'40'!B45</f>
        <v>3663838.58</v>
      </c>
      <c r="G13" s="191">
        <f>'40'!B41</f>
        <v>2880.64</v>
      </c>
      <c r="H13" s="191">
        <f>+'40'!B40</f>
        <v>61188</v>
      </c>
    </row>
    <row r="14" spans="1:11">
      <c r="A14" s="183" t="s">
        <v>607</v>
      </c>
      <c r="B14" s="183" t="s">
        <v>607</v>
      </c>
      <c r="C14" s="204">
        <v>41</v>
      </c>
      <c r="D14" s="191">
        <f>+'41'!B25</f>
        <v>3199850</v>
      </c>
      <c r="E14" s="185">
        <f>+'41'!B26</f>
        <v>1285442.1399999999</v>
      </c>
      <c r="F14" s="185">
        <f>+'41'!B44</f>
        <v>3585414.42</v>
      </c>
      <c r="G14" s="191">
        <f>'41'!B39</f>
        <v>2515.5300000000002</v>
      </c>
      <c r="H14" s="191">
        <f>+'41'!B38</f>
        <v>32962</v>
      </c>
    </row>
    <row r="15" spans="1:11">
      <c r="A15" s="183" t="s">
        <v>659</v>
      </c>
      <c r="B15" s="183" t="s">
        <v>659</v>
      </c>
      <c r="C15" s="204">
        <v>42</v>
      </c>
      <c r="D15" s="191">
        <f>+'42'!B26</f>
        <v>3713170</v>
      </c>
      <c r="E15" s="185">
        <f>+'42'!B27</f>
        <v>1485892.55</v>
      </c>
      <c r="F15" s="185">
        <f>+'42'!B44</f>
        <v>4235966.4000000004</v>
      </c>
      <c r="G15" s="191">
        <f>'42'!B40</f>
        <v>4241.8599999999997</v>
      </c>
      <c r="H15" s="191">
        <f>+'42'!B39</f>
        <v>93850.5</v>
      </c>
      <c r="I15" s="192"/>
    </row>
    <row r="16" spans="1:11">
      <c r="A16" s="183" t="s">
        <v>607</v>
      </c>
      <c r="B16" s="183" t="s">
        <v>607</v>
      </c>
      <c r="C16" s="204">
        <v>43</v>
      </c>
      <c r="D16" s="191">
        <f>+'43'!B26</f>
        <v>3055780</v>
      </c>
      <c r="E16" s="185">
        <f>+'43'!B27</f>
        <v>1665674.65</v>
      </c>
      <c r="F16" s="185">
        <f>'43'!B44</f>
        <v>3725703.78</v>
      </c>
      <c r="G16" s="203">
        <f>'43'!B40</f>
        <v>2188.06</v>
      </c>
      <c r="H16" s="191">
        <f>+'43'!B39</f>
        <v>128850</v>
      </c>
      <c r="I16" s="192"/>
      <c r="K16" s="193"/>
    </row>
    <row r="17" spans="1:10">
      <c r="A17" s="183" t="s">
        <v>871</v>
      </c>
      <c r="B17" s="183" t="s">
        <v>428</v>
      </c>
      <c r="C17" s="204">
        <v>48</v>
      </c>
      <c r="D17" s="191">
        <f>+'50N'!B41</f>
        <v>19031</v>
      </c>
      <c r="E17" s="185">
        <f>'50N'!C23</f>
        <v>32781.64</v>
      </c>
      <c r="F17" s="185">
        <f>'50N'!B24</f>
        <v>49852.91</v>
      </c>
      <c r="G17" s="202"/>
      <c r="H17" s="191">
        <f>'50N'!B17</f>
        <v>0</v>
      </c>
    </row>
    <row r="18" spans="1:10">
      <c r="A18" s="183" t="s">
        <v>871</v>
      </c>
      <c r="B18" s="183" t="s">
        <v>428</v>
      </c>
      <c r="C18" s="204" t="s">
        <v>424</v>
      </c>
      <c r="D18" s="191">
        <f>+'49'!B42</f>
        <v>29136</v>
      </c>
      <c r="E18" s="185">
        <f>'49'!C24</f>
        <v>20997.730000000003</v>
      </c>
      <c r="F18" s="185">
        <f>+'49'!B25</f>
        <v>46732.05</v>
      </c>
      <c r="G18" s="191"/>
      <c r="H18" s="191">
        <f>+'49'!B18</f>
        <v>0</v>
      </c>
      <c r="J18" s="206">
        <f>+E17+D17</f>
        <v>51812.639999999999</v>
      </c>
    </row>
    <row r="19" spans="1:10">
      <c r="A19" s="183" t="s">
        <v>871</v>
      </c>
      <c r="B19" s="183" t="s">
        <v>428</v>
      </c>
      <c r="C19" s="204" t="s">
        <v>425</v>
      </c>
      <c r="D19" s="191">
        <f>+'50'!B41</f>
        <v>17292</v>
      </c>
      <c r="E19" s="185">
        <f>'50'!C23</f>
        <v>28857.309999999998</v>
      </c>
      <c r="F19" s="185">
        <f>+'50'!B24</f>
        <v>45499.81</v>
      </c>
      <c r="G19" s="191"/>
      <c r="H19" s="191">
        <f>'50'!B17</f>
        <v>0</v>
      </c>
      <c r="I19" s="192"/>
    </row>
    <row r="20" spans="1:10">
      <c r="A20" s="183" t="s">
        <v>426</v>
      </c>
      <c r="B20" s="183" t="s">
        <v>111</v>
      </c>
      <c r="C20" s="204">
        <v>54</v>
      </c>
      <c r="D20" s="185">
        <f>+'54'!B18</f>
        <v>204050</v>
      </c>
      <c r="E20" s="185">
        <f>'54'!B19</f>
        <v>196977</v>
      </c>
      <c r="F20" s="185">
        <f>'54'!B23</f>
        <v>360099</v>
      </c>
      <c r="G20" s="191">
        <f>'54'!B25</f>
        <v>585</v>
      </c>
      <c r="H20" s="191">
        <f>'54'!B24</f>
        <v>2924</v>
      </c>
    </row>
    <row r="21" spans="1:10" ht="12" customHeight="1">
      <c r="A21" s="183" t="s">
        <v>427</v>
      </c>
      <c r="B21" s="183" t="s">
        <v>428</v>
      </c>
      <c r="C21" s="204">
        <v>55</v>
      </c>
      <c r="D21" s="185">
        <f>+'55'!B41</f>
        <v>15326</v>
      </c>
      <c r="E21" s="185">
        <f>+'55'!C23</f>
        <v>71584.94</v>
      </c>
      <c r="F21" s="185">
        <f>+'55'!B24</f>
        <v>75371.179999999993</v>
      </c>
      <c r="G21" s="191">
        <v>0</v>
      </c>
      <c r="H21" s="191">
        <v>0</v>
      </c>
    </row>
    <row r="22" spans="1:10">
      <c r="A22" s="183" t="s">
        <v>332</v>
      </c>
      <c r="B22" s="183" t="s">
        <v>428</v>
      </c>
      <c r="C22" s="204" t="s">
        <v>429</v>
      </c>
      <c r="D22" s="185">
        <f>'57'!B41</f>
        <v>0</v>
      </c>
      <c r="E22" s="185">
        <f>'57'!C23</f>
        <v>1481.57</v>
      </c>
      <c r="F22" s="185">
        <f>'57'!B24</f>
        <v>1409.84</v>
      </c>
      <c r="G22" s="191">
        <v>0</v>
      </c>
      <c r="H22" s="205">
        <v>0</v>
      </c>
    </row>
    <row r="23" spans="1:10">
      <c r="A23" s="202" t="s">
        <v>430</v>
      </c>
      <c r="B23" s="183" t="s">
        <v>428</v>
      </c>
      <c r="C23" s="203">
        <v>91</v>
      </c>
      <c r="D23" s="185">
        <f>'91'!B10</f>
        <v>148748</v>
      </c>
      <c r="E23" s="185">
        <f>'91'!B12</f>
        <v>157813.96</v>
      </c>
      <c r="F23" s="191">
        <f>'91'!B18</f>
        <v>257514.77</v>
      </c>
      <c r="G23" s="191"/>
      <c r="H23" s="191"/>
    </row>
    <row r="24" spans="1:10">
      <c r="A24" s="202" t="s">
        <v>431</v>
      </c>
      <c r="B24" s="183" t="s">
        <v>428</v>
      </c>
      <c r="C24" s="203">
        <v>92</v>
      </c>
      <c r="D24" s="185">
        <f>'92'!B10</f>
        <v>127211</v>
      </c>
      <c r="E24" s="185">
        <f>'92'!B12</f>
        <v>111154.69</v>
      </c>
      <c r="F24" s="191">
        <f>'92'!B18</f>
        <v>186522.83</v>
      </c>
      <c r="G24" s="191"/>
      <c r="H24" s="191"/>
    </row>
    <row r="25" spans="1:10">
      <c r="A25" s="202" t="s">
        <v>432</v>
      </c>
      <c r="B25" s="183" t="s">
        <v>428</v>
      </c>
      <c r="C25" s="203">
        <v>93</v>
      </c>
      <c r="D25" s="185">
        <f>'93'!B10</f>
        <v>16373</v>
      </c>
      <c r="E25" s="185">
        <f>'93'!B12</f>
        <v>8373.77</v>
      </c>
      <c r="F25" s="191">
        <f>'93'!B18</f>
        <v>18943.38</v>
      </c>
      <c r="G25" s="191"/>
      <c r="H25" s="191"/>
    </row>
    <row r="26" spans="1:10">
      <c r="A26" s="202" t="s">
        <v>433</v>
      </c>
      <c r="B26" s="183" t="s">
        <v>428</v>
      </c>
      <c r="C26" s="203">
        <v>94</v>
      </c>
      <c r="D26" s="185">
        <f>'94'!B10</f>
        <v>25646</v>
      </c>
      <c r="E26" s="185">
        <f>'94'!B12</f>
        <v>25076.81</v>
      </c>
      <c r="F26" s="191">
        <f>'94'!B18</f>
        <v>43305.32</v>
      </c>
      <c r="G26" s="191"/>
      <c r="H26" s="191"/>
    </row>
    <row r="27" spans="1:10">
      <c r="A27" s="202"/>
      <c r="B27" s="183" t="s">
        <v>428</v>
      </c>
      <c r="C27" s="203" t="s">
        <v>434</v>
      </c>
      <c r="D27" s="185">
        <f>'95'!B10</f>
        <v>146458</v>
      </c>
      <c r="E27" s="185">
        <f>'95'!B12</f>
        <v>59733.71</v>
      </c>
      <c r="F27" s="191">
        <f>'95'!B21</f>
        <v>169686.99</v>
      </c>
      <c r="G27" s="191"/>
      <c r="H27" s="191"/>
    </row>
    <row r="28" spans="1:10">
      <c r="A28" s="207"/>
      <c r="B28" s="183" t="s">
        <v>435</v>
      </c>
      <c r="C28" s="208" t="s">
        <v>436</v>
      </c>
      <c r="D28" s="185">
        <f>'96'!B10</f>
        <v>87795</v>
      </c>
      <c r="E28" s="185">
        <f>'96'!B12</f>
        <v>137285.75</v>
      </c>
      <c r="F28" s="191">
        <f>'96'!B18</f>
        <v>180401.48</v>
      </c>
      <c r="G28" s="191"/>
      <c r="H28" s="191"/>
    </row>
    <row r="29" spans="1:10">
      <c r="A29" s="180" t="s">
        <v>437</v>
      </c>
      <c r="B29" s="202" t="s">
        <v>428</v>
      </c>
      <c r="C29" s="209">
        <v>101</v>
      </c>
      <c r="D29" s="186">
        <f>'101'!B11</f>
        <v>29577</v>
      </c>
      <c r="E29" s="210">
        <f>'101'!C23</f>
        <v>22107</v>
      </c>
      <c r="F29" s="186">
        <f>'101'!B24</f>
        <v>52870.52</v>
      </c>
      <c r="G29" s="210"/>
      <c r="H29" s="210"/>
    </row>
    <row r="30" spans="1:10">
      <c r="A30" s="180" t="s">
        <v>438</v>
      </c>
      <c r="B30" s="202" t="s">
        <v>428</v>
      </c>
      <c r="C30" s="209">
        <v>102</v>
      </c>
      <c r="D30" s="186">
        <f>'102'!B11</f>
        <v>51660</v>
      </c>
      <c r="E30" s="191">
        <f>'102'!C23</f>
        <v>51707.119999999995</v>
      </c>
      <c r="F30" s="186">
        <f>'102'!B24</f>
        <v>90041.14</v>
      </c>
      <c r="G30" s="191"/>
      <c r="H30" s="191"/>
    </row>
    <row r="31" spans="1:10">
      <c r="A31" s="180" t="s">
        <v>439</v>
      </c>
      <c r="B31" s="202" t="s">
        <v>428</v>
      </c>
      <c r="C31" s="209">
        <v>103</v>
      </c>
      <c r="D31" s="186">
        <v>2247</v>
      </c>
      <c r="E31" s="191">
        <v>10906.99</v>
      </c>
      <c r="F31" s="186">
        <v>9561.5499999999993</v>
      </c>
      <c r="G31" s="191"/>
      <c r="H31" s="191"/>
    </row>
    <row r="32" spans="1:10">
      <c r="A32" s="180" t="s">
        <v>440</v>
      </c>
      <c r="B32" s="202" t="s">
        <v>428</v>
      </c>
      <c r="C32" s="209">
        <v>59</v>
      </c>
      <c r="D32" s="186">
        <f>+'59'!B12</f>
        <v>0</v>
      </c>
      <c r="E32" s="191">
        <f>+'59'!B24</f>
        <v>3204.92</v>
      </c>
      <c r="F32" s="186">
        <f>+'59'!B25</f>
        <v>2701.1</v>
      </c>
      <c r="G32" s="191">
        <f>+'9'!B12</f>
        <v>0</v>
      </c>
      <c r="H32" s="191"/>
    </row>
    <row r="33" spans="1:43">
      <c r="A33" s="180" t="s">
        <v>441</v>
      </c>
      <c r="B33" s="202" t="s">
        <v>111</v>
      </c>
      <c r="C33" s="209">
        <v>18</v>
      </c>
      <c r="D33" s="186">
        <f>+'18'!B18</f>
        <v>130500</v>
      </c>
      <c r="E33" s="191">
        <f>+'18'!B19</f>
        <v>39783</v>
      </c>
      <c r="F33" s="186">
        <f>+'18'!B23</f>
        <v>143571</v>
      </c>
      <c r="G33" s="191">
        <f>'10'!B12</f>
        <v>0</v>
      </c>
      <c r="H33" s="191"/>
    </row>
    <row r="34" spans="1:43">
      <c r="A34" s="180" t="s">
        <v>602</v>
      </c>
      <c r="B34" s="202" t="s">
        <v>111</v>
      </c>
      <c r="C34" s="209">
        <v>17</v>
      </c>
      <c r="D34" s="186">
        <f>+'17'!B29</f>
        <v>347500</v>
      </c>
      <c r="E34" s="191">
        <f>+'17'!B19</f>
        <v>1239631</v>
      </c>
      <c r="F34" s="186">
        <f>+'17'!B23</f>
        <v>1290795</v>
      </c>
      <c r="G34" s="191">
        <f>+'17'!B25</f>
        <v>2917</v>
      </c>
      <c r="H34" s="191">
        <f>'17'!B24</f>
        <v>9476</v>
      </c>
    </row>
    <row r="35" spans="1:43">
      <c r="A35" s="180" t="s">
        <v>439</v>
      </c>
      <c r="B35" s="202" t="s">
        <v>428</v>
      </c>
      <c r="C35" s="209" t="s">
        <v>442</v>
      </c>
      <c r="D35" s="186">
        <f>'103'!B11</f>
        <v>5111</v>
      </c>
      <c r="E35" s="191">
        <f>'103'!C23</f>
        <v>4243.67</v>
      </c>
      <c r="F35" s="186">
        <f>'103'!B24</f>
        <v>7307.43</v>
      </c>
      <c r="G35" s="191"/>
      <c r="H35" s="191"/>
    </row>
    <row r="36" spans="1:43">
      <c r="A36" s="183" t="s">
        <v>443</v>
      </c>
      <c r="B36" s="183" t="s">
        <v>443</v>
      </c>
      <c r="C36" s="209">
        <v>111</v>
      </c>
      <c r="D36" s="186">
        <f>+'111'!B30</f>
        <v>1095813</v>
      </c>
      <c r="E36" s="191">
        <f>+'111'!B31</f>
        <v>737217.66</v>
      </c>
      <c r="F36" s="186">
        <f>+'111'!B48</f>
        <v>1327530.8400000001</v>
      </c>
      <c r="G36" s="191">
        <f>+'111'!B44</f>
        <v>326.72000000000003</v>
      </c>
      <c r="H36" s="191">
        <f>+'111'!B43</f>
        <v>95324.5</v>
      </c>
    </row>
    <row r="37" spans="1:43">
      <c r="A37" s="183" t="s">
        <v>443</v>
      </c>
      <c r="B37" s="183" t="s">
        <v>443</v>
      </c>
      <c r="C37" s="209">
        <v>112</v>
      </c>
      <c r="D37" s="186">
        <f>+'112'!B30</f>
        <v>851714</v>
      </c>
      <c r="E37" s="191">
        <f>+'112'!B31</f>
        <v>679874.32</v>
      </c>
      <c r="F37" s="186">
        <f>+'112'!B48</f>
        <v>1220538.45</v>
      </c>
      <c r="G37" s="191">
        <f>+'112'!B44</f>
        <v>547.89</v>
      </c>
      <c r="H37" s="191">
        <f>+'112'!B43</f>
        <v>76742.5</v>
      </c>
    </row>
    <row r="38" spans="1:43">
      <c r="A38" s="183" t="s">
        <v>443</v>
      </c>
      <c r="B38" s="183" t="s">
        <v>443</v>
      </c>
      <c r="C38" s="209">
        <v>113</v>
      </c>
      <c r="D38" s="186">
        <f>+'113'!B30</f>
        <v>977092</v>
      </c>
      <c r="E38" s="191">
        <f>+'113'!B31</f>
        <v>896713.58</v>
      </c>
      <c r="F38" s="186">
        <f>+'113'!B48</f>
        <v>1506133.09</v>
      </c>
      <c r="G38" s="191">
        <f>+'113'!B44</f>
        <v>1712.54</v>
      </c>
      <c r="H38" s="191">
        <f>+'113'!B43</f>
        <v>104337.5</v>
      </c>
    </row>
    <row r="39" spans="1:43">
      <c r="A39" s="183" t="s">
        <v>443</v>
      </c>
      <c r="B39" s="183" t="s">
        <v>443</v>
      </c>
      <c r="C39" s="209">
        <v>114</v>
      </c>
      <c r="D39" s="186">
        <f>+'114'!B30</f>
        <v>761401</v>
      </c>
      <c r="E39" s="211">
        <f>+'114'!B31</f>
        <v>347483.23</v>
      </c>
      <c r="F39" s="186">
        <f>+'114'!B48</f>
        <v>832666.04</v>
      </c>
      <c r="G39" s="211">
        <f>+'114'!B44</f>
        <v>107.98</v>
      </c>
      <c r="H39" s="211">
        <f>+'114'!B43</f>
        <v>30224</v>
      </c>
    </row>
    <row r="40" spans="1:43">
      <c r="A40" s="183" t="s">
        <v>443</v>
      </c>
      <c r="B40" s="183" t="s">
        <v>443</v>
      </c>
      <c r="C40" s="208">
        <v>115</v>
      </c>
      <c r="D40" s="191">
        <f>+'115'!B30</f>
        <v>577867</v>
      </c>
      <c r="E40" s="185">
        <f>+'115'!B31</f>
        <v>433033.96</v>
      </c>
      <c r="F40" s="185">
        <f>+'115'!B48</f>
        <v>817514.08</v>
      </c>
      <c r="G40" s="191">
        <f>+'115'!B44</f>
        <v>0.01</v>
      </c>
      <c r="H40" s="191">
        <f>+'115'!B43</f>
        <v>76337</v>
      </c>
    </row>
    <row r="41" spans="1:43" s="212" customFormat="1">
      <c r="A41" s="183" t="s">
        <v>443</v>
      </c>
      <c r="B41" s="183" t="s">
        <v>443</v>
      </c>
      <c r="C41" s="204">
        <v>116</v>
      </c>
      <c r="D41" s="191">
        <f>+'116'!B30</f>
        <v>1482958</v>
      </c>
      <c r="E41" s="185">
        <f>+'116'!B31</f>
        <v>1007751.87</v>
      </c>
      <c r="F41" s="185">
        <f>+'116'!B48</f>
        <v>2017659.26</v>
      </c>
      <c r="G41" s="191">
        <f>+'116'!B44</f>
        <v>303.44</v>
      </c>
      <c r="H41" s="191">
        <f>+'116'!B43</f>
        <v>138284.6</v>
      </c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</row>
    <row r="42" spans="1:43">
      <c r="A42" s="183" t="s">
        <v>443</v>
      </c>
      <c r="B42" s="183" t="s">
        <v>443</v>
      </c>
      <c r="C42" s="204">
        <v>117</v>
      </c>
      <c r="D42" s="191">
        <f>+'117'!B30</f>
        <v>1118490</v>
      </c>
      <c r="E42" s="185">
        <f>+'117'!B31</f>
        <v>820756.05</v>
      </c>
      <c r="F42" s="185">
        <f>+'117'!B48</f>
        <v>1521699.08</v>
      </c>
      <c r="G42" s="191">
        <f>+'117'!B44</f>
        <v>1090.3699999999999</v>
      </c>
      <c r="H42" s="191">
        <f>+'117'!B43</f>
        <v>102028</v>
      </c>
    </row>
    <row r="43" spans="1:43">
      <c r="A43" s="183" t="s">
        <v>443</v>
      </c>
      <c r="B43" s="183" t="s">
        <v>443</v>
      </c>
      <c r="C43" s="204">
        <v>118</v>
      </c>
      <c r="D43" s="185">
        <f>+'118'!B30</f>
        <v>787854</v>
      </c>
      <c r="E43" s="185">
        <f>+'118'!B31</f>
        <v>526712.81000000006</v>
      </c>
      <c r="F43" s="191">
        <f>+'118'!B48</f>
        <v>1020193.84</v>
      </c>
      <c r="G43" s="191">
        <f>+'118'!B44</f>
        <v>1121.48</v>
      </c>
      <c r="H43" s="205">
        <f>+'118'!B43</f>
        <v>131182</v>
      </c>
    </row>
    <row r="44" spans="1:43">
      <c r="A44" s="183" t="s">
        <v>443</v>
      </c>
      <c r="B44" s="183" t="s">
        <v>443</v>
      </c>
      <c r="C44" s="204">
        <v>119</v>
      </c>
      <c r="D44" s="191">
        <f>+'119'!B30</f>
        <v>583315</v>
      </c>
      <c r="E44" s="185">
        <f>+'119'!B31</f>
        <v>359073.09</v>
      </c>
      <c r="F44" s="185">
        <f>+'119'!B48</f>
        <v>677121.73</v>
      </c>
      <c r="G44" s="191">
        <f>+'119'!B44</f>
        <v>10.26</v>
      </c>
      <c r="H44" s="191">
        <f>+'119'!B43</f>
        <v>106830</v>
      </c>
      <c r="I44" s="192"/>
    </row>
    <row r="45" spans="1:43">
      <c r="A45" s="183" t="s">
        <v>443</v>
      </c>
      <c r="B45" s="183" t="s">
        <v>443</v>
      </c>
      <c r="C45" s="204">
        <v>120</v>
      </c>
      <c r="D45" s="191">
        <f>+'120'!B30</f>
        <v>687432</v>
      </c>
      <c r="E45" s="185">
        <f>+'120'!B31</f>
        <v>391278.05</v>
      </c>
      <c r="F45" s="185">
        <f>+'120'!B48</f>
        <v>837849.06</v>
      </c>
      <c r="G45" s="191">
        <f>+'120'!B44</f>
        <v>55.3</v>
      </c>
      <c r="H45" s="191">
        <f>+'120'!B43</f>
        <v>57551</v>
      </c>
    </row>
    <row r="46" spans="1:43">
      <c r="A46" s="183"/>
      <c r="B46" s="183"/>
      <c r="C46" s="204"/>
      <c r="D46" s="185"/>
      <c r="E46" s="185"/>
      <c r="F46" s="185"/>
      <c r="G46" s="191"/>
      <c r="H46" s="191"/>
    </row>
    <row r="47" spans="1:43">
      <c r="A47" s="183"/>
      <c r="B47" s="183"/>
      <c r="C47" s="204"/>
      <c r="D47" s="185"/>
      <c r="E47" s="185"/>
      <c r="F47" s="185"/>
      <c r="G47" s="191"/>
      <c r="H47" s="191"/>
    </row>
    <row r="48" spans="1:43">
      <c r="A48" s="183"/>
      <c r="B48" s="183"/>
      <c r="C48" s="204"/>
      <c r="D48" s="185"/>
      <c r="E48" s="185"/>
      <c r="F48" s="185"/>
      <c r="G48" s="191"/>
      <c r="H48" s="205"/>
    </row>
    <row r="49" spans="1:43">
      <c r="A49" s="183"/>
      <c r="B49" s="183"/>
      <c r="C49" s="204"/>
      <c r="D49" s="185"/>
      <c r="E49" s="185"/>
      <c r="F49" s="191"/>
      <c r="G49" s="191"/>
      <c r="H49" s="205"/>
    </row>
    <row r="50" spans="1:43">
      <c r="A50" s="183"/>
      <c r="B50" s="183"/>
      <c r="C50" s="204"/>
      <c r="D50" s="185"/>
      <c r="E50" s="185"/>
      <c r="F50" s="191"/>
      <c r="G50" s="191"/>
      <c r="H50" s="205"/>
    </row>
    <row r="51" spans="1:43">
      <c r="A51" s="183"/>
      <c r="B51" s="183"/>
      <c r="C51" s="204"/>
      <c r="D51" s="185"/>
      <c r="E51" s="185"/>
      <c r="F51" s="191"/>
      <c r="G51" s="191"/>
      <c r="H51" s="205"/>
    </row>
    <row r="52" spans="1:43">
      <c r="A52" s="183"/>
      <c r="B52" s="183"/>
      <c r="C52" s="204"/>
      <c r="D52" s="191"/>
      <c r="E52" s="186"/>
      <c r="F52" s="191"/>
      <c r="G52" s="191"/>
      <c r="H52" s="205"/>
    </row>
    <row r="53" spans="1:43">
      <c r="A53" s="183"/>
      <c r="B53" s="183"/>
      <c r="C53" s="204"/>
      <c r="D53" s="191"/>
      <c r="E53" s="205"/>
      <c r="F53" s="191"/>
      <c r="G53" s="191"/>
      <c r="H53" s="205"/>
    </row>
    <row r="54" spans="1:43">
      <c r="A54" s="183"/>
      <c r="B54" s="183"/>
      <c r="C54" s="204"/>
      <c r="D54" s="185"/>
      <c r="E54" s="185"/>
      <c r="F54" s="191"/>
      <c r="G54" s="191"/>
      <c r="H54" s="205"/>
    </row>
    <row r="55" spans="1:43">
      <c r="B55" s="183"/>
      <c r="C55" s="204"/>
      <c r="D55" s="191"/>
      <c r="E55" s="205"/>
      <c r="F55" s="191"/>
      <c r="G55" s="191"/>
      <c r="H55" s="205"/>
    </row>
    <row r="56" spans="1:43">
      <c r="A56" s="183"/>
      <c r="B56" s="183"/>
      <c r="C56" s="204"/>
      <c r="D56" s="185"/>
      <c r="E56" s="185"/>
      <c r="F56" s="191"/>
      <c r="G56" s="191"/>
      <c r="H56" s="205"/>
    </row>
    <row r="57" spans="1:43">
      <c r="A57" s="183"/>
      <c r="B57" s="183"/>
      <c r="C57" s="204"/>
      <c r="D57" s="185"/>
      <c r="E57" s="185"/>
      <c r="F57" s="191"/>
      <c r="G57" s="191"/>
      <c r="H57" s="205"/>
    </row>
    <row r="58" spans="1:43">
      <c r="A58" s="183"/>
      <c r="B58" s="183"/>
      <c r="C58" s="204"/>
      <c r="D58" s="185"/>
      <c r="E58" s="185"/>
      <c r="F58" s="191"/>
      <c r="G58" s="191"/>
      <c r="H58" s="205"/>
    </row>
    <row r="59" spans="1:43">
      <c r="A59" s="183"/>
      <c r="B59" s="183"/>
      <c r="C59" s="204"/>
      <c r="D59" s="185"/>
      <c r="E59" s="185"/>
      <c r="F59" s="191"/>
      <c r="G59" s="191"/>
      <c r="H59" s="205"/>
    </row>
    <row r="60" spans="1:43">
      <c r="A60" s="183"/>
      <c r="B60" s="183"/>
      <c r="C60" s="204"/>
      <c r="D60" s="185"/>
      <c r="E60" s="185"/>
      <c r="F60" s="191"/>
      <c r="G60" s="191"/>
      <c r="H60" s="205"/>
    </row>
    <row r="61" spans="1:43">
      <c r="A61" s="183"/>
      <c r="B61" s="183"/>
      <c r="C61" s="204"/>
      <c r="D61" s="185"/>
      <c r="E61" s="185"/>
      <c r="F61" s="185"/>
      <c r="G61" s="191"/>
      <c r="H61" s="205"/>
    </row>
    <row r="62" spans="1:43">
      <c r="A62" s="183"/>
      <c r="B62" s="183"/>
      <c r="C62" s="204"/>
      <c r="D62" s="185"/>
      <c r="E62" s="185"/>
      <c r="F62" s="185"/>
      <c r="G62" s="191"/>
      <c r="H62" s="205"/>
    </row>
    <row r="63" spans="1:43">
      <c r="A63" s="183"/>
      <c r="B63" s="183"/>
      <c r="C63" s="204"/>
      <c r="D63" s="185"/>
      <c r="E63" s="185"/>
      <c r="F63" s="191"/>
      <c r="G63" s="191"/>
      <c r="H63" s="205"/>
    </row>
    <row r="64" spans="1:43" s="212" customFormat="1">
      <c r="A64" s="183"/>
      <c r="B64" s="183"/>
      <c r="C64" s="204"/>
      <c r="D64" s="185"/>
      <c r="E64" s="185"/>
      <c r="F64" s="191"/>
      <c r="G64" s="191"/>
      <c r="H64" s="205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</row>
    <row r="65" spans="1:8">
      <c r="A65" s="183"/>
      <c r="B65" s="183"/>
      <c r="C65" s="204"/>
      <c r="D65" s="185"/>
      <c r="E65" s="185"/>
      <c r="F65" s="191"/>
      <c r="G65" s="191"/>
      <c r="H65" s="191"/>
    </row>
    <row r="66" spans="1:8">
      <c r="A66" s="202"/>
      <c r="B66" s="183"/>
      <c r="C66" s="203"/>
      <c r="D66" s="185"/>
      <c r="E66" s="185"/>
      <c r="F66" s="191"/>
      <c r="G66" s="191"/>
      <c r="H66" s="191"/>
    </row>
    <row r="67" spans="1:8">
      <c r="A67" s="202"/>
      <c r="B67" s="183"/>
      <c r="C67" s="203"/>
      <c r="D67" s="185"/>
      <c r="E67" s="185"/>
      <c r="F67" s="191"/>
      <c r="G67" s="191"/>
      <c r="H67" s="191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9BF2-9143-4964-8967-E84CFBD4148C}">
  <dimension ref="A1:IU62"/>
  <sheetViews>
    <sheetView workbookViewId="0">
      <selection activeCell="B3" sqref="B3:B52"/>
    </sheetView>
  </sheetViews>
  <sheetFormatPr defaultColWidth="8.7109375" defaultRowHeight="16.5"/>
  <cols>
    <col min="1" max="1" width="29.7109375" style="1010" customWidth="1"/>
    <col min="2" max="2" width="21" style="1010" customWidth="1"/>
    <col min="3" max="3" width="9.7109375" style="1010" customWidth="1"/>
    <col min="4" max="4" width="21.7109375" style="1010" customWidth="1"/>
    <col min="5" max="6" width="21.42578125" style="1010" customWidth="1"/>
    <col min="7" max="7" width="14.85546875" style="1010" customWidth="1"/>
    <col min="8" max="8" width="15.28515625" style="1010" customWidth="1"/>
    <col min="9" max="9" width="24.42578125" style="1010" customWidth="1"/>
    <col min="10" max="10" width="23.28515625" style="1010" customWidth="1"/>
    <col min="11" max="11" width="10.85546875" style="1010" customWidth="1"/>
    <col min="12" max="12" width="25.42578125" style="1010" customWidth="1"/>
    <col min="13" max="13" width="22.5703125" style="1013" customWidth="1"/>
    <col min="14" max="14" width="24.28515625" style="1010" customWidth="1"/>
    <col min="15" max="15" width="17.28515625" style="1010" customWidth="1"/>
    <col min="16" max="16" width="9" style="1010" customWidth="1"/>
    <col min="17" max="16384" width="8.7109375" style="1010"/>
  </cols>
  <sheetData>
    <row r="1" spans="1:255" ht="19.5" customHeight="1">
      <c r="D1" s="1087">
        <v>45097</v>
      </c>
      <c r="E1" s="1088"/>
      <c r="F1" s="1089"/>
      <c r="G1" s="1011"/>
      <c r="H1" s="1012"/>
      <c r="I1" s="1012"/>
    </row>
    <row r="2" spans="1:255" ht="48" thickBot="1">
      <c r="A2" s="1014" t="s">
        <v>410</v>
      </c>
      <c r="B2" s="1015" t="s">
        <v>859</v>
      </c>
      <c r="C2" s="1016" t="s">
        <v>412</v>
      </c>
      <c r="D2" s="1017" t="s">
        <v>860</v>
      </c>
      <c r="E2" s="1018" t="s">
        <v>183</v>
      </c>
      <c r="F2" s="1019" t="s">
        <v>44</v>
      </c>
      <c r="G2" s="1019" t="s">
        <v>574</v>
      </c>
      <c r="H2" s="1019" t="s">
        <v>712</v>
      </c>
      <c r="I2" s="1019" t="s">
        <v>235</v>
      </c>
      <c r="J2" s="1019" t="s">
        <v>825</v>
      </c>
      <c r="K2" s="1019" t="s">
        <v>577</v>
      </c>
      <c r="L2" s="1019" t="s">
        <v>830</v>
      </c>
      <c r="M2" s="1020" t="s">
        <v>579</v>
      </c>
      <c r="N2" s="1021" t="s">
        <v>837</v>
      </c>
      <c r="O2" s="1013"/>
      <c r="P2" s="1013"/>
      <c r="Q2" s="1013"/>
      <c r="R2" s="1013"/>
      <c r="S2" s="1013"/>
      <c r="T2" s="1013"/>
      <c r="U2" s="1013"/>
      <c r="V2" s="1013"/>
      <c r="W2" s="1013"/>
      <c r="X2" s="1013"/>
      <c r="Y2" s="1013"/>
      <c r="Z2" s="1013"/>
      <c r="AA2" s="1013"/>
      <c r="AB2" s="1013"/>
      <c r="AC2" s="1013"/>
      <c r="AD2" s="1013"/>
      <c r="AE2" s="1013"/>
      <c r="AF2" s="1013"/>
      <c r="AG2" s="1013"/>
      <c r="AH2" s="1013"/>
      <c r="AI2" s="1013"/>
      <c r="AJ2" s="1013"/>
      <c r="AK2" s="1013"/>
      <c r="AL2" s="1013"/>
      <c r="AM2" s="1013"/>
      <c r="AN2" s="1013"/>
      <c r="AO2" s="1013"/>
      <c r="AP2" s="1013"/>
      <c r="AQ2" s="1013"/>
      <c r="AR2" s="1013"/>
      <c r="AS2" s="1013"/>
      <c r="AT2" s="1013"/>
      <c r="AU2" s="1013"/>
      <c r="AV2" s="1013"/>
      <c r="AW2" s="1013"/>
      <c r="AX2" s="1013"/>
      <c r="AY2" s="1013"/>
      <c r="AZ2" s="1013"/>
      <c r="BA2" s="1013"/>
      <c r="BB2" s="1013"/>
      <c r="BC2" s="1013"/>
      <c r="BD2" s="1013"/>
      <c r="BE2" s="1013"/>
      <c r="BF2" s="1013"/>
      <c r="BG2" s="1013"/>
      <c r="BH2" s="1013"/>
      <c r="BI2" s="1013"/>
      <c r="BJ2" s="1013"/>
      <c r="BK2" s="1013"/>
      <c r="BL2" s="1013"/>
      <c r="BM2" s="1013"/>
      <c r="BN2" s="1013"/>
      <c r="BO2" s="1013"/>
      <c r="BP2" s="1013"/>
      <c r="BQ2" s="1013"/>
      <c r="BR2" s="1013"/>
      <c r="BS2" s="1013"/>
      <c r="BT2" s="1013"/>
      <c r="BU2" s="1013"/>
      <c r="BV2" s="1013"/>
      <c r="BW2" s="1013"/>
      <c r="BX2" s="1013"/>
      <c r="BY2" s="1013"/>
      <c r="BZ2" s="1013"/>
      <c r="CA2" s="1013"/>
      <c r="CB2" s="1013"/>
      <c r="CC2" s="1013"/>
      <c r="CD2" s="1013"/>
      <c r="CE2" s="1013"/>
      <c r="CF2" s="1013"/>
      <c r="CG2" s="1013"/>
      <c r="CH2" s="1013"/>
      <c r="CI2" s="1013"/>
      <c r="CJ2" s="1013"/>
      <c r="CK2" s="1013"/>
      <c r="CL2" s="1013"/>
      <c r="CM2" s="1013"/>
      <c r="CN2" s="1013"/>
      <c r="CO2" s="1013"/>
      <c r="CP2" s="1013"/>
      <c r="CQ2" s="1013"/>
      <c r="CR2" s="1013"/>
      <c r="CS2" s="1013"/>
      <c r="CT2" s="1013"/>
      <c r="CU2" s="1013"/>
      <c r="CV2" s="1013"/>
      <c r="CW2" s="1013"/>
      <c r="CX2" s="1013"/>
      <c r="CY2" s="1013"/>
      <c r="CZ2" s="1013"/>
      <c r="DA2" s="1013"/>
      <c r="DB2" s="1013"/>
      <c r="DC2" s="1013"/>
      <c r="DD2" s="1013"/>
      <c r="DE2" s="1013"/>
      <c r="DF2" s="1013"/>
      <c r="DG2" s="1013"/>
      <c r="DH2" s="1013"/>
      <c r="DI2" s="1013"/>
      <c r="DJ2" s="1013"/>
      <c r="DK2" s="1013"/>
      <c r="DL2" s="1013"/>
      <c r="DM2" s="1013"/>
      <c r="DN2" s="1013"/>
      <c r="DO2" s="1013"/>
      <c r="DP2" s="1013"/>
      <c r="DQ2" s="1013"/>
      <c r="DR2" s="1013"/>
      <c r="DS2" s="1013"/>
      <c r="DT2" s="1013"/>
      <c r="DU2" s="1013"/>
      <c r="DV2" s="1013"/>
      <c r="DW2" s="1013"/>
      <c r="DX2" s="1013"/>
      <c r="DY2" s="1013"/>
      <c r="DZ2" s="1013"/>
      <c r="EA2" s="1013"/>
      <c r="EB2" s="1013"/>
      <c r="EC2" s="1013"/>
      <c r="ED2" s="1013"/>
      <c r="EE2" s="1013"/>
      <c r="EF2" s="1013"/>
      <c r="EG2" s="1013"/>
      <c r="EH2" s="1013"/>
      <c r="EI2" s="1013"/>
      <c r="EJ2" s="1013"/>
      <c r="EK2" s="1013"/>
      <c r="EL2" s="1013"/>
      <c r="EM2" s="1013"/>
      <c r="EN2" s="1013"/>
      <c r="EO2" s="1013"/>
      <c r="EP2" s="1013"/>
      <c r="EQ2" s="1013"/>
      <c r="ER2" s="1013"/>
      <c r="ES2" s="1013"/>
      <c r="ET2" s="1013"/>
      <c r="EU2" s="1013"/>
      <c r="EV2" s="1013"/>
      <c r="EW2" s="1013"/>
      <c r="EX2" s="1013"/>
      <c r="EY2" s="1013"/>
      <c r="EZ2" s="1013"/>
      <c r="FA2" s="1013"/>
      <c r="FB2" s="1013"/>
      <c r="FC2" s="1013"/>
      <c r="FD2" s="1013"/>
      <c r="FE2" s="1013"/>
      <c r="FF2" s="1013"/>
      <c r="FG2" s="1013"/>
      <c r="FH2" s="1013"/>
      <c r="FI2" s="1013"/>
      <c r="FJ2" s="1013"/>
      <c r="FK2" s="1013"/>
      <c r="FL2" s="1013"/>
      <c r="FM2" s="1013"/>
      <c r="FN2" s="1013"/>
      <c r="FO2" s="1013"/>
      <c r="FP2" s="1013"/>
      <c r="FQ2" s="1013"/>
      <c r="FR2" s="1013"/>
      <c r="FS2" s="1013"/>
      <c r="FT2" s="1013"/>
      <c r="FU2" s="1013"/>
      <c r="FV2" s="1013"/>
      <c r="FW2" s="1013"/>
      <c r="FX2" s="1013"/>
      <c r="FY2" s="1013"/>
      <c r="FZ2" s="1013"/>
      <c r="GA2" s="1013"/>
      <c r="GB2" s="1013"/>
      <c r="GC2" s="1013"/>
      <c r="GD2" s="1013"/>
      <c r="GE2" s="1013"/>
      <c r="GF2" s="1013"/>
      <c r="GG2" s="1013"/>
      <c r="GH2" s="1013"/>
      <c r="GI2" s="1013"/>
      <c r="GJ2" s="1013"/>
      <c r="GK2" s="1013"/>
      <c r="GL2" s="1013"/>
      <c r="GM2" s="1013"/>
      <c r="GN2" s="1013"/>
      <c r="GO2" s="1013"/>
      <c r="GP2" s="1013"/>
      <c r="GQ2" s="1013"/>
      <c r="GR2" s="1013"/>
      <c r="GS2" s="1013"/>
      <c r="GT2" s="1013"/>
      <c r="GU2" s="1013"/>
      <c r="GV2" s="1013"/>
      <c r="GW2" s="1013"/>
      <c r="GX2" s="1013"/>
      <c r="GY2" s="1013"/>
      <c r="GZ2" s="1013"/>
      <c r="HA2" s="1013"/>
      <c r="HB2" s="1013"/>
      <c r="HC2" s="1013"/>
      <c r="HD2" s="1013"/>
      <c r="HE2" s="1013"/>
      <c r="HF2" s="1013"/>
      <c r="HG2" s="1013"/>
      <c r="HH2" s="1013"/>
      <c r="HI2" s="1013"/>
      <c r="HJ2" s="1013"/>
      <c r="HK2" s="1013"/>
      <c r="HL2" s="1013"/>
      <c r="HM2" s="1013"/>
      <c r="HN2" s="1013"/>
      <c r="HO2" s="1013"/>
      <c r="HP2" s="1013"/>
      <c r="HQ2" s="1013"/>
      <c r="HR2" s="1013"/>
      <c r="HS2" s="1013"/>
      <c r="HT2" s="1013"/>
      <c r="HU2" s="1013"/>
      <c r="HV2" s="1013"/>
      <c r="HW2" s="1013"/>
      <c r="HX2" s="1013"/>
      <c r="HY2" s="1013"/>
      <c r="HZ2" s="1013"/>
      <c r="IA2" s="1013"/>
      <c r="IB2" s="1013"/>
      <c r="IC2" s="1013"/>
      <c r="ID2" s="1013"/>
      <c r="IE2" s="1013"/>
      <c r="IF2" s="1013"/>
      <c r="IG2" s="1013"/>
      <c r="IH2" s="1013"/>
      <c r="II2" s="1013"/>
      <c r="IJ2" s="1013"/>
      <c r="IK2" s="1013"/>
      <c r="IL2" s="1013"/>
      <c r="IM2" s="1013"/>
      <c r="IN2" s="1013"/>
      <c r="IO2" s="1013"/>
      <c r="IP2" s="1013"/>
      <c r="IQ2" s="1013"/>
      <c r="IR2" s="1013"/>
      <c r="IS2" s="1013"/>
      <c r="IT2" s="1013"/>
    </row>
    <row r="3" spans="1:255" s="1031" customFormat="1" ht="21" customHeight="1" thickTop="1">
      <c r="A3" s="1022" t="s">
        <v>610</v>
      </c>
      <c r="B3" s="1023" t="s">
        <v>70</v>
      </c>
      <c r="C3" s="1024">
        <v>101</v>
      </c>
      <c r="D3" s="1025">
        <v>0</v>
      </c>
      <c r="E3" s="1026">
        <v>0</v>
      </c>
      <c r="F3" s="1027">
        <v>0</v>
      </c>
      <c r="G3" s="1027">
        <v>0</v>
      </c>
      <c r="H3" s="1027">
        <v>0</v>
      </c>
      <c r="I3" s="1027">
        <v>0</v>
      </c>
      <c r="J3" s="1027">
        <f>D3+E3-F3-G3-H3-I3</f>
        <v>0</v>
      </c>
      <c r="K3" s="1027">
        <v>0</v>
      </c>
      <c r="L3" s="1027">
        <f t="shared" ref="L3:L52" si="0">J3-K3</f>
        <v>0</v>
      </c>
      <c r="M3" s="1028"/>
      <c r="N3" s="1029">
        <f t="shared" ref="N3:N51" si="1">M3-L3</f>
        <v>0</v>
      </c>
      <c r="O3" s="1030"/>
      <c r="P3" s="1013"/>
      <c r="Q3" s="1013"/>
      <c r="R3" s="1013"/>
      <c r="S3" s="1013"/>
      <c r="T3" s="1013"/>
      <c r="U3" s="1013"/>
      <c r="V3" s="1013"/>
      <c r="W3" s="1013"/>
      <c r="X3" s="1013"/>
      <c r="Y3" s="1013"/>
      <c r="Z3" s="1013"/>
      <c r="AA3" s="1013"/>
      <c r="AB3" s="1013"/>
      <c r="AC3" s="1013"/>
      <c r="AD3" s="1013"/>
      <c r="AE3" s="1013"/>
      <c r="AF3" s="1013"/>
      <c r="AG3" s="1013"/>
      <c r="AH3" s="1013"/>
      <c r="AI3" s="1013"/>
      <c r="AJ3" s="1013"/>
      <c r="AK3" s="1013"/>
      <c r="AL3" s="1013"/>
      <c r="AM3" s="1013"/>
      <c r="AN3" s="1013"/>
      <c r="AO3" s="1013"/>
      <c r="AP3" s="1013"/>
      <c r="AQ3" s="1013"/>
      <c r="AR3" s="1013"/>
      <c r="AS3" s="1013"/>
      <c r="AT3" s="1013"/>
      <c r="AU3" s="1013"/>
      <c r="AV3" s="1013"/>
      <c r="AW3" s="1013"/>
      <c r="AX3" s="1013"/>
      <c r="AY3" s="1013"/>
      <c r="AZ3" s="1013"/>
      <c r="BA3" s="1013"/>
      <c r="BB3" s="1013"/>
      <c r="BC3" s="1013"/>
      <c r="BD3" s="1013"/>
      <c r="BE3" s="1013"/>
      <c r="BF3" s="1013"/>
      <c r="BG3" s="1013"/>
      <c r="BH3" s="1013"/>
      <c r="BI3" s="1013"/>
      <c r="BJ3" s="1013"/>
      <c r="BK3" s="1013"/>
      <c r="BL3" s="1013"/>
      <c r="BM3" s="1013"/>
      <c r="BN3" s="1013"/>
      <c r="BO3" s="1013"/>
      <c r="BP3" s="1013"/>
      <c r="BQ3" s="1013"/>
      <c r="BR3" s="1013"/>
      <c r="BS3" s="1013"/>
      <c r="BT3" s="1013"/>
      <c r="BU3" s="1013"/>
      <c r="BV3" s="1013"/>
      <c r="BW3" s="1013"/>
      <c r="BX3" s="1013"/>
      <c r="BY3" s="1013"/>
      <c r="BZ3" s="1013"/>
      <c r="CA3" s="1013"/>
      <c r="CB3" s="1013"/>
      <c r="CC3" s="1013"/>
      <c r="CD3" s="1013"/>
      <c r="CE3" s="1013"/>
      <c r="CF3" s="1013"/>
      <c r="CG3" s="1013"/>
      <c r="CH3" s="1013"/>
      <c r="CI3" s="1013"/>
      <c r="CJ3" s="1013"/>
      <c r="CK3" s="1013"/>
      <c r="CL3" s="1013"/>
      <c r="CM3" s="1013"/>
      <c r="CN3" s="1013"/>
      <c r="CO3" s="1013"/>
      <c r="CP3" s="1013"/>
      <c r="CQ3" s="1013"/>
      <c r="CR3" s="1013"/>
      <c r="CS3" s="1013"/>
      <c r="CT3" s="1013"/>
      <c r="CU3" s="1013"/>
      <c r="CV3" s="1013"/>
      <c r="CW3" s="1013"/>
      <c r="CX3" s="1013"/>
      <c r="CY3" s="1013"/>
      <c r="CZ3" s="1013"/>
      <c r="DA3" s="1013"/>
      <c r="DB3" s="1013"/>
      <c r="DC3" s="1013"/>
      <c r="DD3" s="1013"/>
      <c r="DE3" s="1013"/>
      <c r="DF3" s="1013"/>
      <c r="DG3" s="1013"/>
      <c r="DH3" s="1013"/>
      <c r="DI3" s="1013"/>
      <c r="DJ3" s="1013"/>
      <c r="DK3" s="1013"/>
      <c r="DL3" s="1013"/>
      <c r="DM3" s="1013"/>
      <c r="DN3" s="1013"/>
      <c r="DO3" s="1013"/>
      <c r="DP3" s="1013"/>
      <c r="DQ3" s="1013"/>
      <c r="DR3" s="1013"/>
      <c r="DS3" s="1013"/>
      <c r="DT3" s="1013"/>
      <c r="DU3" s="1013"/>
      <c r="DV3" s="1013"/>
      <c r="DW3" s="1013"/>
      <c r="DX3" s="1013"/>
      <c r="DY3" s="1013"/>
      <c r="DZ3" s="1013"/>
      <c r="EA3" s="1013"/>
      <c r="EB3" s="1013"/>
      <c r="EC3" s="1013"/>
      <c r="ED3" s="1013"/>
      <c r="EE3" s="1013"/>
      <c r="EF3" s="1013"/>
      <c r="EG3" s="1013"/>
      <c r="EH3" s="1013"/>
      <c r="EI3" s="1013"/>
      <c r="EJ3" s="1013"/>
      <c r="EK3" s="1013"/>
      <c r="EL3" s="1013"/>
      <c r="EM3" s="1013"/>
      <c r="EN3" s="1013"/>
      <c r="EO3" s="1013"/>
      <c r="EP3" s="1013"/>
      <c r="EQ3" s="1013"/>
      <c r="ER3" s="1013"/>
      <c r="ES3" s="1013"/>
      <c r="ET3" s="1013"/>
      <c r="EU3" s="1013"/>
      <c r="EV3" s="1013"/>
      <c r="EW3" s="1013"/>
      <c r="EX3" s="1013"/>
      <c r="EY3" s="1013"/>
      <c r="EZ3" s="1013"/>
      <c r="FA3" s="1013"/>
      <c r="FB3" s="1013"/>
      <c r="FC3" s="1013"/>
      <c r="FD3" s="1013"/>
      <c r="FE3" s="1013"/>
      <c r="FF3" s="1013"/>
      <c r="FG3" s="1013"/>
      <c r="FH3" s="1013"/>
      <c r="FI3" s="1013"/>
      <c r="FJ3" s="1013"/>
      <c r="FK3" s="1013"/>
      <c r="FL3" s="1013"/>
      <c r="FM3" s="1013"/>
      <c r="FN3" s="1013"/>
      <c r="FO3" s="1013"/>
      <c r="FP3" s="1013"/>
      <c r="FQ3" s="1013"/>
      <c r="FR3" s="1013"/>
      <c r="FS3" s="1013"/>
      <c r="FT3" s="1013"/>
      <c r="FU3" s="1013"/>
      <c r="FV3" s="1013"/>
      <c r="FW3" s="1013"/>
      <c r="FX3" s="1013"/>
      <c r="FY3" s="1013"/>
      <c r="FZ3" s="1013"/>
      <c r="GA3" s="1013"/>
      <c r="GB3" s="1013"/>
      <c r="GC3" s="1013"/>
      <c r="GD3" s="1013"/>
      <c r="GE3" s="1013"/>
      <c r="GF3" s="1013"/>
      <c r="GG3" s="1013"/>
      <c r="GH3" s="1013"/>
      <c r="GI3" s="1013"/>
      <c r="GJ3" s="1013"/>
      <c r="GK3" s="1013"/>
      <c r="GL3" s="1013"/>
      <c r="GM3" s="1013"/>
      <c r="GN3" s="1013"/>
      <c r="GO3" s="1013"/>
      <c r="GP3" s="1013"/>
      <c r="GQ3" s="1013"/>
      <c r="GR3" s="1013"/>
      <c r="GS3" s="1013"/>
      <c r="GT3" s="1013"/>
      <c r="GU3" s="1013"/>
      <c r="GV3" s="1013"/>
      <c r="GW3" s="1013"/>
      <c r="GX3" s="1013"/>
      <c r="GY3" s="1013"/>
      <c r="GZ3" s="1013"/>
      <c r="HA3" s="1013"/>
      <c r="HB3" s="1013"/>
      <c r="HC3" s="1013"/>
      <c r="HD3" s="1013"/>
      <c r="HE3" s="1013"/>
      <c r="HF3" s="1013"/>
      <c r="HG3" s="1013"/>
      <c r="HH3" s="1013"/>
      <c r="HI3" s="1013"/>
      <c r="HJ3" s="1013"/>
      <c r="HK3" s="1013"/>
      <c r="HL3" s="1013"/>
      <c r="HM3" s="1013"/>
      <c r="HN3" s="1013"/>
      <c r="HO3" s="1013"/>
      <c r="HP3" s="1013"/>
      <c r="HQ3" s="1013"/>
      <c r="HR3" s="1013"/>
      <c r="HS3" s="1013"/>
      <c r="HT3" s="1013"/>
      <c r="HU3" s="1013"/>
      <c r="HV3" s="1013"/>
      <c r="HW3" s="1013"/>
      <c r="HX3" s="1013"/>
      <c r="HY3" s="1013"/>
      <c r="HZ3" s="1013"/>
      <c r="IA3" s="1013"/>
      <c r="IB3" s="1013"/>
      <c r="IC3" s="1013"/>
      <c r="ID3" s="1013"/>
      <c r="IE3" s="1013"/>
      <c r="IF3" s="1013"/>
      <c r="IG3" s="1013"/>
      <c r="IH3" s="1013"/>
      <c r="II3" s="1013"/>
      <c r="IJ3" s="1013"/>
      <c r="IK3" s="1013"/>
      <c r="IL3" s="1013"/>
      <c r="IM3" s="1013"/>
      <c r="IN3" s="1013"/>
      <c r="IO3" s="1013"/>
      <c r="IP3" s="1013"/>
      <c r="IQ3" s="1013"/>
      <c r="IR3" s="1013"/>
      <c r="IS3" s="1013"/>
      <c r="IT3" s="1013"/>
      <c r="IU3" s="1013"/>
    </row>
    <row r="4" spans="1:255" s="1031" customFormat="1" ht="21" customHeight="1">
      <c r="A4" s="1032" t="s">
        <v>611</v>
      </c>
      <c r="B4" s="1033" t="s">
        <v>70</v>
      </c>
      <c r="C4" s="1034">
        <v>102</v>
      </c>
      <c r="D4" s="1035">
        <v>0</v>
      </c>
      <c r="E4" s="1036">
        <v>0</v>
      </c>
      <c r="F4" s="1037">
        <v>0</v>
      </c>
      <c r="G4" s="1037">
        <v>0</v>
      </c>
      <c r="H4" s="1037">
        <v>0</v>
      </c>
      <c r="I4" s="1037">
        <v>0</v>
      </c>
      <c r="J4" s="1037">
        <f>D4+E4-F4-G4-H4-I4</f>
        <v>0</v>
      </c>
      <c r="K4" s="1037">
        <v>0</v>
      </c>
      <c r="L4" s="1037">
        <f t="shared" si="0"/>
        <v>0</v>
      </c>
      <c r="M4" s="1038"/>
      <c r="N4" s="1029">
        <f t="shared" si="1"/>
        <v>0</v>
      </c>
      <c r="O4" s="1030"/>
      <c r="P4" s="1013"/>
      <c r="Q4" s="1013"/>
      <c r="R4" s="1013"/>
      <c r="S4" s="1013"/>
      <c r="T4" s="1013"/>
      <c r="U4" s="1013"/>
      <c r="V4" s="1013"/>
      <c r="W4" s="1013"/>
      <c r="X4" s="1013"/>
      <c r="Y4" s="1013"/>
      <c r="Z4" s="1013"/>
      <c r="AA4" s="1013"/>
      <c r="AB4" s="1013"/>
      <c r="AC4" s="1013"/>
      <c r="AD4" s="1013"/>
      <c r="AE4" s="1013"/>
      <c r="AF4" s="1013"/>
      <c r="AG4" s="1013"/>
      <c r="AH4" s="1013"/>
      <c r="AI4" s="1013"/>
      <c r="AJ4" s="1013"/>
      <c r="AK4" s="1013"/>
      <c r="AL4" s="1013"/>
      <c r="AM4" s="1013"/>
      <c r="AN4" s="1013"/>
      <c r="AO4" s="1013"/>
      <c r="AP4" s="1013"/>
      <c r="AQ4" s="1013"/>
      <c r="AR4" s="1013"/>
      <c r="AS4" s="1013"/>
      <c r="AT4" s="1013"/>
      <c r="AU4" s="1013"/>
      <c r="AV4" s="1013"/>
      <c r="AW4" s="1013"/>
      <c r="AX4" s="1013"/>
      <c r="AY4" s="1013"/>
      <c r="AZ4" s="1013"/>
      <c r="BA4" s="1013"/>
      <c r="BB4" s="1013"/>
      <c r="BC4" s="1013"/>
      <c r="BD4" s="1013"/>
      <c r="BE4" s="1013"/>
      <c r="BF4" s="1013"/>
      <c r="BG4" s="1013"/>
      <c r="BH4" s="1013"/>
      <c r="BI4" s="1013"/>
      <c r="BJ4" s="1013"/>
      <c r="BK4" s="1013"/>
      <c r="BL4" s="1013"/>
      <c r="BM4" s="1013"/>
      <c r="BN4" s="1013"/>
      <c r="BO4" s="1013"/>
      <c r="BP4" s="1013"/>
      <c r="BQ4" s="1013"/>
      <c r="BR4" s="1013"/>
      <c r="BS4" s="1013"/>
      <c r="BT4" s="1013"/>
      <c r="BU4" s="1013"/>
      <c r="BV4" s="1013"/>
      <c r="BW4" s="1013"/>
      <c r="BX4" s="1013"/>
      <c r="BY4" s="1013"/>
      <c r="BZ4" s="1013"/>
      <c r="CA4" s="1013"/>
      <c r="CB4" s="1013"/>
      <c r="CC4" s="1013"/>
      <c r="CD4" s="1013"/>
      <c r="CE4" s="1013"/>
      <c r="CF4" s="1013"/>
      <c r="CG4" s="1013"/>
      <c r="CH4" s="1013"/>
      <c r="CI4" s="1013"/>
      <c r="CJ4" s="1013"/>
      <c r="CK4" s="1013"/>
      <c r="CL4" s="1013"/>
      <c r="CM4" s="1013"/>
      <c r="CN4" s="1013"/>
      <c r="CO4" s="1013"/>
      <c r="CP4" s="1013"/>
      <c r="CQ4" s="1013"/>
      <c r="CR4" s="1013"/>
      <c r="CS4" s="1013"/>
      <c r="CT4" s="1013"/>
      <c r="CU4" s="1013"/>
      <c r="CV4" s="1013"/>
      <c r="CW4" s="1013"/>
      <c r="CX4" s="1013"/>
      <c r="CY4" s="1013"/>
      <c r="CZ4" s="1013"/>
      <c r="DA4" s="1013"/>
      <c r="DB4" s="1013"/>
      <c r="DC4" s="1013"/>
      <c r="DD4" s="1013"/>
      <c r="DE4" s="1013"/>
      <c r="DF4" s="1013"/>
      <c r="DG4" s="1013"/>
      <c r="DH4" s="1013"/>
      <c r="DI4" s="1013"/>
      <c r="DJ4" s="1013"/>
      <c r="DK4" s="1013"/>
      <c r="DL4" s="1013"/>
      <c r="DM4" s="1013"/>
      <c r="DN4" s="1013"/>
      <c r="DO4" s="1013"/>
      <c r="DP4" s="1013"/>
      <c r="DQ4" s="1013"/>
      <c r="DR4" s="1013"/>
      <c r="DS4" s="1013"/>
      <c r="DT4" s="1013"/>
      <c r="DU4" s="1013"/>
      <c r="DV4" s="1013"/>
      <c r="DW4" s="1013"/>
      <c r="DX4" s="1013"/>
      <c r="DY4" s="1013"/>
      <c r="DZ4" s="1013"/>
      <c r="EA4" s="1013"/>
      <c r="EB4" s="1013"/>
      <c r="EC4" s="1013"/>
      <c r="ED4" s="1013"/>
      <c r="EE4" s="1013"/>
      <c r="EF4" s="1013"/>
      <c r="EG4" s="1013"/>
      <c r="EH4" s="1013"/>
      <c r="EI4" s="1013"/>
      <c r="EJ4" s="1013"/>
      <c r="EK4" s="1013"/>
      <c r="EL4" s="1013"/>
      <c r="EM4" s="1013"/>
      <c r="EN4" s="1013"/>
      <c r="EO4" s="1013"/>
      <c r="EP4" s="1013"/>
      <c r="EQ4" s="1013"/>
      <c r="ER4" s="1013"/>
      <c r="ES4" s="1013"/>
      <c r="ET4" s="1013"/>
      <c r="EU4" s="1013"/>
      <c r="EV4" s="1013"/>
      <c r="EW4" s="1013"/>
      <c r="EX4" s="1013"/>
      <c r="EY4" s="1013"/>
      <c r="EZ4" s="1013"/>
      <c r="FA4" s="1013"/>
      <c r="FB4" s="1013"/>
      <c r="FC4" s="1013"/>
      <c r="FD4" s="1013"/>
      <c r="FE4" s="1013"/>
      <c r="FF4" s="1013"/>
      <c r="FG4" s="1013"/>
      <c r="FH4" s="1013"/>
      <c r="FI4" s="1013"/>
      <c r="FJ4" s="1013"/>
      <c r="FK4" s="1013"/>
      <c r="FL4" s="1013"/>
      <c r="FM4" s="1013"/>
      <c r="FN4" s="1013"/>
      <c r="FO4" s="1013"/>
      <c r="FP4" s="1013"/>
      <c r="FQ4" s="1013"/>
      <c r="FR4" s="1013"/>
      <c r="FS4" s="1013"/>
      <c r="FT4" s="1013"/>
      <c r="FU4" s="1013"/>
      <c r="FV4" s="1013"/>
      <c r="FW4" s="1013"/>
      <c r="FX4" s="1013"/>
      <c r="FY4" s="1013"/>
      <c r="FZ4" s="1013"/>
      <c r="GA4" s="1013"/>
      <c r="GB4" s="1013"/>
      <c r="GC4" s="1013"/>
      <c r="GD4" s="1013"/>
      <c r="GE4" s="1013"/>
      <c r="GF4" s="1013"/>
      <c r="GG4" s="1013"/>
      <c r="GH4" s="1013"/>
      <c r="GI4" s="1013"/>
      <c r="GJ4" s="1013"/>
      <c r="GK4" s="1013"/>
      <c r="GL4" s="1013"/>
      <c r="GM4" s="1013"/>
      <c r="GN4" s="1013"/>
      <c r="GO4" s="1013"/>
      <c r="GP4" s="1013"/>
      <c r="GQ4" s="1013"/>
      <c r="GR4" s="1013"/>
      <c r="GS4" s="1013"/>
      <c r="GT4" s="1013"/>
      <c r="GU4" s="1013"/>
      <c r="GV4" s="1013"/>
      <c r="GW4" s="1013"/>
      <c r="GX4" s="1013"/>
      <c r="GY4" s="1013"/>
      <c r="GZ4" s="1013"/>
      <c r="HA4" s="1013"/>
      <c r="HB4" s="1013"/>
      <c r="HC4" s="1013"/>
      <c r="HD4" s="1013"/>
      <c r="HE4" s="1013"/>
      <c r="HF4" s="1013"/>
      <c r="HG4" s="1013"/>
      <c r="HH4" s="1013"/>
      <c r="HI4" s="1013"/>
      <c r="HJ4" s="1013"/>
      <c r="HK4" s="1013"/>
      <c r="HL4" s="1013"/>
      <c r="HM4" s="1013"/>
      <c r="HN4" s="1013"/>
      <c r="HO4" s="1013"/>
      <c r="HP4" s="1013"/>
      <c r="HQ4" s="1013"/>
      <c r="HR4" s="1013"/>
      <c r="HS4" s="1013"/>
      <c r="HT4" s="1013"/>
      <c r="HU4" s="1013"/>
      <c r="HV4" s="1013"/>
      <c r="HW4" s="1013"/>
      <c r="HX4" s="1013"/>
      <c r="HY4" s="1013"/>
      <c r="HZ4" s="1013"/>
      <c r="IA4" s="1013"/>
      <c r="IB4" s="1013"/>
      <c r="IC4" s="1013"/>
      <c r="ID4" s="1013"/>
      <c r="IE4" s="1013"/>
      <c r="IF4" s="1013"/>
      <c r="IG4" s="1013"/>
      <c r="IH4" s="1013"/>
      <c r="II4" s="1013"/>
      <c r="IJ4" s="1013"/>
      <c r="IK4" s="1013"/>
      <c r="IL4" s="1013"/>
      <c r="IM4" s="1013"/>
      <c r="IN4" s="1013"/>
      <c r="IO4" s="1013"/>
      <c r="IP4" s="1013"/>
      <c r="IQ4" s="1013"/>
      <c r="IR4" s="1013"/>
      <c r="IS4" s="1013"/>
      <c r="IT4" s="1013"/>
      <c r="IU4" s="1013"/>
    </row>
    <row r="5" spans="1:255" s="1031" customFormat="1" ht="21" customHeight="1">
      <c r="A5" s="1032" t="s">
        <v>861</v>
      </c>
      <c r="B5" s="1033" t="s">
        <v>70</v>
      </c>
      <c r="C5" s="1034">
        <v>48</v>
      </c>
      <c r="D5" s="1035">
        <v>0</v>
      </c>
      <c r="E5" s="1036">
        <v>0</v>
      </c>
      <c r="F5" s="1037">
        <v>0</v>
      </c>
      <c r="G5" s="1037">
        <v>0</v>
      </c>
      <c r="H5" s="1037">
        <v>0</v>
      </c>
      <c r="I5" s="1037">
        <v>0</v>
      </c>
      <c r="J5" s="1037">
        <f t="shared" ref="J5:J52" si="2">D5+E5-F5-G5-H5-I5</f>
        <v>0</v>
      </c>
      <c r="K5" s="1037">
        <v>0</v>
      </c>
      <c r="L5" s="1037">
        <f t="shared" si="0"/>
        <v>0</v>
      </c>
      <c r="M5" s="1038">
        <v>0</v>
      </c>
      <c r="N5" s="1029">
        <f t="shared" si="1"/>
        <v>0</v>
      </c>
      <c r="O5" s="1030"/>
      <c r="P5" s="1013"/>
      <c r="Q5" s="1013"/>
      <c r="R5" s="1013"/>
      <c r="S5" s="1013"/>
      <c r="T5" s="1013"/>
      <c r="U5" s="1013"/>
      <c r="V5" s="1013"/>
      <c r="W5" s="1013"/>
      <c r="X5" s="1013"/>
      <c r="Y5" s="1013"/>
      <c r="Z5" s="1013"/>
      <c r="AA5" s="1013"/>
      <c r="AB5" s="1013"/>
      <c r="AC5" s="1013"/>
      <c r="AD5" s="1013"/>
      <c r="AE5" s="1013"/>
      <c r="AF5" s="1013"/>
      <c r="AG5" s="1013"/>
      <c r="AH5" s="1013"/>
      <c r="AI5" s="1013"/>
      <c r="AJ5" s="1013"/>
      <c r="AK5" s="1013"/>
      <c r="AL5" s="1013"/>
      <c r="AM5" s="1013"/>
      <c r="AN5" s="1013"/>
      <c r="AO5" s="1013"/>
      <c r="AP5" s="1013"/>
      <c r="AQ5" s="1013"/>
      <c r="AR5" s="1013"/>
      <c r="AS5" s="1013"/>
      <c r="AT5" s="1013"/>
      <c r="AU5" s="1013"/>
      <c r="AV5" s="1013"/>
      <c r="AW5" s="1013"/>
      <c r="AX5" s="1013"/>
      <c r="AY5" s="1013"/>
      <c r="AZ5" s="1013"/>
      <c r="BA5" s="1013"/>
      <c r="BB5" s="1013"/>
      <c r="BC5" s="1013"/>
      <c r="BD5" s="1013"/>
      <c r="BE5" s="1013"/>
      <c r="BF5" s="1013"/>
      <c r="BG5" s="1013"/>
      <c r="BH5" s="1013"/>
      <c r="BI5" s="1013"/>
      <c r="BJ5" s="1013"/>
      <c r="BK5" s="1013"/>
      <c r="BL5" s="1013"/>
      <c r="BM5" s="1013"/>
      <c r="BN5" s="1013"/>
      <c r="BO5" s="1013"/>
      <c r="BP5" s="1013"/>
      <c r="BQ5" s="1013"/>
      <c r="BR5" s="1013"/>
      <c r="BS5" s="1013"/>
      <c r="BT5" s="1013"/>
      <c r="BU5" s="1013"/>
      <c r="BV5" s="1013"/>
      <c r="BW5" s="1013"/>
      <c r="BX5" s="1013"/>
      <c r="BY5" s="1013"/>
      <c r="BZ5" s="1013"/>
      <c r="CA5" s="1013"/>
      <c r="CB5" s="1013"/>
      <c r="CC5" s="1013"/>
      <c r="CD5" s="1013"/>
      <c r="CE5" s="1013"/>
      <c r="CF5" s="1013"/>
      <c r="CG5" s="1013"/>
      <c r="CH5" s="1013"/>
      <c r="CI5" s="1013"/>
      <c r="CJ5" s="1013"/>
      <c r="CK5" s="1013"/>
      <c r="CL5" s="1013"/>
      <c r="CM5" s="1013"/>
      <c r="CN5" s="1013"/>
      <c r="CO5" s="1013"/>
      <c r="CP5" s="1013"/>
      <c r="CQ5" s="1013"/>
      <c r="CR5" s="1013"/>
      <c r="CS5" s="1013"/>
      <c r="CT5" s="1013"/>
      <c r="CU5" s="1013"/>
      <c r="CV5" s="1013"/>
      <c r="CW5" s="1013"/>
      <c r="CX5" s="1013"/>
      <c r="CY5" s="1013"/>
      <c r="CZ5" s="1013"/>
      <c r="DA5" s="1013"/>
      <c r="DB5" s="1013"/>
      <c r="DC5" s="1013"/>
      <c r="DD5" s="1013"/>
      <c r="DE5" s="1013"/>
      <c r="DF5" s="1013"/>
      <c r="DG5" s="1013"/>
      <c r="DH5" s="1013"/>
      <c r="DI5" s="1013"/>
      <c r="DJ5" s="1013"/>
      <c r="DK5" s="1013"/>
      <c r="DL5" s="1013"/>
      <c r="DM5" s="1013"/>
      <c r="DN5" s="1013"/>
      <c r="DO5" s="1013"/>
      <c r="DP5" s="1013"/>
      <c r="DQ5" s="1013"/>
      <c r="DR5" s="1013"/>
      <c r="DS5" s="1013"/>
      <c r="DT5" s="1013"/>
      <c r="DU5" s="1013"/>
      <c r="DV5" s="1013"/>
      <c r="DW5" s="1013"/>
      <c r="DX5" s="1013"/>
      <c r="DY5" s="1013"/>
      <c r="DZ5" s="1013"/>
      <c r="EA5" s="1013"/>
      <c r="EB5" s="1013"/>
      <c r="EC5" s="1013"/>
      <c r="ED5" s="1013"/>
      <c r="EE5" s="1013"/>
      <c r="EF5" s="1013"/>
      <c r="EG5" s="1013"/>
      <c r="EH5" s="1013"/>
      <c r="EI5" s="1013"/>
      <c r="EJ5" s="1013"/>
      <c r="EK5" s="1013"/>
      <c r="EL5" s="1013"/>
      <c r="EM5" s="1013"/>
      <c r="EN5" s="1013"/>
      <c r="EO5" s="1013"/>
      <c r="EP5" s="1013"/>
      <c r="EQ5" s="1013"/>
      <c r="ER5" s="1013"/>
      <c r="ES5" s="1013"/>
      <c r="ET5" s="1013"/>
      <c r="EU5" s="1013"/>
      <c r="EV5" s="1013"/>
      <c r="EW5" s="1013"/>
      <c r="EX5" s="1013"/>
      <c r="EY5" s="1013"/>
      <c r="EZ5" s="1013"/>
      <c r="FA5" s="1013"/>
      <c r="FB5" s="1013"/>
      <c r="FC5" s="1013"/>
      <c r="FD5" s="1013"/>
      <c r="FE5" s="1013"/>
      <c r="FF5" s="1013"/>
      <c r="FG5" s="1013"/>
      <c r="FH5" s="1013"/>
      <c r="FI5" s="1013"/>
      <c r="FJ5" s="1013"/>
      <c r="FK5" s="1013"/>
      <c r="FL5" s="1013"/>
      <c r="FM5" s="1013"/>
      <c r="FN5" s="1013"/>
      <c r="FO5" s="1013"/>
      <c r="FP5" s="1013"/>
      <c r="FQ5" s="1013"/>
      <c r="FR5" s="1013"/>
      <c r="FS5" s="1013"/>
      <c r="FT5" s="1013"/>
      <c r="FU5" s="1013"/>
      <c r="FV5" s="1013"/>
      <c r="FW5" s="1013"/>
      <c r="FX5" s="1013"/>
      <c r="FY5" s="1013"/>
      <c r="FZ5" s="1013"/>
      <c r="GA5" s="1013"/>
      <c r="GB5" s="1013"/>
      <c r="GC5" s="1013"/>
      <c r="GD5" s="1013"/>
      <c r="GE5" s="1013"/>
      <c r="GF5" s="1013"/>
      <c r="GG5" s="1013"/>
      <c r="GH5" s="1013"/>
      <c r="GI5" s="1013"/>
      <c r="GJ5" s="1013"/>
      <c r="GK5" s="1013"/>
      <c r="GL5" s="1013"/>
      <c r="GM5" s="1013"/>
      <c r="GN5" s="1013"/>
      <c r="GO5" s="1013"/>
      <c r="GP5" s="1013"/>
      <c r="GQ5" s="1013"/>
      <c r="GR5" s="1013"/>
      <c r="GS5" s="1013"/>
      <c r="GT5" s="1013"/>
      <c r="GU5" s="1013"/>
      <c r="GV5" s="1013"/>
      <c r="GW5" s="1013"/>
      <c r="GX5" s="1013"/>
      <c r="GY5" s="1013"/>
      <c r="GZ5" s="1013"/>
      <c r="HA5" s="1013"/>
      <c r="HB5" s="1013"/>
      <c r="HC5" s="1013"/>
      <c r="HD5" s="1013"/>
      <c r="HE5" s="1013"/>
      <c r="HF5" s="1013"/>
      <c r="HG5" s="1013"/>
      <c r="HH5" s="1013"/>
      <c r="HI5" s="1013"/>
      <c r="HJ5" s="1013"/>
      <c r="HK5" s="1013"/>
      <c r="HL5" s="1013"/>
      <c r="HM5" s="1013"/>
      <c r="HN5" s="1013"/>
      <c r="HO5" s="1013"/>
      <c r="HP5" s="1013"/>
      <c r="HQ5" s="1013"/>
      <c r="HR5" s="1013"/>
      <c r="HS5" s="1013"/>
      <c r="HT5" s="1013"/>
      <c r="HU5" s="1013"/>
      <c r="HV5" s="1013"/>
      <c r="HW5" s="1013"/>
      <c r="HX5" s="1013"/>
      <c r="HY5" s="1013"/>
      <c r="HZ5" s="1013"/>
      <c r="IA5" s="1013"/>
      <c r="IB5" s="1013"/>
      <c r="IC5" s="1013"/>
      <c r="ID5" s="1013"/>
      <c r="IE5" s="1013"/>
      <c r="IF5" s="1013"/>
      <c r="IG5" s="1013"/>
      <c r="IH5" s="1013"/>
      <c r="II5" s="1013"/>
      <c r="IJ5" s="1013"/>
      <c r="IK5" s="1013"/>
      <c r="IL5" s="1013"/>
      <c r="IM5" s="1013"/>
      <c r="IN5" s="1013"/>
      <c r="IO5" s="1013"/>
      <c r="IP5" s="1013"/>
      <c r="IQ5" s="1013"/>
      <c r="IR5" s="1013"/>
      <c r="IS5" s="1013"/>
      <c r="IT5" s="1013"/>
      <c r="IU5" s="1013"/>
    </row>
    <row r="6" spans="1:255" s="1031" customFormat="1" ht="21" customHeight="1">
      <c r="A6" s="1032" t="s">
        <v>611</v>
      </c>
      <c r="B6" s="1033" t="s">
        <v>70</v>
      </c>
      <c r="C6" s="1034">
        <v>49</v>
      </c>
      <c r="D6" s="1035">
        <v>0</v>
      </c>
      <c r="E6" s="1036">
        <v>0</v>
      </c>
      <c r="F6" s="1037">
        <v>0</v>
      </c>
      <c r="G6" s="1037">
        <v>0</v>
      </c>
      <c r="H6" s="1037">
        <v>0</v>
      </c>
      <c r="I6" s="1037">
        <v>0</v>
      </c>
      <c r="J6" s="1037">
        <f t="shared" si="2"/>
        <v>0</v>
      </c>
      <c r="K6" s="1037">
        <v>0</v>
      </c>
      <c r="L6" s="1037">
        <f t="shared" si="0"/>
        <v>0</v>
      </c>
      <c r="M6" s="1038">
        <v>0</v>
      </c>
      <c r="N6" s="1029">
        <f t="shared" si="1"/>
        <v>0</v>
      </c>
      <c r="O6" s="1030"/>
      <c r="P6" s="1013"/>
      <c r="Q6" s="1013"/>
      <c r="R6" s="1013"/>
      <c r="S6" s="1013"/>
      <c r="T6" s="1013"/>
      <c r="U6" s="1013"/>
      <c r="V6" s="1013"/>
      <c r="W6" s="1013"/>
      <c r="X6" s="1013"/>
      <c r="Y6" s="1013"/>
      <c r="Z6" s="1013"/>
      <c r="AA6" s="1013"/>
      <c r="AB6" s="1013"/>
      <c r="AC6" s="1013"/>
      <c r="AD6" s="1013"/>
      <c r="AE6" s="1013"/>
      <c r="AF6" s="1013"/>
      <c r="AG6" s="1013"/>
      <c r="AH6" s="1013"/>
      <c r="AI6" s="1013"/>
      <c r="AJ6" s="1013"/>
      <c r="AK6" s="1013"/>
      <c r="AL6" s="1013"/>
      <c r="AM6" s="1013"/>
      <c r="AN6" s="1013"/>
      <c r="AO6" s="1013"/>
      <c r="AP6" s="1013"/>
      <c r="AQ6" s="1013"/>
      <c r="AR6" s="1013"/>
      <c r="AS6" s="1013"/>
      <c r="AT6" s="1013"/>
      <c r="AU6" s="1013"/>
      <c r="AV6" s="1013"/>
      <c r="AW6" s="1013"/>
      <c r="AX6" s="1013"/>
      <c r="AY6" s="1013"/>
      <c r="AZ6" s="1013"/>
      <c r="BA6" s="1013"/>
      <c r="BB6" s="1013"/>
      <c r="BC6" s="1013"/>
      <c r="BD6" s="1013"/>
      <c r="BE6" s="1013"/>
      <c r="BF6" s="1013"/>
      <c r="BG6" s="1013"/>
      <c r="BH6" s="1013"/>
      <c r="BI6" s="1013"/>
      <c r="BJ6" s="1013"/>
      <c r="BK6" s="1013"/>
      <c r="BL6" s="1013"/>
      <c r="BM6" s="1013"/>
      <c r="BN6" s="1013"/>
      <c r="BO6" s="1013"/>
      <c r="BP6" s="1013"/>
      <c r="BQ6" s="1013"/>
      <c r="BR6" s="1013"/>
      <c r="BS6" s="1013"/>
      <c r="BT6" s="1013"/>
      <c r="BU6" s="1013"/>
      <c r="BV6" s="1013"/>
      <c r="BW6" s="1013"/>
      <c r="BX6" s="1013"/>
      <c r="BY6" s="1013"/>
      <c r="BZ6" s="1013"/>
      <c r="CA6" s="1013"/>
      <c r="CB6" s="1013"/>
      <c r="CC6" s="1013"/>
      <c r="CD6" s="1013"/>
      <c r="CE6" s="1013"/>
      <c r="CF6" s="1013"/>
      <c r="CG6" s="1013"/>
      <c r="CH6" s="1013"/>
      <c r="CI6" s="1013"/>
      <c r="CJ6" s="1013"/>
      <c r="CK6" s="1013"/>
      <c r="CL6" s="1013"/>
      <c r="CM6" s="1013"/>
      <c r="CN6" s="1013"/>
      <c r="CO6" s="1013"/>
      <c r="CP6" s="1013"/>
      <c r="CQ6" s="1013"/>
      <c r="CR6" s="1013"/>
      <c r="CS6" s="1013"/>
      <c r="CT6" s="1013"/>
      <c r="CU6" s="1013"/>
      <c r="CV6" s="1013"/>
      <c r="CW6" s="1013"/>
      <c r="CX6" s="1013"/>
      <c r="CY6" s="1013"/>
      <c r="CZ6" s="1013"/>
      <c r="DA6" s="1013"/>
      <c r="DB6" s="1013"/>
      <c r="DC6" s="1013"/>
      <c r="DD6" s="1013"/>
      <c r="DE6" s="1013"/>
      <c r="DF6" s="1013"/>
      <c r="DG6" s="1013"/>
      <c r="DH6" s="1013"/>
      <c r="DI6" s="1013"/>
      <c r="DJ6" s="1013"/>
      <c r="DK6" s="1013"/>
      <c r="DL6" s="1013"/>
      <c r="DM6" s="1013"/>
      <c r="DN6" s="1013"/>
      <c r="DO6" s="1013"/>
      <c r="DP6" s="1013"/>
      <c r="DQ6" s="1013"/>
      <c r="DR6" s="1013"/>
      <c r="DS6" s="1013"/>
      <c r="DT6" s="1013"/>
      <c r="DU6" s="1013"/>
      <c r="DV6" s="1013"/>
      <c r="DW6" s="1013"/>
      <c r="DX6" s="1013"/>
      <c r="DY6" s="1013"/>
      <c r="DZ6" s="1013"/>
      <c r="EA6" s="1013"/>
      <c r="EB6" s="1013"/>
      <c r="EC6" s="1013"/>
      <c r="ED6" s="1013"/>
      <c r="EE6" s="1013"/>
      <c r="EF6" s="1013"/>
      <c r="EG6" s="1013"/>
      <c r="EH6" s="1013"/>
      <c r="EI6" s="1013"/>
      <c r="EJ6" s="1013"/>
      <c r="EK6" s="1013"/>
      <c r="EL6" s="1013"/>
      <c r="EM6" s="1013"/>
      <c r="EN6" s="1013"/>
      <c r="EO6" s="1013"/>
      <c r="EP6" s="1013"/>
      <c r="EQ6" s="1013"/>
      <c r="ER6" s="1013"/>
      <c r="ES6" s="1013"/>
      <c r="ET6" s="1013"/>
      <c r="EU6" s="1013"/>
      <c r="EV6" s="1013"/>
      <c r="EW6" s="1013"/>
      <c r="EX6" s="1013"/>
      <c r="EY6" s="1013"/>
      <c r="EZ6" s="1013"/>
      <c r="FA6" s="1013"/>
      <c r="FB6" s="1013"/>
      <c r="FC6" s="1013"/>
      <c r="FD6" s="1013"/>
      <c r="FE6" s="1013"/>
      <c r="FF6" s="1013"/>
      <c r="FG6" s="1013"/>
      <c r="FH6" s="1013"/>
      <c r="FI6" s="1013"/>
      <c r="FJ6" s="1013"/>
      <c r="FK6" s="1013"/>
      <c r="FL6" s="1013"/>
      <c r="FM6" s="1013"/>
      <c r="FN6" s="1013"/>
      <c r="FO6" s="1013"/>
      <c r="FP6" s="1013"/>
      <c r="FQ6" s="1013"/>
      <c r="FR6" s="1013"/>
      <c r="FS6" s="1013"/>
      <c r="FT6" s="1013"/>
      <c r="FU6" s="1013"/>
      <c r="FV6" s="1013"/>
      <c r="FW6" s="1013"/>
      <c r="FX6" s="1013"/>
      <c r="FY6" s="1013"/>
      <c r="FZ6" s="1013"/>
      <c r="GA6" s="1013"/>
      <c r="GB6" s="1013"/>
      <c r="GC6" s="1013"/>
      <c r="GD6" s="1013"/>
      <c r="GE6" s="1013"/>
      <c r="GF6" s="1013"/>
      <c r="GG6" s="1013"/>
      <c r="GH6" s="1013"/>
      <c r="GI6" s="1013"/>
      <c r="GJ6" s="1013"/>
      <c r="GK6" s="1013"/>
      <c r="GL6" s="1013"/>
      <c r="GM6" s="1013"/>
      <c r="GN6" s="1013"/>
      <c r="GO6" s="1013"/>
      <c r="GP6" s="1013"/>
      <c r="GQ6" s="1013"/>
      <c r="GR6" s="1013"/>
      <c r="GS6" s="1013"/>
      <c r="GT6" s="1013"/>
      <c r="GU6" s="1013"/>
      <c r="GV6" s="1013"/>
      <c r="GW6" s="1013"/>
      <c r="GX6" s="1013"/>
      <c r="GY6" s="1013"/>
      <c r="GZ6" s="1013"/>
      <c r="HA6" s="1013"/>
      <c r="HB6" s="1013"/>
      <c r="HC6" s="1013"/>
      <c r="HD6" s="1013"/>
      <c r="HE6" s="1013"/>
      <c r="HF6" s="1013"/>
      <c r="HG6" s="1013"/>
      <c r="HH6" s="1013"/>
      <c r="HI6" s="1013"/>
      <c r="HJ6" s="1013"/>
      <c r="HK6" s="1013"/>
      <c r="HL6" s="1013"/>
      <c r="HM6" s="1013"/>
      <c r="HN6" s="1013"/>
      <c r="HO6" s="1013"/>
      <c r="HP6" s="1013"/>
      <c r="HQ6" s="1013"/>
      <c r="HR6" s="1013"/>
      <c r="HS6" s="1013"/>
      <c r="HT6" s="1013"/>
      <c r="HU6" s="1013"/>
      <c r="HV6" s="1013"/>
      <c r="HW6" s="1013"/>
      <c r="HX6" s="1013"/>
      <c r="HY6" s="1013"/>
      <c r="HZ6" s="1013"/>
      <c r="IA6" s="1013"/>
      <c r="IB6" s="1013"/>
      <c r="IC6" s="1013"/>
      <c r="ID6" s="1013"/>
      <c r="IE6" s="1013"/>
      <c r="IF6" s="1013"/>
      <c r="IG6" s="1013"/>
      <c r="IH6" s="1013"/>
      <c r="II6" s="1013"/>
      <c r="IJ6" s="1013"/>
      <c r="IK6" s="1013"/>
      <c r="IL6" s="1013"/>
      <c r="IM6" s="1013"/>
      <c r="IN6" s="1013"/>
      <c r="IO6" s="1013"/>
      <c r="IP6" s="1013"/>
      <c r="IQ6" s="1013"/>
      <c r="IR6" s="1013"/>
      <c r="IS6" s="1013"/>
      <c r="IT6" s="1013"/>
      <c r="IU6" s="1013"/>
    </row>
    <row r="7" spans="1:255" s="1031" customFormat="1" ht="21" customHeight="1">
      <c r="A7" s="1032" t="s">
        <v>610</v>
      </c>
      <c r="B7" s="1033" t="s">
        <v>70</v>
      </c>
      <c r="C7" s="1034">
        <v>50</v>
      </c>
      <c r="D7" s="1035">
        <v>0</v>
      </c>
      <c r="E7" s="1036">
        <v>0</v>
      </c>
      <c r="F7" s="1037">
        <v>0</v>
      </c>
      <c r="G7" s="1037">
        <v>0</v>
      </c>
      <c r="H7" s="1037">
        <v>0</v>
      </c>
      <c r="I7" s="1037">
        <v>0</v>
      </c>
      <c r="J7" s="1037">
        <f t="shared" si="2"/>
        <v>0</v>
      </c>
      <c r="K7" s="1037">
        <v>0</v>
      </c>
      <c r="L7" s="1037">
        <f t="shared" si="0"/>
        <v>0</v>
      </c>
      <c r="M7" s="1038"/>
      <c r="N7" s="1029">
        <f t="shared" si="1"/>
        <v>0</v>
      </c>
      <c r="O7" s="1030"/>
      <c r="P7" s="1013"/>
      <c r="Q7" s="1013"/>
      <c r="R7" s="1013"/>
      <c r="S7" s="1013"/>
      <c r="T7" s="1013"/>
      <c r="U7" s="1013"/>
      <c r="V7" s="1013"/>
      <c r="W7" s="1013"/>
      <c r="X7" s="1013"/>
      <c r="Y7" s="1013"/>
      <c r="Z7" s="1013"/>
      <c r="AA7" s="1013"/>
      <c r="AB7" s="1013"/>
      <c r="AC7" s="1013"/>
      <c r="AD7" s="1013"/>
      <c r="AE7" s="1013"/>
      <c r="AF7" s="1013"/>
      <c r="AG7" s="1013"/>
      <c r="AH7" s="1013"/>
      <c r="AI7" s="1013"/>
      <c r="AJ7" s="1013"/>
      <c r="AK7" s="1013"/>
      <c r="AL7" s="1013"/>
      <c r="AM7" s="1013"/>
      <c r="AN7" s="1013"/>
      <c r="AO7" s="1013"/>
      <c r="AP7" s="1013"/>
      <c r="AQ7" s="1013"/>
      <c r="AR7" s="1013"/>
      <c r="AS7" s="1013"/>
      <c r="AT7" s="1013"/>
      <c r="AU7" s="1013"/>
      <c r="AV7" s="1013"/>
      <c r="AW7" s="1013"/>
      <c r="AX7" s="1013"/>
      <c r="AY7" s="1013"/>
      <c r="AZ7" s="1013"/>
      <c r="BA7" s="1013"/>
      <c r="BB7" s="1013"/>
      <c r="BC7" s="1013"/>
      <c r="BD7" s="1013"/>
      <c r="BE7" s="1013"/>
      <c r="BF7" s="1013"/>
      <c r="BG7" s="1013"/>
      <c r="BH7" s="1013"/>
      <c r="BI7" s="1013"/>
      <c r="BJ7" s="1013"/>
      <c r="BK7" s="1013"/>
      <c r="BL7" s="1013"/>
      <c r="BM7" s="1013"/>
      <c r="BN7" s="1013"/>
      <c r="BO7" s="1013"/>
      <c r="BP7" s="1013"/>
      <c r="BQ7" s="1013"/>
      <c r="BR7" s="1013"/>
      <c r="BS7" s="1013"/>
      <c r="BT7" s="1013"/>
      <c r="BU7" s="1013"/>
      <c r="BV7" s="1013"/>
      <c r="BW7" s="1013"/>
      <c r="BX7" s="1013"/>
      <c r="BY7" s="1013"/>
      <c r="BZ7" s="1013"/>
      <c r="CA7" s="1013"/>
      <c r="CB7" s="1013"/>
      <c r="CC7" s="1013"/>
      <c r="CD7" s="1013"/>
      <c r="CE7" s="1013"/>
      <c r="CF7" s="1013"/>
      <c r="CG7" s="1013"/>
      <c r="CH7" s="1013"/>
      <c r="CI7" s="1013"/>
      <c r="CJ7" s="1013"/>
      <c r="CK7" s="1013"/>
      <c r="CL7" s="1013"/>
      <c r="CM7" s="1013"/>
      <c r="CN7" s="1013"/>
      <c r="CO7" s="1013"/>
      <c r="CP7" s="1013"/>
      <c r="CQ7" s="1013"/>
      <c r="CR7" s="1013"/>
      <c r="CS7" s="1013"/>
      <c r="CT7" s="1013"/>
      <c r="CU7" s="1013"/>
      <c r="CV7" s="1013"/>
      <c r="CW7" s="1013"/>
      <c r="CX7" s="1013"/>
      <c r="CY7" s="1013"/>
      <c r="CZ7" s="1013"/>
      <c r="DA7" s="1013"/>
      <c r="DB7" s="1013"/>
      <c r="DC7" s="1013"/>
      <c r="DD7" s="1013"/>
      <c r="DE7" s="1013"/>
      <c r="DF7" s="1013"/>
      <c r="DG7" s="1013"/>
      <c r="DH7" s="1013"/>
      <c r="DI7" s="1013"/>
      <c r="DJ7" s="1013"/>
      <c r="DK7" s="1013"/>
      <c r="DL7" s="1013"/>
      <c r="DM7" s="1013"/>
      <c r="DN7" s="1013"/>
      <c r="DO7" s="1013"/>
      <c r="DP7" s="1013"/>
      <c r="DQ7" s="1013"/>
      <c r="DR7" s="1013"/>
      <c r="DS7" s="1013"/>
      <c r="DT7" s="1013"/>
      <c r="DU7" s="1013"/>
      <c r="DV7" s="1013"/>
      <c r="DW7" s="1013"/>
      <c r="DX7" s="1013"/>
      <c r="DY7" s="1013"/>
      <c r="DZ7" s="1013"/>
      <c r="EA7" s="1013"/>
      <c r="EB7" s="1013"/>
      <c r="EC7" s="1013"/>
      <c r="ED7" s="1013"/>
      <c r="EE7" s="1013"/>
      <c r="EF7" s="1013"/>
      <c r="EG7" s="1013"/>
      <c r="EH7" s="1013"/>
      <c r="EI7" s="1013"/>
      <c r="EJ7" s="1013"/>
      <c r="EK7" s="1013"/>
      <c r="EL7" s="1013"/>
      <c r="EM7" s="1013"/>
      <c r="EN7" s="1013"/>
      <c r="EO7" s="1013"/>
      <c r="EP7" s="1013"/>
      <c r="EQ7" s="1013"/>
      <c r="ER7" s="1013"/>
      <c r="ES7" s="1013"/>
      <c r="ET7" s="1013"/>
      <c r="EU7" s="1013"/>
      <c r="EV7" s="1013"/>
      <c r="EW7" s="1013"/>
      <c r="EX7" s="1013"/>
      <c r="EY7" s="1013"/>
      <c r="EZ7" s="1013"/>
      <c r="FA7" s="1013"/>
      <c r="FB7" s="1013"/>
      <c r="FC7" s="1013"/>
      <c r="FD7" s="1013"/>
      <c r="FE7" s="1013"/>
      <c r="FF7" s="1013"/>
      <c r="FG7" s="1013"/>
      <c r="FH7" s="1013"/>
      <c r="FI7" s="1013"/>
      <c r="FJ7" s="1013"/>
      <c r="FK7" s="1013"/>
      <c r="FL7" s="1013"/>
      <c r="FM7" s="1013"/>
      <c r="FN7" s="1013"/>
      <c r="FO7" s="1013"/>
      <c r="FP7" s="1013"/>
      <c r="FQ7" s="1013"/>
      <c r="FR7" s="1013"/>
      <c r="FS7" s="1013"/>
      <c r="FT7" s="1013"/>
      <c r="FU7" s="1013"/>
      <c r="FV7" s="1013"/>
      <c r="FW7" s="1013"/>
      <c r="FX7" s="1013"/>
      <c r="FY7" s="1013"/>
      <c r="FZ7" s="1013"/>
      <c r="GA7" s="1013"/>
      <c r="GB7" s="1013"/>
      <c r="GC7" s="1013"/>
      <c r="GD7" s="1013"/>
      <c r="GE7" s="1013"/>
      <c r="GF7" s="1013"/>
      <c r="GG7" s="1013"/>
      <c r="GH7" s="1013"/>
      <c r="GI7" s="1013"/>
      <c r="GJ7" s="1013"/>
      <c r="GK7" s="1013"/>
      <c r="GL7" s="1013"/>
      <c r="GM7" s="1013"/>
      <c r="GN7" s="1013"/>
      <c r="GO7" s="1013"/>
      <c r="GP7" s="1013"/>
      <c r="GQ7" s="1013"/>
      <c r="GR7" s="1013"/>
      <c r="GS7" s="1013"/>
      <c r="GT7" s="1013"/>
      <c r="GU7" s="1013"/>
      <c r="GV7" s="1013"/>
      <c r="GW7" s="1013"/>
      <c r="GX7" s="1013"/>
      <c r="GY7" s="1013"/>
      <c r="GZ7" s="1013"/>
      <c r="HA7" s="1013"/>
      <c r="HB7" s="1013"/>
      <c r="HC7" s="1013"/>
      <c r="HD7" s="1013"/>
      <c r="HE7" s="1013"/>
      <c r="HF7" s="1013"/>
      <c r="HG7" s="1013"/>
      <c r="HH7" s="1013"/>
      <c r="HI7" s="1013"/>
      <c r="HJ7" s="1013"/>
      <c r="HK7" s="1013"/>
      <c r="HL7" s="1013"/>
      <c r="HM7" s="1013"/>
      <c r="HN7" s="1013"/>
      <c r="HO7" s="1013"/>
      <c r="HP7" s="1013"/>
      <c r="HQ7" s="1013"/>
      <c r="HR7" s="1013"/>
      <c r="HS7" s="1013"/>
      <c r="HT7" s="1013"/>
      <c r="HU7" s="1013"/>
      <c r="HV7" s="1013"/>
      <c r="HW7" s="1013"/>
      <c r="HX7" s="1013"/>
      <c r="HY7" s="1013"/>
      <c r="HZ7" s="1013"/>
      <c r="IA7" s="1013"/>
      <c r="IB7" s="1013"/>
      <c r="IC7" s="1013"/>
      <c r="ID7" s="1013"/>
      <c r="IE7" s="1013"/>
      <c r="IF7" s="1013"/>
      <c r="IG7" s="1013"/>
      <c r="IH7" s="1013"/>
      <c r="II7" s="1013"/>
      <c r="IJ7" s="1013"/>
      <c r="IK7" s="1013"/>
      <c r="IL7" s="1013"/>
      <c r="IM7" s="1013"/>
      <c r="IN7" s="1013"/>
      <c r="IO7" s="1013"/>
      <c r="IP7" s="1013"/>
      <c r="IQ7" s="1013"/>
      <c r="IR7" s="1013"/>
      <c r="IS7" s="1013"/>
      <c r="IT7" s="1013"/>
      <c r="IU7" s="1013"/>
    </row>
    <row r="8" spans="1:255" s="1031" customFormat="1" ht="21" customHeight="1">
      <c r="A8" s="1032" t="s">
        <v>448</v>
      </c>
      <c r="B8" s="1033" t="s">
        <v>70</v>
      </c>
      <c r="C8" s="1034">
        <v>55</v>
      </c>
      <c r="D8" s="1035">
        <v>0</v>
      </c>
      <c r="E8" s="1036">
        <v>0</v>
      </c>
      <c r="F8" s="1037">
        <v>0</v>
      </c>
      <c r="G8" s="1037"/>
      <c r="H8" s="1037"/>
      <c r="I8" s="1037">
        <v>0</v>
      </c>
      <c r="J8" s="1037">
        <f t="shared" si="2"/>
        <v>0</v>
      </c>
      <c r="K8" s="1037"/>
      <c r="L8" s="1037">
        <f t="shared" si="0"/>
        <v>0</v>
      </c>
      <c r="M8" s="1038"/>
      <c r="N8" s="1029">
        <f t="shared" si="1"/>
        <v>0</v>
      </c>
      <c r="O8" s="1030"/>
      <c r="P8" s="1013"/>
      <c r="Q8" s="1013"/>
      <c r="R8" s="1013"/>
      <c r="S8" s="1013"/>
      <c r="T8" s="1013"/>
      <c r="U8" s="1013"/>
      <c r="V8" s="1013"/>
      <c r="W8" s="1013"/>
      <c r="X8" s="1013"/>
      <c r="Y8" s="1013"/>
      <c r="Z8" s="1013"/>
      <c r="AA8" s="1013"/>
      <c r="AB8" s="1013"/>
      <c r="AC8" s="1013"/>
      <c r="AD8" s="1013"/>
      <c r="AE8" s="1013"/>
      <c r="AF8" s="1013"/>
      <c r="AG8" s="1013"/>
      <c r="AH8" s="1013"/>
      <c r="AI8" s="1013"/>
      <c r="AJ8" s="1013"/>
      <c r="AK8" s="1013"/>
      <c r="AL8" s="1013"/>
      <c r="AM8" s="1013"/>
      <c r="AN8" s="1013"/>
      <c r="AO8" s="1013"/>
      <c r="AP8" s="1013"/>
      <c r="AQ8" s="1013"/>
      <c r="AR8" s="1013"/>
      <c r="AS8" s="1013"/>
      <c r="AT8" s="1013"/>
      <c r="AU8" s="1013"/>
      <c r="AV8" s="1013"/>
      <c r="AW8" s="1013"/>
      <c r="AX8" s="1013"/>
      <c r="AY8" s="1013"/>
      <c r="AZ8" s="1013"/>
      <c r="BA8" s="1013"/>
      <c r="BB8" s="1013"/>
      <c r="BC8" s="1013"/>
      <c r="BD8" s="1013"/>
      <c r="BE8" s="1013"/>
      <c r="BF8" s="1013"/>
      <c r="BG8" s="1013"/>
      <c r="BH8" s="1013"/>
      <c r="BI8" s="1013"/>
      <c r="BJ8" s="1013"/>
      <c r="BK8" s="1013"/>
      <c r="BL8" s="1013"/>
      <c r="BM8" s="1013"/>
      <c r="BN8" s="1013"/>
      <c r="BO8" s="1013"/>
      <c r="BP8" s="1013"/>
      <c r="BQ8" s="1013"/>
      <c r="BR8" s="1013"/>
      <c r="BS8" s="1013"/>
      <c r="BT8" s="1013"/>
      <c r="BU8" s="1013"/>
      <c r="BV8" s="1013"/>
      <c r="BW8" s="1013"/>
      <c r="BX8" s="1013"/>
      <c r="BY8" s="1013"/>
      <c r="BZ8" s="1013"/>
      <c r="CA8" s="1013"/>
      <c r="CB8" s="1013"/>
      <c r="CC8" s="1013"/>
      <c r="CD8" s="1013"/>
      <c r="CE8" s="1013"/>
      <c r="CF8" s="1013"/>
      <c r="CG8" s="1013"/>
      <c r="CH8" s="1013"/>
      <c r="CI8" s="1013"/>
      <c r="CJ8" s="1013"/>
      <c r="CK8" s="1013"/>
      <c r="CL8" s="1013"/>
      <c r="CM8" s="1013"/>
      <c r="CN8" s="1013"/>
      <c r="CO8" s="1013"/>
      <c r="CP8" s="1013"/>
      <c r="CQ8" s="1013"/>
      <c r="CR8" s="1013"/>
      <c r="CS8" s="1013"/>
      <c r="CT8" s="1013"/>
      <c r="CU8" s="1013"/>
      <c r="CV8" s="1013"/>
      <c r="CW8" s="1013"/>
      <c r="CX8" s="1013"/>
      <c r="CY8" s="1013"/>
      <c r="CZ8" s="1013"/>
      <c r="DA8" s="1013"/>
      <c r="DB8" s="1013"/>
      <c r="DC8" s="1013"/>
      <c r="DD8" s="1013"/>
      <c r="DE8" s="1013"/>
      <c r="DF8" s="1013"/>
      <c r="DG8" s="1013"/>
      <c r="DH8" s="1013"/>
      <c r="DI8" s="1013"/>
      <c r="DJ8" s="1013"/>
      <c r="DK8" s="1013"/>
      <c r="DL8" s="1013"/>
      <c r="DM8" s="1013"/>
      <c r="DN8" s="1013"/>
      <c r="DO8" s="1013"/>
      <c r="DP8" s="1013"/>
      <c r="DQ8" s="1013"/>
      <c r="DR8" s="1013"/>
      <c r="DS8" s="1013"/>
      <c r="DT8" s="1013"/>
      <c r="DU8" s="1013"/>
      <c r="DV8" s="1013"/>
      <c r="DW8" s="1013"/>
      <c r="DX8" s="1013"/>
      <c r="DY8" s="1013"/>
      <c r="DZ8" s="1013"/>
      <c r="EA8" s="1013"/>
      <c r="EB8" s="1013"/>
      <c r="EC8" s="1013"/>
      <c r="ED8" s="1013"/>
      <c r="EE8" s="1013"/>
      <c r="EF8" s="1013"/>
      <c r="EG8" s="1013"/>
      <c r="EH8" s="1013"/>
      <c r="EI8" s="1013"/>
      <c r="EJ8" s="1013"/>
      <c r="EK8" s="1013"/>
      <c r="EL8" s="1013"/>
      <c r="EM8" s="1013"/>
      <c r="EN8" s="1013"/>
      <c r="EO8" s="1013"/>
      <c r="EP8" s="1013"/>
      <c r="EQ8" s="1013"/>
      <c r="ER8" s="1013"/>
      <c r="ES8" s="1013"/>
      <c r="ET8" s="1013"/>
      <c r="EU8" s="1013"/>
      <c r="EV8" s="1013"/>
      <c r="EW8" s="1013"/>
      <c r="EX8" s="1013"/>
      <c r="EY8" s="1013"/>
      <c r="EZ8" s="1013"/>
      <c r="FA8" s="1013"/>
      <c r="FB8" s="1013"/>
      <c r="FC8" s="1013"/>
      <c r="FD8" s="1013"/>
      <c r="FE8" s="1013"/>
      <c r="FF8" s="1013"/>
      <c r="FG8" s="1013"/>
      <c r="FH8" s="1013"/>
      <c r="FI8" s="1013"/>
      <c r="FJ8" s="1013"/>
      <c r="FK8" s="1013"/>
      <c r="FL8" s="1013"/>
      <c r="FM8" s="1013"/>
      <c r="FN8" s="1013"/>
      <c r="FO8" s="1013"/>
      <c r="FP8" s="1013"/>
      <c r="FQ8" s="1013"/>
      <c r="FR8" s="1013"/>
      <c r="FS8" s="1013"/>
      <c r="FT8" s="1013"/>
      <c r="FU8" s="1013"/>
      <c r="FV8" s="1013"/>
      <c r="FW8" s="1013"/>
      <c r="FX8" s="1013"/>
      <c r="FY8" s="1013"/>
      <c r="FZ8" s="1013"/>
      <c r="GA8" s="1013"/>
      <c r="GB8" s="1013"/>
      <c r="GC8" s="1013"/>
      <c r="GD8" s="1013"/>
      <c r="GE8" s="1013"/>
      <c r="GF8" s="1013"/>
      <c r="GG8" s="1013"/>
      <c r="GH8" s="1013"/>
      <c r="GI8" s="1013"/>
      <c r="GJ8" s="1013"/>
      <c r="GK8" s="1013"/>
      <c r="GL8" s="1013"/>
      <c r="GM8" s="1013"/>
      <c r="GN8" s="1013"/>
      <c r="GO8" s="1013"/>
      <c r="GP8" s="1013"/>
      <c r="GQ8" s="1013"/>
      <c r="GR8" s="1013"/>
      <c r="GS8" s="1013"/>
      <c r="GT8" s="1013"/>
      <c r="GU8" s="1013"/>
      <c r="GV8" s="1013"/>
      <c r="GW8" s="1013"/>
      <c r="GX8" s="1013"/>
      <c r="GY8" s="1013"/>
      <c r="GZ8" s="1013"/>
      <c r="HA8" s="1013"/>
      <c r="HB8" s="1013"/>
      <c r="HC8" s="1013"/>
      <c r="HD8" s="1013"/>
      <c r="HE8" s="1013"/>
      <c r="HF8" s="1013"/>
      <c r="HG8" s="1013"/>
      <c r="HH8" s="1013"/>
      <c r="HI8" s="1013"/>
      <c r="HJ8" s="1013"/>
      <c r="HK8" s="1013"/>
      <c r="HL8" s="1013"/>
      <c r="HM8" s="1013"/>
      <c r="HN8" s="1013"/>
      <c r="HO8" s="1013"/>
      <c r="HP8" s="1013"/>
      <c r="HQ8" s="1013"/>
      <c r="HR8" s="1013"/>
      <c r="HS8" s="1013"/>
      <c r="HT8" s="1013"/>
      <c r="HU8" s="1013"/>
      <c r="HV8" s="1013"/>
      <c r="HW8" s="1013"/>
      <c r="HX8" s="1013"/>
      <c r="HY8" s="1013"/>
      <c r="HZ8" s="1013"/>
      <c r="IA8" s="1013"/>
      <c r="IB8" s="1013"/>
      <c r="IC8" s="1013"/>
      <c r="ID8" s="1013"/>
      <c r="IE8" s="1013"/>
      <c r="IF8" s="1013"/>
      <c r="IG8" s="1013"/>
      <c r="IH8" s="1013"/>
      <c r="II8" s="1013"/>
      <c r="IJ8" s="1013"/>
      <c r="IK8" s="1013"/>
      <c r="IL8" s="1013"/>
      <c r="IM8" s="1013"/>
      <c r="IN8" s="1013"/>
      <c r="IO8" s="1013"/>
      <c r="IP8" s="1013"/>
      <c r="IQ8" s="1013"/>
      <c r="IR8" s="1013"/>
      <c r="IS8" s="1013"/>
      <c r="IT8" s="1013"/>
      <c r="IU8" s="1013"/>
    </row>
    <row r="9" spans="1:255" s="1031" customFormat="1" ht="21" customHeight="1">
      <c r="A9" s="1032" t="s">
        <v>440</v>
      </c>
      <c r="B9" s="1033" t="s">
        <v>70</v>
      </c>
      <c r="C9" s="1034">
        <v>59</v>
      </c>
      <c r="D9" s="1035">
        <v>0</v>
      </c>
      <c r="E9" s="1036">
        <v>0</v>
      </c>
      <c r="F9" s="1037">
        <v>0</v>
      </c>
      <c r="G9" s="1037">
        <v>0</v>
      </c>
      <c r="H9" s="1037">
        <v>0</v>
      </c>
      <c r="I9" s="1037">
        <v>0</v>
      </c>
      <c r="J9" s="1037">
        <f t="shared" si="2"/>
        <v>0</v>
      </c>
      <c r="K9" s="1037">
        <v>0</v>
      </c>
      <c r="L9" s="1037">
        <f t="shared" si="0"/>
        <v>0</v>
      </c>
      <c r="M9" s="1038"/>
      <c r="N9" s="1029">
        <f t="shared" si="1"/>
        <v>0</v>
      </c>
      <c r="O9" s="1030"/>
      <c r="P9" s="1013"/>
      <c r="Q9" s="1013"/>
      <c r="R9" s="1013"/>
      <c r="S9" s="1013"/>
      <c r="T9" s="1013"/>
      <c r="U9" s="1013"/>
      <c r="V9" s="1013"/>
      <c r="W9" s="1013"/>
      <c r="X9" s="1013"/>
      <c r="Y9" s="1013"/>
      <c r="Z9" s="1013"/>
      <c r="AA9" s="1013"/>
      <c r="AB9" s="1013"/>
      <c r="AC9" s="1013"/>
      <c r="AD9" s="1013"/>
      <c r="AE9" s="1013"/>
      <c r="AF9" s="1013"/>
      <c r="AG9" s="1013"/>
      <c r="AH9" s="1013"/>
      <c r="AI9" s="1013"/>
      <c r="AJ9" s="1013"/>
      <c r="AK9" s="1013"/>
      <c r="AL9" s="1013"/>
      <c r="AM9" s="1013"/>
      <c r="AN9" s="1013"/>
      <c r="AO9" s="1013"/>
      <c r="AP9" s="1013"/>
      <c r="AQ9" s="1013"/>
      <c r="AR9" s="1013"/>
      <c r="AS9" s="1013"/>
      <c r="AT9" s="1013"/>
      <c r="AU9" s="1013"/>
      <c r="AV9" s="1013"/>
      <c r="AW9" s="1013"/>
      <c r="AX9" s="1013"/>
      <c r="AY9" s="1013"/>
      <c r="AZ9" s="1013"/>
      <c r="BA9" s="1013"/>
      <c r="BB9" s="1013"/>
      <c r="BC9" s="1013"/>
      <c r="BD9" s="1013"/>
      <c r="BE9" s="1013"/>
      <c r="BF9" s="1013"/>
      <c r="BG9" s="1013"/>
      <c r="BH9" s="1013"/>
      <c r="BI9" s="1013"/>
      <c r="BJ9" s="1013"/>
      <c r="BK9" s="1013"/>
      <c r="BL9" s="1013"/>
      <c r="BM9" s="1013"/>
      <c r="BN9" s="1013"/>
      <c r="BO9" s="1013"/>
      <c r="BP9" s="1013"/>
      <c r="BQ9" s="1013"/>
      <c r="BR9" s="1013"/>
      <c r="BS9" s="1013"/>
      <c r="BT9" s="1013"/>
      <c r="BU9" s="1013"/>
      <c r="BV9" s="1013"/>
      <c r="BW9" s="1013"/>
      <c r="BX9" s="1013"/>
      <c r="BY9" s="1013"/>
      <c r="BZ9" s="1013"/>
      <c r="CA9" s="1013"/>
      <c r="CB9" s="1013"/>
      <c r="CC9" s="1013"/>
      <c r="CD9" s="1013"/>
      <c r="CE9" s="1013"/>
      <c r="CF9" s="1013"/>
      <c r="CG9" s="1013"/>
      <c r="CH9" s="1013"/>
      <c r="CI9" s="1013"/>
      <c r="CJ9" s="1013"/>
      <c r="CK9" s="1013"/>
      <c r="CL9" s="1013"/>
      <c r="CM9" s="1013"/>
      <c r="CN9" s="1013"/>
      <c r="CO9" s="1013"/>
      <c r="CP9" s="1013"/>
      <c r="CQ9" s="1013"/>
      <c r="CR9" s="1013"/>
      <c r="CS9" s="1013"/>
      <c r="CT9" s="1013"/>
      <c r="CU9" s="1013"/>
      <c r="CV9" s="1013"/>
      <c r="CW9" s="1013"/>
      <c r="CX9" s="1013"/>
      <c r="CY9" s="1013"/>
      <c r="CZ9" s="1013"/>
      <c r="DA9" s="1013"/>
      <c r="DB9" s="1013"/>
      <c r="DC9" s="1013"/>
      <c r="DD9" s="1013"/>
      <c r="DE9" s="1013"/>
      <c r="DF9" s="1013"/>
      <c r="DG9" s="1013"/>
      <c r="DH9" s="1013"/>
      <c r="DI9" s="1013"/>
      <c r="DJ9" s="1013"/>
      <c r="DK9" s="1013"/>
      <c r="DL9" s="1013"/>
      <c r="DM9" s="1013"/>
      <c r="DN9" s="1013"/>
      <c r="DO9" s="1013"/>
      <c r="DP9" s="1013"/>
      <c r="DQ9" s="1013"/>
      <c r="DR9" s="1013"/>
      <c r="DS9" s="1013"/>
      <c r="DT9" s="1013"/>
      <c r="DU9" s="1013"/>
      <c r="DV9" s="1013"/>
      <c r="DW9" s="1013"/>
      <c r="DX9" s="1013"/>
      <c r="DY9" s="1013"/>
      <c r="DZ9" s="1013"/>
      <c r="EA9" s="1013"/>
      <c r="EB9" s="1013"/>
      <c r="EC9" s="1013"/>
      <c r="ED9" s="1013"/>
      <c r="EE9" s="1013"/>
      <c r="EF9" s="1013"/>
      <c r="EG9" s="1013"/>
      <c r="EH9" s="1013"/>
      <c r="EI9" s="1013"/>
      <c r="EJ9" s="1013"/>
      <c r="EK9" s="1013"/>
      <c r="EL9" s="1013"/>
      <c r="EM9" s="1013"/>
      <c r="EN9" s="1013"/>
      <c r="EO9" s="1013"/>
      <c r="EP9" s="1013"/>
      <c r="EQ9" s="1013"/>
      <c r="ER9" s="1013"/>
      <c r="ES9" s="1013"/>
      <c r="ET9" s="1013"/>
      <c r="EU9" s="1013"/>
      <c r="EV9" s="1013"/>
      <c r="EW9" s="1013"/>
      <c r="EX9" s="1013"/>
      <c r="EY9" s="1013"/>
      <c r="EZ9" s="1013"/>
      <c r="FA9" s="1013"/>
      <c r="FB9" s="1013"/>
      <c r="FC9" s="1013"/>
      <c r="FD9" s="1013"/>
      <c r="FE9" s="1013"/>
      <c r="FF9" s="1013"/>
      <c r="FG9" s="1013"/>
      <c r="FH9" s="1013"/>
      <c r="FI9" s="1013"/>
      <c r="FJ9" s="1013"/>
      <c r="FK9" s="1013"/>
      <c r="FL9" s="1013"/>
      <c r="FM9" s="1013"/>
      <c r="FN9" s="1013"/>
      <c r="FO9" s="1013"/>
      <c r="FP9" s="1013"/>
      <c r="FQ9" s="1013"/>
      <c r="FR9" s="1013"/>
      <c r="FS9" s="1013"/>
      <c r="FT9" s="1013"/>
      <c r="FU9" s="1013"/>
      <c r="FV9" s="1013"/>
      <c r="FW9" s="1013"/>
      <c r="FX9" s="1013"/>
      <c r="FY9" s="1013"/>
      <c r="FZ9" s="1013"/>
      <c r="GA9" s="1013"/>
      <c r="GB9" s="1013"/>
      <c r="GC9" s="1013"/>
      <c r="GD9" s="1013"/>
      <c r="GE9" s="1013"/>
      <c r="GF9" s="1013"/>
      <c r="GG9" s="1013"/>
      <c r="GH9" s="1013"/>
      <c r="GI9" s="1013"/>
      <c r="GJ9" s="1013"/>
      <c r="GK9" s="1013"/>
      <c r="GL9" s="1013"/>
      <c r="GM9" s="1013"/>
      <c r="GN9" s="1013"/>
      <c r="GO9" s="1013"/>
      <c r="GP9" s="1013"/>
      <c r="GQ9" s="1013"/>
      <c r="GR9" s="1013"/>
      <c r="GS9" s="1013"/>
      <c r="GT9" s="1013"/>
      <c r="GU9" s="1013"/>
      <c r="GV9" s="1013"/>
      <c r="GW9" s="1013"/>
      <c r="GX9" s="1013"/>
      <c r="GY9" s="1013"/>
      <c r="GZ9" s="1013"/>
      <c r="HA9" s="1013"/>
      <c r="HB9" s="1013"/>
      <c r="HC9" s="1013"/>
      <c r="HD9" s="1013"/>
      <c r="HE9" s="1013"/>
      <c r="HF9" s="1013"/>
      <c r="HG9" s="1013"/>
      <c r="HH9" s="1013"/>
      <c r="HI9" s="1013"/>
      <c r="HJ9" s="1013"/>
      <c r="HK9" s="1013"/>
      <c r="HL9" s="1013"/>
      <c r="HM9" s="1013"/>
      <c r="HN9" s="1013"/>
      <c r="HO9" s="1013"/>
      <c r="HP9" s="1013"/>
      <c r="HQ9" s="1013"/>
      <c r="HR9" s="1013"/>
      <c r="HS9" s="1013"/>
      <c r="HT9" s="1013"/>
      <c r="HU9" s="1013"/>
      <c r="HV9" s="1013"/>
      <c r="HW9" s="1013"/>
      <c r="HX9" s="1013"/>
      <c r="HY9" s="1013"/>
      <c r="HZ9" s="1013"/>
      <c r="IA9" s="1013"/>
      <c r="IB9" s="1013"/>
      <c r="IC9" s="1013"/>
      <c r="ID9" s="1013"/>
      <c r="IE9" s="1013"/>
      <c r="IF9" s="1013"/>
      <c r="IG9" s="1013"/>
      <c r="IH9" s="1013"/>
      <c r="II9" s="1013"/>
      <c r="IJ9" s="1013"/>
      <c r="IK9" s="1013"/>
      <c r="IL9" s="1013"/>
      <c r="IM9" s="1013"/>
      <c r="IN9" s="1013"/>
      <c r="IO9" s="1013"/>
      <c r="IP9" s="1013"/>
      <c r="IQ9" s="1013"/>
      <c r="IR9" s="1013"/>
      <c r="IS9" s="1013"/>
      <c r="IT9" s="1013"/>
      <c r="IU9" s="1013"/>
    </row>
    <row r="10" spans="1:255" s="1031" customFormat="1" ht="21" customHeight="1">
      <c r="A10" s="1032" t="s">
        <v>862</v>
      </c>
      <c r="B10" s="1033" t="s">
        <v>70</v>
      </c>
      <c r="C10" s="1034">
        <v>58</v>
      </c>
      <c r="D10" s="1035">
        <v>0</v>
      </c>
      <c r="E10" s="1036">
        <v>0</v>
      </c>
      <c r="F10" s="1037">
        <v>0</v>
      </c>
      <c r="G10" s="1037">
        <v>0</v>
      </c>
      <c r="H10" s="1037">
        <v>0</v>
      </c>
      <c r="I10" s="1037">
        <v>0</v>
      </c>
      <c r="J10" s="1037">
        <f t="shared" si="2"/>
        <v>0</v>
      </c>
      <c r="K10" s="1037">
        <v>0</v>
      </c>
      <c r="L10" s="1037">
        <f t="shared" si="0"/>
        <v>0</v>
      </c>
      <c r="M10" s="1038"/>
      <c r="N10" s="1029">
        <f t="shared" si="1"/>
        <v>0</v>
      </c>
      <c r="O10" s="1030"/>
      <c r="P10" s="1013"/>
      <c r="Q10" s="1013"/>
      <c r="R10" s="1013"/>
      <c r="S10" s="1013"/>
      <c r="T10" s="1013"/>
      <c r="U10" s="1013"/>
      <c r="V10" s="1013"/>
      <c r="W10" s="1013"/>
      <c r="X10" s="1013"/>
      <c r="Y10" s="1013"/>
      <c r="Z10" s="1013"/>
      <c r="AA10" s="1013"/>
      <c r="AB10" s="1013"/>
      <c r="AC10" s="1013"/>
      <c r="AD10" s="1013"/>
      <c r="AE10" s="1013"/>
      <c r="AF10" s="1013"/>
      <c r="AG10" s="1013"/>
      <c r="AH10" s="1013"/>
      <c r="AI10" s="1013"/>
      <c r="AJ10" s="1013"/>
      <c r="AK10" s="1013"/>
      <c r="AL10" s="1013"/>
      <c r="AM10" s="1013"/>
      <c r="AN10" s="1013"/>
      <c r="AO10" s="1013"/>
      <c r="AP10" s="1013"/>
      <c r="AQ10" s="1013"/>
      <c r="AR10" s="1013"/>
      <c r="AS10" s="1013"/>
      <c r="AT10" s="1013"/>
      <c r="AU10" s="1013"/>
      <c r="AV10" s="1013"/>
      <c r="AW10" s="1013"/>
      <c r="AX10" s="1013"/>
      <c r="AY10" s="1013"/>
      <c r="AZ10" s="1013"/>
      <c r="BA10" s="1013"/>
      <c r="BB10" s="1013"/>
      <c r="BC10" s="1013"/>
      <c r="BD10" s="1013"/>
      <c r="BE10" s="1013"/>
      <c r="BF10" s="1013"/>
      <c r="BG10" s="1013"/>
      <c r="BH10" s="1013"/>
      <c r="BI10" s="1013"/>
      <c r="BJ10" s="1013"/>
      <c r="BK10" s="1013"/>
      <c r="BL10" s="1013"/>
      <c r="BM10" s="1013"/>
      <c r="BN10" s="1013"/>
      <c r="BO10" s="1013"/>
      <c r="BP10" s="1013"/>
      <c r="BQ10" s="1013"/>
      <c r="BR10" s="1013"/>
      <c r="BS10" s="1013"/>
      <c r="BT10" s="1013"/>
      <c r="BU10" s="1013"/>
      <c r="BV10" s="1013"/>
      <c r="BW10" s="1013"/>
      <c r="BX10" s="1013"/>
      <c r="BY10" s="1013"/>
      <c r="BZ10" s="1013"/>
      <c r="CA10" s="1013"/>
      <c r="CB10" s="1013"/>
      <c r="CC10" s="1013"/>
      <c r="CD10" s="1013"/>
      <c r="CE10" s="1013"/>
      <c r="CF10" s="1013"/>
      <c r="CG10" s="1013"/>
      <c r="CH10" s="1013"/>
      <c r="CI10" s="1013"/>
      <c r="CJ10" s="1013"/>
      <c r="CK10" s="1013"/>
      <c r="CL10" s="1013"/>
      <c r="CM10" s="1013"/>
      <c r="CN10" s="1013"/>
      <c r="CO10" s="1013"/>
      <c r="CP10" s="1013"/>
      <c r="CQ10" s="1013"/>
      <c r="CR10" s="1013"/>
      <c r="CS10" s="1013"/>
      <c r="CT10" s="1013"/>
      <c r="CU10" s="1013"/>
      <c r="CV10" s="1013"/>
      <c r="CW10" s="1013"/>
      <c r="CX10" s="1013"/>
      <c r="CY10" s="1013"/>
      <c r="CZ10" s="1013"/>
      <c r="DA10" s="1013"/>
      <c r="DB10" s="1013"/>
      <c r="DC10" s="1013"/>
      <c r="DD10" s="1013"/>
      <c r="DE10" s="1013"/>
      <c r="DF10" s="1013"/>
      <c r="DG10" s="1013"/>
      <c r="DH10" s="1013"/>
      <c r="DI10" s="1013"/>
      <c r="DJ10" s="1013"/>
      <c r="DK10" s="1013"/>
      <c r="DL10" s="1013"/>
      <c r="DM10" s="1013"/>
      <c r="DN10" s="1013"/>
      <c r="DO10" s="1013"/>
      <c r="DP10" s="1013"/>
      <c r="DQ10" s="1013"/>
      <c r="DR10" s="1013"/>
      <c r="DS10" s="1013"/>
      <c r="DT10" s="1013"/>
      <c r="DU10" s="1013"/>
      <c r="DV10" s="1013"/>
      <c r="DW10" s="1013"/>
      <c r="DX10" s="1013"/>
      <c r="DY10" s="1013"/>
      <c r="DZ10" s="1013"/>
      <c r="EA10" s="1013"/>
      <c r="EB10" s="1013"/>
      <c r="EC10" s="1013"/>
      <c r="ED10" s="1013"/>
      <c r="EE10" s="1013"/>
      <c r="EF10" s="1013"/>
      <c r="EG10" s="1013"/>
      <c r="EH10" s="1013"/>
      <c r="EI10" s="1013"/>
      <c r="EJ10" s="1013"/>
      <c r="EK10" s="1013"/>
      <c r="EL10" s="1013"/>
      <c r="EM10" s="1013"/>
      <c r="EN10" s="1013"/>
      <c r="EO10" s="1013"/>
      <c r="EP10" s="1013"/>
      <c r="EQ10" s="1013"/>
      <c r="ER10" s="1013"/>
      <c r="ES10" s="1013"/>
      <c r="ET10" s="1013"/>
      <c r="EU10" s="1013"/>
      <c r="EV10" s="1013"/>
      <c r="EW10" s="1013"/>
      <c r="EX10" s="1013"/>
      <c r="EY10" s="1013"/>
      <c r="EZ10" s="1013"/>
      <c r="FA10" s="1013"/>
      <c r="FB10" s="1013"/>
      <c r="FC10" s="1013"/>
      <c r="FD10" s="1013"/>
      <c r="FE10" s="1013"/>
      <c r="FF10" s="1013"/>
      <c r="FG10" s="1013"/>
      <c r="FH10" s="1013"/>
      <c r="FI10" s="1013"/>
      <c r="FJ10" s="1013"/>
      <c r="FK10" s="1013"/>
      <c r="FL10" s="1013"/>
      <c r="FM10" s="1013"/>
      <c r="FN10" s="1013"/>
      <c r="FO10" s="1013"/>
      <c r="FP10" s="1013"/>
      <c r="FQ10" s="1013"/>
      <c r="FR10" s="1013"/>
      <c r="FS10" s="1013"/>
      <c r="FT10" s="1013"/>
      <c r="FU10" s="1013"/>
      <c r="FV10" s="1013"/>
      <c r="FW10" s="1013"/>
      <c r="FX10" s="1013"/>
      <c r="FY10" s="1013"/>
      <c r="FZ10" s="1013"/>
      <c r="GA10" s="1013"/>
      <c r="GB10" s="1013"/>
      <c r="GC10" s="1013"/>
      <c r="GD10" s="1013"/>
      <c r="GE10" s="1013"/>
      <c r="GF10" s="1013"/>
      <c r="GG10" s="1013"/>
      <c r="GH10" s="1013"/>
      <c r="GI10" s="1013"/>
      <c r="GJ10" s="1013"/>
      <c r="GK10" s="1013"/>
      <c r="GL10" s="1013"/>
      <c r="GM10" s="1013"/>
      <c r="GN10" s="1013"/>
      <c r="GO10" s="1013"/>
      <c r="GP10" s="1013"/>
      <c r="GQ10" s="1013"/>
      <c r="GR10" s="1013"/>
      <c r="GS10" s="1013"/>
      <c r="GT10" s="1013"/>
      <c r="GU10" s="1013"/>
      <c r="GV10" s="1013"/>
      <c r="GW10" s="1013"/>
      <c r="GX10" s="1013"/>
      <c r="GY10" s="1013"/>
      <c r="GZ10" s="1013"/>
      <c r="HA10" s="1013"/>
      <c r="HB10" s="1013"/>
      <c r="HC10" s="1013"/>
      <c r="HD10" s="1013"/>
      <c r="HE10" s="1013"/>
      <c r="HF10" s="1013"/>
      <c r="HG10" s="1013"/>
      <c r="HH10" s="1013"/>
      <c r="HI10" s="1013"/>
      <c r="HJ10" s="1013"/>
      <c r="HK10" s="1013"/>
      <c r="HL10" s="1013"/>
      <c r="HM10" s="1013"/>
      <c r="HN10" s="1013"/>
      <c r="HO10" s="1013"/>
      <c r="HP10" s="1013"/>
      <c r="HQ10" s="1013"/>
      <c r="HR10" s="1013"/>
      <c r="HS10" s="1013"/>
      <c r="HT10" s="1013"/>
      <c r="HU10" s="1013"/>
      <c r="HV10" s="1013"/>
      <c r="HW10" s="1013"/>
      <c r="HX10" s="1013"/>
      <c r="HY10" s="1013"/>
      <c r="HZ10" s="1013"/>
      <c r="IA10" s="1013"/>
      <c r="IB10" s="1013"/>
      <c r="IC10" s="1013"/>
      <c r="ID10" s="1013"/>
      <c r="IE10" s="1013"/>
      <c r="IF10" s="1013"/>
      <c r="IG10" s="1013"/>
      <c r="IH10" s="1013"/>
      <c r="II10" s="1013"/>
      <c r="IJ10" s="1013"/>
      <c r="IK10" s="1013"/>
      <c r="IL10" s="1013"/>
      <c r="IM10" s="1013"/>
      <c r="IN10" s="1013"/>
      <c r="IO10" s="1013"/>
      <c r="IP10" s="1013"/>
      <c r="IQ10" s="1013"/>
      <c r="IR10" s="1013"/>
      <c r="IS10" s="1013"/>
      <c r="IT10" s="1013"/>
      <c r="IU10" s="1013"/>
    </row>
    <row r="11" spans="1:255" s="1031" customFormat="1" ht="21" customHeight="1">
      <c r="A11" s="1032" t="s">
        <v>475</v>
      </c>
      <c r="B11" s="1033" t="s">
        <v>70</v>
      </c>
      <c r="C11" s="1034">
        <v>60</v>
      </c>
      <c r="D11" s="1035">
        <v>0</v>
      </c>
      <c r="E11" s="1036">
        <v>0</v>
      </c>
      <c r="F11" s="1037">
        <v>0</v>
      </c>
      <c r="G11" s="1037">
        <v>0</v>
      </c>
      <c r="H11" s="1037">
        <v>0</v>
      </c>
      <c r="I11" s="1037">
        <v>0</v>
      </c>
      <c r="J11" s="1037">
        <f t="shared" si="2"/>
        <v>0</v>
      </c>
      <c r="K11" s="1037">
        <v>0</v>
      </c>
      <c r="L11" s="1037">
        <f t="shared" si="0"/>
        <v>0</v>
      </c>
      <c r="M11" s="1038"/>
      <c r="N11" s="1029">
        <f t="shared" si="1"/>
        <v>0</v>
      </c>
      <c r="O11" s="1030"/>
      <c r="P11" s="1013"/>
      <c r="Q11" s="1013"/>
      <c r="R11" s="1013"/>
      <c r="S11" s="1013"/>
      <c r="T11" s="1013"/>
      <c r="U11" s="1013"/>
      <c r="V11" s="1013"/>
      <c r="W11" s="1013"/>
      <c r="X11" s="1013"/>
      <c r="Y11" s="1013"/>
      <c r="Z11" s="1013"/>
      <c r="AA11" s="1013"/>
      <c r="AB11" s="1013"/>
      <c r="AC11" s="1013"/>
      <c r="AD11" s="1013"/>
      <c r="AE11" s="1013"/>
      <c r="AF11" s="1013"/>
      <c r="AG11" s="1013"/>
      <c r="AH11" s="1013"/>
      <c r="AI11" s="1013"/>
      <c r="AJ11" s="1013"/>
      <c r="AK11" s="1013"/>
      <c r="AL11" s="1013"/>
      <c r="AM11" s="1013"/>
      <c r="AN11" s="1013"/>
      <c r="AO11" s="1013"/>
      <c r="AP11" s="1013"/>
      <c r="AQ11" s="1013"/>
      <c r="AR11" s="1013"/>
      <c r="AS11" s="1013"/>
      <c r="AT11" s="1013"/>
      <c r="AU11" s="1013"/>
      <c r="AV11" s="1013"/>
      <c r="AW11" s="1013"/>
      <c r="AX11" s="1013"/>
      <c r="AY11" s="1013"/>
      <c r="AZ11" s="1013"/>
      <c r="BA11" s="1013"/>
      <c r="BB11" s="1013"/>
      <c r="BC11" s="1013"/>
      <c r="BD11" s="1013"/>
      <c r="BE11" s="1013"/>
      <c r="BF11" s="1013"/>
      <c r="BG11" s="1013"/>
      <c r="BH11" s="1013"/>
      <c r="BI11" s="1013"/>
      <c r="BJ11" s="1013"/>
      <c r="BK11" s="1013"/>
      <c r="BL11" s="1013"/>
      <c r="BM11" s="1013"/>
      <c r="BN11" s="1013"/>
      <c r="BO11" s="1013"/>
      <c r="BP11" s="1013"/>
      <c r="BQ11" s="1013"/>
      <c r="BR11" s="1013"/>
      <c r="BS11" s="1013"/>
      <c r="BT11" s="1013"/>
      <c r="BU11" s="1013"/>
      <c r="BV11" s="1013"/>
      <c r="BW11" s="1013"/>
      <c r="BX11" s="1013"/>
      <c r="BY11" s="1013"/>
      <c r="BZ11" s="1013"/>
      <c r="CA11" s="1013"/>
      <c r="CB11" s="1013"/>
      <c r="CC11" s="1013"/>
      <c r="CD11" s="1013"/>
      <c r="CE11" s="1013"/>
      <c r="CF11" s="1013"/>
      <c r="CG11" s="1013"/>
      <c r="CH11" s="1013"/>
      <c r="CI11" s="1013"/>
      <c r="CJ11" s="1013"/>
      <c r="CK11" s="1013"/>
      <c r="CL11" s="1013"/>
      <c r="CM11" s="1013"/>
      <c r="CN11" s="1013"/>
      <c r="CO11" s="1013"/>
      <c r="CP11" s="1013"/>
      <c r="CQ11" s="1013"/>
      <c r="CR11" s="1013"/>
      <c r="CS11" s="1013"/>
      <c r="CT11" s="1013"/>
      <c r="CU11" s="1013"/>
      <c r="CV11" s="1013"/>
      <c r="CW11" s="1013"/>
      <c r="CX11" s="1013"/>
      <c r="CY11" s="1013"/>
      <c r="CZ11" s="1013"/>
      <c r="DA11" s="1013"/>
      <c r="DB11" s="1013"/>
      <c r="DC11" s="1013"/>
      <c r="DD11" s="1013"/>
      <c r="DE11" s="1013"/>
      <c r="DF11" s="1013"/>
      <c r="DG11" s="1013"/>
      <c r="DH11" s="1013"/>
      <c r="DI11" s="1013"/>
      <c r="DJ11" s="1013"/>
      <c r="DK11" s="1013"/>
      <c r="DL11" s="1013"/>
      <c r="DM11" s="1013"/>
      <c r="DN11" s="1013"/>
      <c r="DO11" s="1013"/>
      <c r="DP11" s="1013"/>
      <c r="DQ11" s="1013"/>
      <c r="DR11" s="1013"/>
      <c r="DS11" s="1013"/>
      <c r="DT11" s="1013"/>
      <c r="DU11" s="1013"/>
      <c r="DV11" s="1013"/>
      <c r="DW11" s="1013"/>
      <c r="DX11" s="1013"/>
      <c r="DY11" s="1013"/>
      <c r="DZ11" s="1013"/>
      <c r="EA11" s="1013"/>
      <c r="EB11" s="1013"/>
      <c r="EC11" s="1013"/>
      <c r="ED11" s="1013"/>
      <c r="EE11" s="1013"/>
      <c r="EF11" s="1013"/>
      <c r="EG11" s="1013"/>
      <c r="EH11" s="1013"/>
      <c r="EI11" s="1013"/>
      <c r="EJ11" s="1013"/>
      <c r="EK11" s="1013"/>
      <c r="EL11" s="1013"/>
      <c r="EM11" s="1013"/>
      <c r="EN11" s="1013"/>
      <c r="EO11" s="1013"/>
      <c r="EP11" s="1013"/>
      <c r="EQ11" s="1013"/>
      <c r="ER11" s="1013"/>
      <c r="ES11" s="1013"/>
      <c r="ET11" s="1013"/>
      <c r="EU11" s="1013"/>
      <c r="EV11" s="1013"/>
      <c r="EW11" s="1013"/>
      <c r="EX11" s="1013"/>
      <c r="EY11" s="1013"/>
      <c r="EZ11" s="1013"/>
      <c r="FA11" s="1013"/>
      <c r="FB11" s="1013"/>
      <c r="FC11" s="1013"/>
      <c r="FD11" s="1013"/>
      <c r="FE11" s="1013"/>
      <c r="FF11" s="1013"/>
      <c r="FG11" s="1013"/>
      <c r="FH11" s="1013"/>
      <c r="FI11" s="1013"/>
      <c r="FJ11" s="1013"/>
      <c r="FK11" s="1013"/>
      <c r="FL11" s="1013"/>
      <c r="FM11" s="1013"/>
      <c r="FN11" s="1013"/>
      <c r="FO11" s="1013"/>
      <c r="FP11" s="1013"/>
      <c r="FQ11" s="1013"/>
      <c r="FR11" s="1013"/>
      <c r="FS11" s="1013"/>
      <c r="FT11" s="1013"/>
      <c r="FU11" s="1013"/>
      <c r="FV11" s="1013"/>
      <c r="FW11" s="1013"/>
      <c r="FX11" s="1013"/>
      <c r="FY11" s="1013"/>
      <c r="FZ11" s="1013"/>
      <c r="GA11" s="1013"/>
      <c r="GB11" s="1013"/>
      <c r="GC11" s="1013"/>
      <c r="GD11" s="1013"/>
      <c r="GE11" s="1013"/>
      <c r="GF11" s="1013"/>
      <c r="GG11" s="1013"/>
      <c r="GH11" s="1013"/>
      <c r="GI11" s="1013"/>
      <c r="GJ11" s="1013"/>
      <c r="GK11" s="1013"/>
      <c r="GL11" s="1013"/>
      <c r="GM11" s="1013"/>
      <c r="GN11" s="1013"/>
      <c r="GO11" s="1013"/>
      <c r="GP11" s="1013"/>
      <c r="GQ11" s="1013"/>
      <c r="GR11" s="1013"/>
      <c r="GS11" s="1013"/>
      <c r="GT11" s="1013"/>
      <c r="GU11" s="1013"/>
      <c r="GV11" s="1013"/>
      <c r="GW11" s="1013"/>
      <c r="GX11" s="1013"/>
      <c r="GY11" s="1013"/>
      <c r="GZ11" s="1013"/>
      <c r="HA11" s="1013"/>
      <c r="HB11" s="1013"/>
      <c r="HC11" s="1013"/>
      <c r="HD11" s="1013"/>
      <c r="HE11" s="1013"/>
      <c r="HF11" s="1013"/>
      <c r="HG11" s="1013"/>
      <c r="HH11" s="1013"/>
      <c r="HI11" s="1013"/>
      <c r="HJ11" s="1013"/>
      <c r="HK11" s="1013"/>
      <c r="HL11" s="1013"/>
      <c r="HM11" s="1013"/>
      <c r="HN11" s="1013"/>
      <c r="HO11" s="1013"/>
      <c r="HP11" s="1013"/>
      <c r="HQ11" s="1013"/>
      <c r="HR11" s="1013"/>
      <c r="HS11" s="1013"/>
      <c r="HT11" s="1013"/>
      <c r="HU11" s="1013"/>
      <c r="HV11" s="1013"/>
      <c r="HW11" s="1013"/>
      <c r="HX11" s="1013"/>
      <c r="HY11" s="1013"/>
      <c r="HZ11" s="1013"/>
      <c r="IA11" s="1013"/>
      <c r="IB11" s="1013"/>
      <c r="IC11" s="1013"/>
      <c r="ID11" s="1013"/>
      <c r="IE11" s="1013"/>
      <c r="IF11" s="1013"/>
      <c r="IG11" s="1013"/>
      <c r="IH11" s="1013"/>
      <c r="II11" s="1013"/>
      <c r="IJ11" s="1013"/>
      <c r="IK11" s="1013"/>
      <c r="IL11" s="1013"/>
      <c r="IM11" s="1013"/>
      <c r="IN11" s="1013"/>
      <c r="IO11" s="1013"/>
      <c r="IP11" s="1013"/>
      <c r="IQ11" s="1013"/>
      <c r="IR11" s="1013"/>
      <c r="IS11" s="1013"/>
      <c r="IT11" s="1013"/>
      <c r="IU11" s="1013"/>
    </row>
    <row r="12" spans="1:255" s="1031" customFormat="1" ht="21" customHeight="1">
      <c r="A12" s="1032" t="s">
        <v>853</v>
      </c>
      <c r="B12" s="1033" t="s">
        <v>70</v>
      </c>
      <c r="C12" s="1034">
        <v>61</v>
      </c>
      <c r="D12" s="1035">
        <v>0</v>
      </c>
      <c r="E12" s="1036">
        <v>0</v>
      </c>
      <c r="F12" s="1037">
        <v>0</v>
      </c>
      <c r="G12" s="1037">
        <v>0</v>
      </c>
      <c r="H12" s="1037">
        <v>0</v>
      </c>
      <c r="I12" s="1037">
        <v>0</v>
      </c>
      <c r="J12" s="1037">
        <f t="shared" si="2"/>
        <v>0</v>
      </c>
      <c r="K12" s="1037">
        <v>0</v>
      </c>
      <c r="L12" s="1037">
        <f t="shared" si="0"/>
        <v>0</v>
      </c>
      <c r="M12" s="1038"/>
      <c r="N12" s="1029">
        <f t="shared" si="1"/>
        <v>0</v>
      </c>
      <c r="O12" s="1030"/>
      <c r="P12" s="1013"/>
      <c r="Q12" s="1013"/>
      <c r="R12" s="1013"/>
      <c r="S12" s="1013"/>
      <c r="T12" s="1013"/>
      <c r="U12" s="1013"/>
      <c r="V12" s="1013"/>
      <c r="W12" s="1013"/>
      <c r="X12" s="1013"/>
      <c r="Y12" s="1013"/>
      <c r="Z12" s="1013"/>
      <c r="AA12" s="1013"/>
      <c r="AB12" s="1013"/>
      <c r="AC12" s="1013"/>
      <c r="AD12" s="1013"/>
      <c r="AE12" s="1013"/>
      <c r="AF12" s="1013"/>
      <c r="AG12" s="1013"/>
      <c r="AH12" s="1013"/>
      <c r="AI12" s="1013"/>
      <c r="AJ12" s="1013"/>
      <c r="AK12" s="1013"/>
      <c r="AL12" s="1013"/>
      <c r="AM12" s="1013"/>
      <c r="AN12" s="1013"/>
      <c r="AO12" s="1013"/>
      <c r="AP12" s="1013"/>
      <c r="AQ12" s="1013"/>
      <c r="AR12" s="1013"/>
      <c r="AS12" s="1013"/>
      <c r="AT12" s="1013"/>
      <c r="AU12" s="1013"/>
      <c r="AV12" s="1013"/>
      <c r="AW12" s="1013"/>
      <c r="AX12" s="1013"/>
      <c r="AY12" s="1013"/>
      <c r="AZ12" s="1013"/>
      <c r="BA12" s="1013"/>
      <c r="BB12" s="1013"/>
      <c r="BC12" s="1013"/>
      <c r="BD12" s="1013"/>
      <c r="BE12" s="1013"/>
      <c r="BF12" s="1013"/>
      <c r="BG12" s="1013"/>
      <c r="BH12" s="1013"/>
      <c r="BI12" s="1013"/>
      <c r="BJ12" s="1013"/>
      <c r="BK12" s="1013"/>
      <c r="BL12" s="1013"/>
      <c r="BM12" s="1013"/>
      <c r="BN12" s="1013"/>
      <c r="BO12" s="1013"/>
      <c r="BP12" s="1013"/>
      <c r="BQ12" s="1013"/>
      <c r="BR12" s="1013"/>
      <c r="BS12" s="1013"/>
      <c r="BT12" s="1013"/>
      <c r="BU12" s="1013"/>
      <c r="BV12" s="1013"/>
      <c r="BW12" s="1013"/>
      <c r="BX12" s="1013"/>
      <c r="BY12" s="1013"/>
      <c r="BZ12" s="1013"/>
      <c r="CA12" s="1013"/>
      <c r="CB12" s="1013"/>
      <c r="CC12" s="1013"/>
      <c r="CD12" s="1013"/>
      <c r="CE12" s="1013"/>
      <c r="CF12" s="1013"/>
      <c r="CG12" s="1013"/>
      <c r="CH12" s="1013"/>
      <c r="CI12" s="1013"/>
      <c r="CJ12" s="1013"/>
      <c r="CK12" s="1013"/>
      <c r="CL12" s="1013"/>
      <c r="CM12" s="1013"/>
      <c r="CN12" s="1013"/>
      <c r="CO12" s="1013"/>
      <c r="CP12" s="1013"/>
      <c r="CQ12" s="1013"/>
      <c r="CR12" s="1013"/>
      <c r="CS12" s="1013"/>
      <c r="CT12" s="1013"/>
      <c r="CU12" s="1013"/>
      <c r="CV12" s="1013"/>
      <c r="CW12" s="1013"/>
      <c r="CX12" s="1013"/>
      <c r="CY12" s="1013"/>
      <c r="CZ12" s="1013"/>
      <c r="DA12" s="1013"/>
      <c r="DB12" s="1013"/>
      <c r="DC12" s="1013"/>
      <c r="DD12" s="1013"/>
      <c r="DE12" s="1013"/>
      <c r="DF12" s="1013"/>
      <c r="DG12" s="1013"/>
      <c r="DH12" s="1013"/>
      <c r="DI12" s="1013"/>
      <c r="DJ12" s="1013"/>
      <c r="DK12" s="1013"/>
      <c r="DL12" s="1013"/>
      <c r="DM12" s="1013"/>
      <c r="DN12" s="1013"/>
      <c r="DO12" s="1013"/>
      <c r="DP12" s="1013"/>
      <c r="DQ12" s="1013"/>
      <c r="DR12" s="1013"/>
      <c r="DS12" s="1013"/>
      <c r="DT12" s="1013"/>
      <c r="DU12" s="1013"/>
      <c r="DV12" s="1013"/>
      <c r="DW12" s="1013"/>
      <c r="DX12" s="1013"/>
      <c r="DY12" s="1013"/>
      <c r="DZ12" s="1013"/>
      <c r="EA12" s="1013"/>
      <c r="EB12" s="1013"/>
      <c r="EC12" s="1013"/>
      <c r="ED12" s="1013"/>
      <c r="EE12" s="1013"/>
      <c r="EF12" s="1013"/>
      <c r="EG12" s="1013"/>
      <c r="EH12" s="1013"/>
      <c r="EI12" s="1013"/>
      <c r="EJ12" s="1013"/>
      <c r="EK12" s="1013"/>
      <c r="EL12" s="1013"/>
      <c r="EM12" s="1013"/>
      <c r="EN12" s="1013"/>
      <c r="EO12" s="1013"/>
      <c r="EP12" s="1013"/>
      <c r="EQ12" s="1013"/>
      <c r="ER12" s="1013"/>
      <c r="ES12" s="1013"/>
      <c r="ET12" s="1013"/>
      <c r="EU12" s="1013"/>
      <c r="EV12" s="1013"/>
      <c r="EW12" s="1013"/>
      <c r="EX12" s="1013"/>
      <c r="EY12" s="1013"/>
      <c r="EZ12" s="1013"/>
      <c r="FA12" s="1013"/>
      <c r="FB12" s="1013"/>
      <c r="FC12" s="1013"/>
      <c r="FD12" s="1013"/>
      <c r="FE12" s="1013"/>
      <c r="FF12" s="1013"/>
      <c r="FG12" s="1013"/>
      <c r="FH12" s="1013"/>
      <c r="FI12" s="1013"/>
      <c r="FJ12" s="1013"/>
      <c r="FK12" s="1013"/>
      <c r="FL12" s="1013"/>
      <c r="FM12" s="1013"/>
      <c r="FN12" s="1013"/>
      <c r="FO12" s="1013"/>
      <c r="FP12" s="1013"/>
      <c r="FQ12" s="1013"/>
      <c r="FR12" s="1013"/>
      <c r="FS12" s="1013"/>
      <c r="FT12" s="1013"/>
      <c r="FU12" s="1013"/>
      <c r="FV12" s="1013"/>
      <c r="FW12" s="1013"/>
      <c r="FX12" s="1013"/>
      <c r="FY12" s="1013"/>
      <c r="FZ12" s="1013"/>
      <c r="GA12" s="1013"/>
      <c r="GB12" s="1013"/>
      <c r="GC12" s="1013"/>
      <c r="GD12" s="1013"/>
      <c r="GE12" s="1013"/>
      <c r="GF12" s="1013"/>
      <c r="GG12" s="1013"/>
      <c r="GH12" s="1013"/>
      <c r="GI12" s="1013"/>
      <c r="GJ12" s="1013"/>
      <c r="GK12" s="1013"/>
      <c r="GL12" s="1013"/>
      <c r="GM12" s="1013"/>
      <c r="GN12" s="1013"/>
      <c r="GO12" s="1013"/>
      <c r="GP12" s="1013"/>
      <c r="GQ12" s="1013"/>
      <c r="GR12" s="1013"/>
      <c r="GS12" s="1013"/>
      <c r="GT12" s="1013"/>
      <c r="GU12" s="1013"/>
      <c r="GV12" s="1013"/>
      <c r="GW12" s="1013"/>
      <c r="GX12" s="1013"/>
      <c r="GY12" s="1013"/>
      <c r="GZ12" s="1013"/>
      <c r="HA12" s="1013"/>
      <c r="HB12" s="1013"/>
      <c r="HC12" s="1013"/>
      <c r="HD12" s="1013"/>
      <c r="HE12" s="1013"/>
      <c r="HF12" s="1013"/>
      <c r="HG12" s="1013"/>
      <c r="HH12" s="1013"/>
      <c r="HI12" s="1013"/>
      <c r="HJ12" s="1013"/>
      <c r="HK12" s="1013"/>
      <c r="HL12" s="1013"/>
      <c r="HM12" s="1013"/>
      <c r="HN12" s="1013"/>
      <c r="HO12" s="1013"/>
      <c r="HP12" s="1013"/>
      <c r="HQ12" s="1013"/>
      <c r="HR12" s="1013"/>
      <c r="HS12" s="1013"/>
      <c r="HT12" s="1013"/>
      <c r="HU12" s="1013"/>
      <c r="HV12" s="1013"/>
      <c r="HW12" s="1013"/>
      <c r="HX12" s="1013"/>
      <c r="HY12" s="1013"/>
      <c r="HZ12" s="1013"/>
      <c r="IA12" s="1013"/>
      <c r="IB12" s="1013"/>
      <c r="IC12" s="1013"/>
      <c r="ID12" s="1013"/>
      <c r="IE12" s="1013"/>
      <c r="IF12" s="1013"/>
      <c r="IG12" s="1013"/>
      <c r="IH12" s="1013"/>
      <c r="II12" s="1013"/>
      <c r="IJ12" s="1013"/>
      <c r="IK12" s="1013"/>
      <c r="IL12" s="1013"/>
      <c r="IM12" s="1013"/>
      <c r="IN12" s="1013"/>
      <c r="IO12" s="1013"/>
      <c r="IP12" s="1013"/>
      <c r="IQ12" s="1013"/>
      <c r="IR12" s="1013"/>
      <c r="IS12" s="1013"/>
      <c r="IT12" s="1013"/>
      <c r="IU12" s="1013"/>
    </row>
    <row r="13" spans="1:255" s="1031" customFormat="1" ht="21" customHeight="1">
      <c r="A13" s="1032" t="s">
        <v>609</v>
      </c>
      <c r="B13" s="1033" t="s">
        <v>70</v>
      </c>
      <c r="C13" s="1034">
        <v>103</v>
      </c>
      <c r="D13" s="1035">
        <v>0</v>
      </c>
      <c r="E13" s="1036">
        <v>0</v>
      </c>
      <c r="F13" s="1037">
        <v>0</v>
      </c>
      <c r="G13" s="1037">
        <v>0</v>
      </c>
      <c r="H13" s="1037">
        <v>0</v>
      </c>
      <c r="I13" s="1037">
        <v>0</v>
      </c>
      <c r="J13" s="1037">
        <f>D13+E13-F13-G13-H13-I13</f>
        <v>0</v>
      </c>
      <c r="K13" s="1039">
        <v>0</v>
      </c>
      <c r="L13" s="1037">
        <f>J13-K13</f>
        <v>0</v>
      </c>
      <c r="M13" s="1038"/>
      <c r="N13" s="1040">
        <f>M13-L13</f>
        <v>0</v>
      </c>
      <c r="O13" s="1030"/>
      <c r="P13" s="1013"/>
      <c r="Q13" s="1013"/>
      <c r="R13" s="1013"/>
      <c r="S13" s="1013"/>
      <c r="T13" s="1013"/>
      <c r="U13" s="1013"/>
      <c r="V13" s="1013"/>
      <c r="W13" s="1013"/>
      <c r="X13" s="1013"/>
      <c r="Y13" s="1013"/>
      <c r="Z13" s="1013"/>
      <c r="AA13" s="1013"/>
      <c r="AB13" s="1013"/>
      <c r="AC13" s="1013"/>
      <c r="AD13" s="1013"/>
      <c r="AE13" s="1013"/>
      <c r="AF13" s="1013"/>
      <c r="AG13" s="1013"/>
      <c r="AH13" s="1013"/>
      <c r="AI13" s="1013"/>
      <c r="AJ13" s="1013"/>
      <c r="AK13" s="1013"/>
      <c r="AL13" s="1013"/>
      <c r="AM13" s="1013"/>
      <c r="AN13" s="1013"/>
      <c r="AO13" s="1013"/>
      <c r="AP13" s="1013"/>
      <c r="AQ13" s="1013"/>
      <c r="AR13" s="1013"/>
      <c r="AS13" s="1013"/>
      <c r="AT13" s="1013"/>
      <c r="AU13" s="1013"/>
      <c r="AV13" s="1013"/>
      <c r="AW13" s="1013"/>
      <c r="AX13" s="1013"/>
      <c r="AY13" s="1013"/>
      <c r="AZ13" s="1013"/>
      <c r="BA13" s="1013"/>
      <c r="BB13" s="1013"/>
      <c r="BC13" s="1013"/>
      <c r="BD13" s="1013"/>
      <c r="BE13" s="1013"/>
      <c r="BF13" s="1013"/>
      <c r="BG13" s="1013"/>
      <c r="BH13" s="1013"/>
      <c r="BI13" s="1013"/>
      <c r="BJ13" s="1013"/>
      <c r="BK13" s="1013"/>
      <c r="BL13" s="1013"/>
      <c r="BM13" s="1013"/>
      <c r="BN13" s="1013"/>
      <c r="BO13" s="1013"/>
      <c r="BP13" s="1013"/>
      <c r="BQ13" s="1013"/>
      <c r="BR13" s="1013"/>
      <c r="BS13" s="1013"/>
      <c r="BT13" s="1013"/>
      <c r="BU13" s="1013"/>
      <c r="BV13" s="1013"/>
      <c r="BW13" s="1013"/>
      <c r="BX13" s="1013"/>
      <c r="BY13" s="1013"/>
      <c r="BZ13" s="1013"/>
      <c r="CA13" s="1013"/>
      <c r="CB13" s="1013"/>
      <c r="CC13" s="1013"/>
      <c r="CD13" s="1013"/>
      <c r="CE13" s="1013"/>
      <c r="CF13" s="1013"/>
      <c r="CG13" s="1013"/>
      <c r="CH13" s="1013"/>
      <c r="CI13" s="1013"/>
      <c r="CJ13" s="1013"/>
      <c r="CK13" s="1013"/>
      <c r="CL13" s="1013"/>
      <c r="CM13" s="1013"/>
      <c r="CN13" s="1013"/>
      <c r="CO13" s="1013"/>
      <c r="CP13" s="1013"/>
      <c r="CQ13" s="1013"/>
      <c r="CR13" s="1013"/>
      <c r="CS13" s="1013"/>
      <c r="CT13" s="1013"/>
      <c r="CU13" s="1013"/>
      <c r="CV13" s="1013"/>
      <c r="CW13" s="1013"/>
      <c r="CX13" s="1013"/>
      <c r="CY13" s="1013"/>
      <c r="CZ13" s="1013"/>
      <c r="DA13" s="1013"/>
      <c r="DB13" s="1013"/>
      <c r="DC13" s="1013"/>
      <c r="DD13" s="1013"/>
      <c r="DE13" s="1013"/>
      <c r="DF13" s="1013"/>
      <c r="DG13" s="1013"/>
      <c r="DH13" s="1013"/>
      <c r="DI13" s="1013"/>
      <c r="DJ13" s="1013"/>
      <c r="DK13" s="1013"/>
      <c r="DL13" s="1013"/>
      <c r="DM13" s="1013"/>
      <c r="DN13" s="1013"/>
      <c r="DO13" s="1013"/>
      <c r="DP13" s="1013"/>
      <c r="DQ13" s="1013"/>
      <c r="DR13" s="1013"/>
      <c r="DS13" s="1013"/>
      <c r="DT13" s="1013"/>
      <c r="DU13" s="1013"/>
      <c r="DV13" s="1013"/>
      <c r="DW13" s="1013"/>
      <c r="DX13" s="1013"/>
      <c r="DY13" s="1013"/>
      <c r="DZ13" s="1013"/>
      <c r="EA13" s="1013"/>
      <c r="EB13" s="1013"/>
      <c r="EC13" s="1013"/>
      <c r="ED13" s="1013"/>
      <c r="EE13" s="1013"/>
      <c r="EF13" s="1013"/>
      <c r="EG13" s="1013"/>
      <c r="EH13" s="1013"/>
      <c r="EI13" s="1013"/>
      <c r="EJ13" s="1013"/>
      <c r="EK13" s="1013"/>
      <c r="EL13" s="1013"/>
      <c r="EM13" s="1013"/>
      <c r="EN13" s="1013"/>
      <c r="EO13" s="1013"/>
      <c r="EP13" s="1013"/>
      <c r="EQ13" s="1013"/>
      <c r="ER13" s="1013"/>
      <c r="ES13" s="1013"/>
      <c r="ET13" s="1013"/>
      <c r="EU13" s="1013"/>
      <c r="EV13" s="1013"/>
      <c r="EW13" s="1013"/>
      <c r="EX13" s="1013"/>
      <c r="EY13" s="1013"/>
      <c r="EZ13" s="1013"/>
      <c r="FA13" s="1013"/>
      <c r="FB13" s="1013"/>
      <c r="FC13" s="1013"/>
      <c r="FD13" s="1013"/>
      <c r="FE13" s="1013"/>
      <c r="FF13" s="1013"/>
      <c r="FG13" s="1013"/>
      <c r="FH13" s="1013"/>
      <c r="FI13" s="1013"/>
      <c r="FJ13" s="1013"/>
      <c r="FK13" s="1013"/>
      <c r="FL13" s="1013"/>
      <c r="FM13" s="1013"/>
      <c r="FN13" s="1013"/>
      <c r="FO13" s="1013"/>
      <c r="FP13" s="1013"/>
      <c r="FQ13" s="1013"/>
      <c r="FR13" s="1013"/>
      <c r="FS13" s="1013"/>
      <c r="FT13" s="1013"/>
      <c r="FU13" s="1013"/>
      <c r="FV13" s="1013"/>
      <c r="FW13" s="1013"/>
      <c r="FX13" s="1013"/>
      <c r="FY13" s="1013"/>
      <c r="FZ13" s="1013"/>
      <c r="GA13" s="1013"/>
      <c r="GB13" s="1013"/>
      <c r="GC13" s="1013"/>
      <c r="GD13" s="1013"/>
      <c r="GE13" s="1013"/>
      <c r="GF13" s="1013"/>
      <c r="GG13" s="1013"/>
      <c r="GH13" s="1013"/>
      <c r="GI13" s="1013"/>
      <c r="GJ13" s="1013"/>
      <c r="GK13" s="1013"/>
      <c r="GL13" s="1013"/>
      <c r="GM13" s="1013"/>
      <c r="GN13" s="1013"/>
      <c r="GO13" s="1013"/>
      <c r="GP13" s="1013"/>
      <c r="GQ13" s="1013"/>
      <c r="GR13" s="1013"/>
      <c r="GS13" s="1013"/>
      <c r="GT13" s="1013"/>
      <c r="GU13" s="1013"/>
      <c r="GV13" s="1013"/>
      <c r="GW13" s="1013"/>
      <c r="GX13" s="1013"/>
      <c r="GY13" s="1013"/>
      <c r="GZ13" s="1013"/>
      <c r="HA13" s="1013"/>
      <c r="HB13" s="1013"/>
      <c r="HC13" s="1013"/>
      <c r="HD13" s="1013"/>
      <c r="HE13" s="1013"/>
      <c r="HF13" s="1013"/>
      <c r="HG13" s="1013"/>
      <c r="HH13" s="1013"/>
      <c r="HI13" s="1013"/>
      <c r="HJ13" s="1013"/>
      <c r="HK13" s="1013"/>
      <c r="HL13" s="1013"/>
      <c r="HM13" s="1013"/>
      <c r="HN13" s="1013"/>
      <c r="HO13" s="1013"/>
      <c r="HP13" s="1013"/>
      <c r="HQ13" s="1013"/>
      <c r="HR13" s="1013"/>
      <c r="HS13" s="1013"/>
      <c r="HT13" s="1013"/>
      <c r="HU13" s="1013"/>
      <c r="HV13" s="1013"/>
      <c r="HW13" s="1013"/>
      <c r="HX13" s="1013"/>
      <c r="HY13" s="1013"/>
      <c r="HZ13" s="1013"/>
      <c r="IA13" s="1013"/>
      <c r="IB13" s="1013"/>
      <c r="IC13" s="1013"/>
      <c r="ID13" s="1013"/>
      <c r="IE13" s="1013"/>
      <c r="IF13" s="1013"/>
      <c r="IG13" s="1013"/>
      <c r="IH13" s="1013"/>
      <c r="II13" s="1013"/>
      <c r="IJ13" s="1013"/>
      <c r="IK13" s="1013"/>
      <c r="IL13" s="1013"/>
      <c r="IM13" s="1013"/>
      <c r="IN13" s="1013"/>
      <c r="IO13" s="1013"/>
      <c r="IP13" s="1013"/>
      <c r="IQ13" s="1013"/>
      <c r="IR13" s="1013"/>
      <c r="IS13" s="1013"/>
      <c r="IT13" s="1013"/>
      <c r="IU13" s="1013"/>
    </row>
    <row r="14" spans="1:255" s="1031" customFormat="1" ht="21" customHeight="1">
      <c r="A14" s="1032" t="s">
        <v>863</v>
      </c>
      <c r="B14" s="1033" t="s">
        <v>864</v>
      </c>
      <c r="C14" s="1034">
        <v>114</v>
      </c>
      <c r="D14" s="1035">
        <v>1925</v>
      </c>
      <c r="E14" s="1036">
        <v>833.55999999999767</v>
      </c>
      <c r="F14" s="1037">
        <v>2946.2900000000373</v>
      </c>
      <c r="G14" s="1037">
        <v>0</v>
      </c>
      <c r="H14" s="1037">
        <v>0</v>
      </c>
      <c r="I14" s="1037">
        <v>0</v>
      </c>
      <c r="J14" s="1037">
        <f t="shared" si="2"/>
        <v>-187.73000000003958</v>
      </c>
      <c r="K14" s="1039">
        <v>0</v>
      </c>
      <c r="L14" s="1037">
        <f t="shared" si="0"/>
        <v>-187.73000000003958</v>
      </c>
      <c r="M14" s="1038">
        <v>-187.73</v>
      </c>
      <c r="N14" s="1029">
        <f t="shared" si="1"/>
        <v>3.9591441236552782E-11</v>
      </c>
      <c r="O14" s="1030"/>
      <c r="P14" s="1013"/>
      <c r="Q14" s="1013"/>
      <c r="R14" s="1013"/>
      <c r="S14" s="1013"/>
      <c r="T14" s="1013"/>
      <c r="U14" s="1013"/>
      <c r="V14" s="1013"/>
      <c r="W14" s="1013"/>
      <c r="X14" s="1013"/>
      <c r="Y14" s="1013"/>
      <c r="Z14" s="1013"/>
      <c r="AA14" s="1013"/>
      <c r="AB14" s="1013"/>
      <c r="AC14" s="1013"/>
      <c r="AD14" s="1013"/>
      <c r="AE14" s="1013"/>
      <c r="AF14" s="1013"/>
      <c r="AG14" s="1013"/>
      <c r="AH14" s="1013"/>
      <c r="AI14" s="1013"/>
      <c r="AJ14" s="1013"/>
      <c r="AK14" s="1013"/>
      <c r="AL14" s="1013"/>
      <c r="AM14" s="1013"/>
      <c r="AN14" s="1013"/>
      <c r="AO14" s="1013"/>
      <c r="AP14" s="1013"/>
      <c r="AQ14" s="1013"/>
      <c r="AR14" s="1013"/>
      <c r="AS14" s="1013"/>
      <c r="AT14" s="1013"/>
      <c r="AU14" s="1013"/>
      <c r="AV14" s="1013"/>
      <c r="AW14" s="1013"/>
      <c r="AX14" s="1013"/>
      <c r="AY14" s="1013"/>
      <c r="AZ14" s="1013"/>
      <c r="BA14" s="1013"/>
      <c r="BB14" s="1013"/>
      <c r="BC14" s="1013"/>
      <c r="BD14" s="1013"/>
      <c r="BE14" s="1013"/>
      <c r="BF14" s="1013"/>
      <c r="BG14" s="1013"/>
      <c r="BH14" s="1013"/>
      <c r="BI14" s="1013"/>
      <c r="BJ14" s="1013"/>
      <c r="BK14" s="1013"/>
      <c r="BL14" s="1013"/>
      <c r="BM14" s="1013"/>
      <c r="BN14" s="1013"/>
      <c r="BO14" s="1013"/>
      <c r="BP14" s="1013"/>
      <c r="BQ14" s="1013"/>
      <c r="BR14" s="1013"/>
      <c r="BS14" s="1013"/>
      <c r="BT14" s="1013"/>
      <c r="BU14" s="1013"/>
      <c r="BV14" s="1013"/>
      <c r="BW14" s="1013"/>
      <c r="BX14" s="1013"/>
      <c r="BY14" s="1013"/>
      <c r="BZ14" s="1013"/>
      <c r="CA14" s="1013"/>
      <c r="CB14" s="1013"/>
      <c r="CC14" s="1013"/>
      <c r="CD14" s="1013"/>
      <c r="CE14" s="1013"/>
      <c r="CF14" s="1013"/>
      <c r="CG14" s="1013"/>
      <c r="CH14" s="1013"/>
      <c r="CI14" s="1013"/>
      <c r="CJ14" s="1013"/>
      <c r="CK14" s="1013"/>
      <c r="CL14" s="1013"/>
      <c r="CM14" s="1013"/>
      <c r="CN14" s="1013"/>
      <c r="CO14" s="1013"/>
      <c r="CP14" s="1013"/>
      <c r="CQ14" s="1013"/>
      <c r="CR14" s="1013"/>
      <c r="CS14" s="1013"/>
      <c r="CT14" s="1013"/>
      <c r="CU14" s="1013"/>
      <c r="CV14" s="1013"/>
      <c r="CW14" s="1013"/>
      <c r="CX14" s="1013"/>
      <c r="CY14" s="1013"/>
      <c r="CZ14" s="1013"/>
      <c r="DA14" s="1013"/>
      <c r="DB14" s="1013"/>
      <c r="DC14" s="1013"/>
      <c r="DD14" s="1013"/>
      <c r="DE14" s="1013"/>
      <c r="DF14" s="1013"/>
      <c r="DG14" s="1013"/>
      <c r="DH14" s="1013"/>
      <c r="DI14" s="1013"/>
      <c r="DJ14" s="1013"/>
      <c r="DK14" s="1013"/>
      <c r="DL14" s="1013"/>
      <c r="DM14" s="1013"/>
      <c r="DN14" s="1013"/>
      <c r="DO14" s="1013"/>
      <c r="DP14" s="1013"/>
      <c r="DQ14" s="1013"/>
      <c r="DR14" s="1013"/>
      <c r="DS14" s="1013"/>
      <c r="DT14" s="1013"/>
      <c r="DU14" s="1013"/>
      <c r="DV14" s="1013"/>
      <c r="DW14" s="1013"/>
      <c r="DX14" s="1013"/>
      <c r="DY14" s="1013"/>
      <c r="DZ14" s="1013"/>
      <c r="EA14" s="1013"/>
      <c r="EB14" s="1013"/>
      <c r="EC14" s="1013"/>
      <c r="ED14" s="1013"/>
      <c r="EE14" s="1013"/>
      <c r="EF14" s="1013"/>
      <c r="EG14" s="1013"/>
      <c r="EH14" s="1013"/>
      <c r="EI14" s="1013"/>
      <c r="EJ14" s="1013"/>
      <c r="EK14" s="1013"/>
      <c r="EL14" s="1013"/>
      <c r="EM14" s="1013"/>
      <c r="EN14" s="1013"/>
      <c r="EO14" s="1013"/>
      <c r="EP14" s="1013"/>
      <c r="EQ14" s="1013"/>
      <c r="ER14" s="1013"/>
      <c r="ES14" s="1013"/>
      <c r="ET14" s="1013"/>
      <c r="EU14" s="1013"/>
      <c r="EV14" s="1013"/>
      <c r="EW14" s="1013"/>
      <c r="EX14" s="1013"/>
      <c r="EY14" s="1013"/>
      <c r="EZ14" s="1013"/>
      <c r="FA14" s="1013"/>
      <c r="FB14" s="1013"/>
      <c r="FC14" s="1013"/>
      <c r="FD14" s="1013"/>
      <c r="FE14" s="1013"/>
      <c r="FF14" s="1013"/>
      <c r="FG14" s="1013"/>
      <c r="FH14" s="1013"/>
      <c r="FI14" s="1013"/>
      <c r="FJ14" s="1013"/>
      <c r="FK14" s="1013"/>
      <c r="FL14" s="1013"/>
      <c r="FM14" s="1013"/>
      <c r="FN14" s="1013"/>
      <c r="FO14" s="1013"/>
      <c r="FP14" s="1013"/>
      <c r="FQ14" s="1013"/>
      <c r="FR14" s="1013"/>
      <c r="FS14" s="1013"/>
      <c r="FT14" s="1013"/>
      <c r="FU14" s="1013"/>
      <c r="FV14" s="1013"/>
      <c r="FW14" s="1013"/>
      <c r="FX14" s="1013"/>
      <c r="FY14" s="1013"/>
      <c r="FZ14" s="1013"/>
      <c r="GA14" s="1013"/>
      <c r="GB14" s="1013"/>
      <c r="GC14" s="1013"/>
      <c r="GD14" s="1013"/>
      <c r="GE14" s="1013"/>
      <c r="GF14" s="1013"/>
      <c r="GG14" s="1013"/>
      <c r="GH14" s="1013"/>
      <c r="GI14" s="1013"/>
      <c r="GJ14" s="1013"/>
      <c r="GK14" s="1013"/>
      <c r="GL14" s="1013"/>
      <c r="GM14" s="1013"/>
      <c r="GN14" s="1013"/>
      <c r="GO14" s="1013"/>
      <c r="GP14" s="1013"/>
      <c r="GQ14" s="1013"/>
      <c r="GR14" s="1013"/>
      <c r="GS14" s="1013"/>
      <c r="GT14" s="1013"/>
      <c r="GU14" s="1013"/>
      <c r="GV14" s="1013"/>
      <c r="GW14" s="1013"/>
      <c r="GX14" s="1013"/>
      <c r="GY14" s="1013"/>
      <c r="GZ14" s="1013"/>
      <c r="HA14" s="1013"/>
      <c r="HB14" s="1013"/>
      <c r="HC14" s="1013"/>
      <c r="HD14" s="1013"/>
      <c r="HE14" s="1013"/>
      <c r="HF14" s="1013"/>
      <c r="HG14" s="1013"/>
      <c r="HH14" s="1013"/>
      <c r="HI14" s="1013"/>
      <c r="HJ14" s="1013"/>
      <c r="HK14" s="1013"/>
      <c r="HL14" s="1013"/>
      <c r="HM14" s="1013"/>
      <c r="HN14" s="1013"/>
      <c r="HO14" s="1013"/>
      <c r="HP14" s="1013"/>
      <c r="HQ14" s="1013"/>
      <c r="HR14" s="1013"/>
      <c r="HS14" s="1013"/>
      <c r="HT14" s="1013"/>
      <c r="HU14" s="1013"/>
      <c r="HV14" s="1013"/>
      <c r="HW14" s="1013"/>
      <c r="HX14" s="1013"/>
      <c r="HY14" s="1013"/>
      <c r="HZ14" s="1013"/>
      <c r="IA14" s="1013"/>
      <c r="IB14" s="1013"/>
      <c r="IC14" s="1013"/>
      <c r="ID14" s="1013"/>
      <c r="IE14" s="1013"/>
      <c r="IF14" s="1013"/>
      <c r="IG14" s="1013"/>
      <c r="IH14" s="1013"/>
      <c r="II14" s="1013"/>
      <c r="IJ14" s="1013"/>
      <c r="IK14" s="1013"/>
      <c r="IL14" s="1013"/>
      <c r="IM14" s="1013"/>
      <c r="IN14" s="1013"/>
      <c r="IO14" s="1013"/>
      <c r="IP14" s="1013"/>
      <c r="IQ14" s="1013"/>
      <c r="IR14" s="1013"/>
      <c r="IS14" s="1013"/>
      <c r="IT14" s="1013"/>
      <c r="IU14" s="1013"/>
    </row>
    <row r="15" spans="1:255" s="1031" customFormat="1" ht="21" customHeight="1">
      <c r="A15" s="1032" t="s">
        <v>863</v>
      </c>
      <c r="B15" s="1033" t="s">
        <v>865</v>
      </c>
      <c r="C15" s="1034">
        <v>119</v>
      </c>
      <c r="D15" s="1035">
        <v>912</v>
      </c>
      <c r="E15" s="1037">
        <v>227.5899999999674</v>
      </c>
      <c r="F15" s="1037">
        <v>972.48999999999069</v>
      </c>
      <c r="G15" s="1037">
        <v>0</v>
      </c>
      <c r="H15" s="1037">
        <v>0</v>
      </c>
      <c r="I15" s="1037">
        <v>0</v>
      </c>
      <c r="J15" s="1037">
        <f t="shared" si="2"/>
        <v>167.09999999997672</v>
      </c>
      <c r="K15" s="1037">
        <v>0</v>
      </c>
      <c r="L15" s="1037">
        <f t="shared" si="0"/>
        <v>167.09999999997672</v>
      </c>
      <c r="M15" s="1041">
        <v>167.1</v>
      </c>
      <c r="N15" s="1029">
        <f t="shared" si="1"/>
        <v>2.3277380023500882E-11</v>
      </c>
      <c r="O15" s="1030"/>
      <c r="P15" s="1013"/>
      <c r="Q15" s="1013"/>
      <c r="R15" s="1013"/>
      <c r="S15" s="1013"/>
      <c r="T15" s="1013"/>
      <c r="U15" s="1013"/>
      <c r="V15" s="1013"/>
      <c r="W15" s="1013"/>
      <c r="X15" s="1013"/>
      <c r="Y15" s="1013"/>
      <c r="Z15" s="1013"/>
      <c r="AA15" s="1013"/>
      <c r="AB15" s="1013"/>
      <c r="AC15" s="1013"/>
      <c r="AD15" s="1013"/>
      <c r="AE15" s="1013"/>
      <c r="AF15" s="1013"/>
      <c r="AG15" s="1013"/>
      <c r="AH15" s="1013"/>
      <c r="AI15" s="1013"/>
      <c r="AJ15" s="1013"/>
      <c r="AK15" s="1013"/>
      <c r="AL15" s="1013"/>
      <c r="AM15" s="1013"/>
      <c r="AN15" s="1013"/>
      <c r="AO15" s="1013"/>
      <c r="AP15" s="1013"/>
      <c r="AQ15" s="1013"/>
      <c r="AR15" s="1013"/>
      <c r="AS15" s="1013"/>
      <c r="AT15" s="1013"/>
      <c r="AU15" s="1013"/>
      <c r="AV15" s="1013"/>
      <c r="AW15" s="1013"/>
      <c r="AX15" s="1013"/>
      <c r="AY15" s="1013"/>
      <c r="AZ15" s="1013"/>
      <c r="BA15" s="1013"/>
      <c r="BB15" s="1013"/>
      <c r="BC15" s="1013"/>
      <c r="BD15" s="1013"/>
      <c r="BE15" s="1013"/>
      <c r="BF15" s="1013"/>
      <c r="BG15" s="1013"/>
      <c r="BH15" s="1013"/>
      <c r="BI15" s="1013"/>
      <c r="BJ15" s="1013"/>
      <c r="BK15" s="1013"/>
      <c r="BL15" s="1013"/>
      <c r="BM15" s="1013"/>
      <c r="BN15" s="1013"/>
      <c r="BO15" s="1013"/>
      <c r="BP15" s="1013"/>
      <c r="BQ15" s="1013"/>
      <c r="BR15" s="1013"/>
      <c r="BS15" s="1013"/>
      <c r="BT15" s="1013"/>
      <c r="BU15" s="1013"/>
      <c r="BV15" s="1013"/>
      <c r="BW15" s="1013"/>
      <c r="BX15" s="1013"/>
      <c r="BY15" s="1013"/>
      <c r="BZ15" s="1013"/>
      <c r="CA15" s="1013"/>
      <c r="CB15" s="1013"/>
      <c r="CC15" s="1013"/>
      <c r="CD15" s="1013"/>
      <c r="CE15" s="1013"/>
      <c r="CF15" s="1013"/>
      <c r="CG15" s="1013"/>
      <c r="CH15" s="1013"/>
      <c r="CI15" s="1013"/>
      <c r="CJ15" s="1013"/>
      <c r="CK15" s="1013"/>
      <c r="CL15" s="1013"/>
      <c r="CM15" s="1013"/>
      <c r="CN15" s="1013"/>
      <c r="CO15" s="1013"/>
      <c r="CP15" s="1013"/>
      <c r="CQ15" s="1013"/>
      <c r="CR15" s="1013"/>
      <c r="CS15" s="1013"/>
      <c r="CT15" s="1013"/>
      <c r="CU15" s="1013"/>
      <c r="CV15" s="1013"/>
      <c r="CW15" s="1013"/>
      <c r="CX15" s="1013"/>
      <c r="CY15" s="1013"/>
      <c r="CZ15" s="1013"/>
      <c r="DA15" s="1013"/>
      <c r="DB15" s="1013"/>
      <c r="DC15" s="1013"/>
      <c r="DD15" s="1013"/>
      <c r="DE15" s="1013"/>
      <c r="DF15" s="1013"/>
      <c r="DG15" s="1013"/>
      <c r="DH15" s="1013"/>
      <c r="DI15" s="1013"/>
      <c r="DJ15" s="1013"/>
      <c r="DK15" s="1013"/>
      <c r="DL15" s="1013"/>
      <c r="DM15" s="1013"/>
      <c r="DN15" s="1013"/>
      <c r="DO15" s="1013"/>
      <c r="DP15" s="1013"/>
      <c r="DQ15" s="1013"/>
      <c r="DR15" s="1013"/>
      <c r="DS15" s="1013"/>
      <c r="DT15" s="1013"/>
      <c r="DU15" s="1013"/>
      <c r="DV15" s="1013"/>
      <c r="DW15" s="1013"/>
      <c r="DX15" s="1013"/>
      <c r="DY15" s="1013"/>
      <c r="DZ15" s="1013"/>
      <c r="EA15" s="1013"/>
      <c r="EB15" s="1013"/>
      <c r="EC15" s="1013"/>
      <c r="ED15" s="1013"/>
      <c r="EE15" s="1013"/>
      <c r="EF15" s="1013"/>
      <c r="EG15" s="1013"/>
      <c r="EH15" s="1013"/>
      <c r="EI15" s="1013"/>
      <c r="EJ15" s="1013"/>
      <c r="EK15" s="1013"/>
      <c r="EL15" s="1013"/>
      <c r="EM15" s="1013"/>
      <c r="EN15" s="1013"/>
      <c r="EO15" s="1013"/>
      <c r="EP15" s="1013"/>
      <c r="EQ15" s="1013"/>
      <c r="ER15" s="1013"/>
      <c r="ES15" s="1013"/>
      <c r="ET15" s="1013"/>
      <c r="EU15" s="1013"/>
      <c r="EV15" s="1013"/>
      <c r="EW15" s="1013"/>
      <c r="EX15" s="1013"/>
      <c r="EY15" s="1013"/>
      <c r="EZ15" s="1013"/>
      <c r="FA15" s="1013"/>
      <c r="FB15" s="1013"/>
      <c r="FC15" s="1013"/>
      <c r="FD15" s="1013"/>
      <c r="FE15" s="1013"/>
      <c r="FF15" s="1013"/>
      <c r="FG15" s="1013"/>
      <c r="FH15" s="1013"/>
      <c r="FI15" s="1013"/>
      <c r="FJ15" s="1013"/>
      <c r="FK15" s="1013"/>
      <c r="FL15" s="1013"/>
      <c r="FM15" s="1013"/>
      <c r="FN15" s="1013"/>
      <c r="FO15" s="1013"/>
      <c r="FP15" s="1013"/>
      <c r="FQ15" s="1013"/>
      <c r="FR15" s="1013"/>
      <c r="FS15" s="1013"/>
      <c r="FT15" s="1013"/>
      <c r="FU15" s="1013"/>
      <c r="FV15" s="1013"/>
      <c r="FW15" s="1013"/>
      <c r="FX15" s="1013"/>
      <c r="FY15" s="1013"/>
      <c r="FZ15" s="1013"/>
      <c r="GA15" s="1013"/>
      <c r="GB15" s="1013"/>
      <c r="GC15" s="1013"/>
      <c r="GD15" s="1013"/>
      <c r="GE15" s="1013"/>
      <c r="GF15" s="1013"/>
      <c r="GG15" s="1013"/>
      <c r="GH15" s="1013"/>
      <c r="GI15" s="1013"/>
      <c r="GJ15" s="1013"/>
      <c r="GK15" s="1013"/>
      <c r="GL15" s="1013"/>
      <c r="GM15" s="1013"/>
      <c r="GN15" s="1013"/>
      <c r="GO15" s="1013"/>
      <c r="GP15" s="1013"/>
      <c r="GQ15" s="1013"/>
      <c r="GR15" s="1013"/>
      <c r="GS15" s="1013"/>
      <c r="GT15" s="1013"/>
      <c r="GU15" s="1013"/>
      <c r="GV15" s="1013"/>
      <c r="GW15" s="1013"/>
      <c r="GX15" s="1013"/>
      <c r="GY15" s="1013"/>
      <c r="GZ15" s="1013"/>
      <c r="HA15" s="1013"/>
      <c r="HB15" s="1013"/>
      <c r="HC15" s="1013"/>
      <c r="HD15" s="1013"/>
      <c r="HE15" s="1013"/>
      <c r="HF15" s="1013"/>
      <c r="HG15" s="1013"/>
      <c r="HH15" s="1013"/>
      <c r="HI15" s="1013"/>
      <c r="HJ15" s="1013"/>
      <c r="HK15" s="1013"/>
      <c r="HL15" s="1013"/>
      <c r="HM15" s="1013"/>
      <c r="HN15" s="1013"/>
      <c r="HO15" s="1013"/>
      <c r="HP15" s="1013"/>
      <c r="HQ15" s="1013"/>
      <c r="HR15" s="1013"/>
      <c r="HS15" s="1013"/>
      <c r="HT15" s="1013"/>
      <c r="HU15" s="1013"/>
      <c r="HV15" s="1013"/>
      <c r="HW15" s="1013"/>
      <c r="HX15" s="1013"/>
      <c r="HY15" s="1013"/>
      <c r="HZ15" s="1013"/>
      <c r="IA15" s="1013"/>
      <c r="IB15" s="1013"/>
      <c r="IC15" s="1013"/>
      <c r="ID15" s="1013"/>
      <c r="IE15" s="1013"/>
      <c r="IF15" s="1013"/>
      <c r="IG15" s="1013"/>
      <c r="IH15" s="1013"/>
      <c r="II15" s="1013"/>
      <c r="IJ15" s="1013"/>
      <c r="IK15" s="1013"/>
      <c r="IL15" s="1013"/>
      <c r="IM15" s="1013"/>
      <c r="IN15" s="1013"/>
      <c r="IO15" s="1013"/>
      <c r="IP15" s="1013"/>
      <c r="IQ15" s="1013"/>
      <c r="IR15" s="1013"/>
      <c r="IS15" s="1013"/>
      <c r="IT15" s="1013"/>
      <c r="IU15" s="1013"/>
    </row>
    <row r="16" spans="1:255" s="1031" customFormat="1" ht="21" customHeight="1">
      <c r="A16" s="1032" t="s">
        <v>863</v>
      </c>
      <c r="B16" s="1033" t="s">
        <v>864</v>
      </c>
      <c r="C16" s="1034">
        <v>115</v>
      </c>
      <c r="D16" s="1035">
        <v>410</v>
      </c>
      <c r="E16" s="1036">
        <v>276.82999999995809</v>
      </c>
      <c r="F16" s="1037">
        <v>384.43999999994412</v>
      </c>
      <c r="G16" s="1037">
        <v>0</v>
      </c>
      <c r="H16" s="1037"/>
      <c r="I16" s="1037">
        <v>0</v>
      </c>
      <c r="J16" s="1037">
        <f t="shared" si="2"/>
        <v>302.39000000001397</v>
      </c>
      <c r="K16" s="1037">
        <v>0</v>
      </c>
      <c r="L16" s="1037">
        <f t="shared" si="0"/>
        <v>302.39000000001397</v>
      </c>
      <c r="M16" s="1041">
        <v>302.39</v>
      </c>
      <c r="N16" s="1029">
        <f t="shared" si="1"/>
        <v>-1.3983481039758772E-11</v>
      </c>
      <c r="O16" s="1030"/>
      <c r="P16" s="1013"/>
      <c r="Q16" s="1013"/>
      <c r="R16" s="1013"/>
      <c r="S16" s="1013"/>
      <c r="T16" s="1013"/>
      <c r="U16" s="1013"/>
      <c r="V16" s="1013"/>
      <c r="W16" s="1013"/>
      <c r="X16" s="1013"/>
      <c r="Y16" s="1013"/>
      <c r="Z16" s="1013"/>
      <c r="AA16" s="1013"/>
      <c r="AB16" s="1013"/>
      <c r="AC16" s="1013"/>
      <c r="AD16" s="1013"/>
      <c r="AE16" s="1013"/>
      <c r="AF16" s="1013"/>
      <c r="AG16" s="1013"/>
      <c r="AH16" s="1013"/>
      <c r="AI16" s="1013"/>
      <c r="AJ16" s="1013"/>
      <c r="AK16" s="1013"/>
      <c r="AL16" s="1013"/>
      <c r="AM16" s="1013"/>
      <c r="AN16" s="1013"/>
      <c r="AO16" s="1013"/>
      <c r="AP16" s="1013"/>
      <c r="AQ16" s="1013"/>
      <c r="AR16" s="1013"/>
      <c r="AS16" s="1013"/>
      <c r="AT16" s="1013"/>
      <c r="AU16" s="1013"/>
      <c r="AV16" s="1013"/>
      <c r="AW16" s="1013"/>
      <c r="AX16" s="1013"/>
      <c r="AY16" s="1013"/>
      <c r="AZ16" s="1013"/>
      <c r="BA16" s="1013"/>
      <c r="BB16" s="1013"/>
      <c r="BC16" s="1013"/>
      <c r="BD16" s="1013"/>
      <c r="BE16" s="1013"/>
      <c r="BF16" s="1013"/>
      <c r="BG16" s="1013"/>
      <c r="BH16" s="1013"/>
      <c r="BI16" s="1013"/>
      <c r="BJ16" s="1013"/>
      <c r="BK16" s="1013"/>
      <c r="BL16" s="1013"/>
      <c r="BM16" s="1013"/>
      <c r="BN16" s="1013"/>
      <c r="BO16" s="1013"/>
      <c r="BP16" s="1013"/>
      <c r="BQ16" s="1013"/>
      <c r="BR16" s="1013"/>
      <c r="BS16" s="1013"/>
      <c r="BT16" s="1013"/>
      <c r="BU16" s="1013"/>
      <c r="BV16" s="1013"/>
      <c r="BW16" s="1013"/>
      <c r="BX16" s="1013"/>
      <c r="BY16" s="1013"/>
      <c r="BZ16" s="1013"/>
      <c r="CA16" s="1013"/>
      <c r="CB16" s="1013"/>
      <c r="CC16" s="1013"/>
      <c r="CD16" s="1013"/>
      <c r="CE16" s="1013"/>
      <c r="CF16" s="1013"/>
      <c r="CG16" s="1013"/>
      <c r="CH16" s="1013"/>
      <c r="CI16" s="1013"/>
      <c r="CJ16" s="1013"/>
      <c r="CK16" s="1013"/>
      <c r="CL16" s="1013"/>
      <c r="CM16" s="1013"/>
      <c r="CN16" s="1013"/>
      <c r="CO16" s="1013"/>
      <c r="CP16" s="1013"/>
      <c r="CQ16" s="1013"/>
      <c r="CR16" s="1013"/>
      <c r="CS16" s="1013"/>
      <c r="CT16" s="1013"/>
      <c r="CU16" s="1013"/>
      <c r="CV16" s="1013"/>
      <c r="CW16" s="1013"/>
      <c r="CX16" s="1013"/>
      <c r="CY16" s="1013"/>
      <c r="CZ16" s="1013"/>
      <c r="DA16" s="1013"/>
      <c r="DB16" s="1013"/>
      <c r="DC16" s="1013"/>
      <c r="DD16" s="1013"/>
      <c r="DE16" s="1013"/>
      <c r="DF16" s="1013"/>
      <c r="DG16" s="1013"/>
      <c r="DH16" s="1013"/>
      <c r="DI16" s="1013"/>
      <c r="DJ16" s="1013"/>
      <c r="DK16" s="1013"/>
      <c r="DL16" s="1013"/>
      <c r="DM16" s="1013"/>
      <c r="DN16" s="1013"/>
      <c r="DO16" s="1013"/>
      <c r="DP16" s="1013"/>
      <c r="DQ16" s="1013"/>
      <c r="DR16" s="1013"/>
      <c r="DS16" s="1013"/>
      <c r="DT16" s="1013"/>
      <c r="DU16" s="1013"/>
      <c r="DV16" s="1013"/>
      <c r="DW16" s="1013"/>
      <c r="DX16" s="1013"/>
      <c r="DY16" s="1013"/>
      <c r="DZ16" s="1013"/>
      <c r="EA16" s="1013"/>
      <c r="EB16" s="1013"/>
      <c r="EC16" s="1013"/>
      <c r="ED16" s="1013"/>
      <c r="EE16" s="1013"/>
      <c r="EF16" s="1013"/>
      <c r="EG16" s="1013"/>
      <c r="EH16" s="1013"/>
      <c r="EI16" s="1013"/>
      <c r="EJ16" s="1013"/>
      <c r="EK16" s="1013"/>
      <c r="EL16" s="1013"/>
      <c r="EM16" s="1013"/>
      <c r="EN16" s="1013"/>
      <c r="EO16" s="1013"/>
      <c r="EP16" s="1013"/>
      <c r="EQ16" s="1013"/>
      <c r="ER16" s="1013"/>
      <c r="ES16" s="1013"/>
      <c r="ET16" s="1013"/>
      <c r="EU16" s="1013"/>
      <c r="EV16" s="1013"/>
      <c r="EW16" s="1013"/>
      <c r="EX16" s="1013"/>
      <c r="EY16" s="1013"/>
      <c r="EZ16" s="1013"/>
      <c r="FA16" s="1013"/>
      <c r="FB16" s="1013"/>
      <c r="FC16" s="1013"/>
      <c r="FD16" s="1013"/>
      <c r="FE16" s="1013"/>
      <c r="FF16" s="1013"/>
      <c r="FG16" s="1013"/>
      <c r="FH16" s="1013"/>
      <c r="FI16" s="1013"/>
      <c r="FJ16" s="1013"/>
      <c r="FK16" s="1013"/>
      <c r="FL16" s="1013"/>
      <c r="FM16" s="1013"/>
      <c r="FN16" s="1013"/>
      <c r="FO16" s="1013"/>
      <c r="FP16" s="1013"/>
      <c r="FQ16" s="1013"/>
      <c r="FR16" s="1013"/>
      <c r="FS16" s="1013"/>
      <c r="FT16" s="1013"/>
      <c r="FU16" s="1013"/>
      <c r="FV16" s="1013"/>
      <c r="FW16" s="1013"/>
      <c r="FX16" s="1013"/>
      <c r="FY16" s="1013"/>
      <c r="FZ16" s="1013"/>
      <c r="GA16" s="1013"/>
      <c r="GB16" s="1013"/>
      <c r="GC16" s="1013"/>
      <c r="GD16" s="1013"/>
      <c r="GE16" s="1013"/>
      <c r="GF16" s="1013"/>
      <c r="GG16" s="1013"/>
      <c r="GH16" s="1013"/>
      <c r="GI16" s="1013"/>
      <c r="GJ16" s="1013"/>
      <c r="GK16" s="1013"/>
      <c r="GL16" s="1013"/>
      <c r="GM16" s="1013"/>
      <c r="GN16" s="1013"/>
      <c r="GO16" s="1013"/>
      <c r="GP16" s="1013"/>
      <c r="GQ16" s="1013"/>
      <c r="GR16" s="1013"/>
      <c r="GS16" s="1013"/>
      <c r="GT16" s="1013"/>
      <c r="GU16" s="1013"/>
      <c r="GV16" s="1013"/>
      <c r="GW16" s="1013"/>
      <c r="GX16" s="1013"/>
      <c r="GY16" s="1013"/>
      <c r="GZ16" s="1013"/>
      <c r="HA16" s="1013"/>
      <c r="HB16" s="1013"/>
      <c r="HC16" s="1013"/>
      <c r="HD16" s="1013"/>
      <c r="HE16" s="1013"/>
      <c r="HF16" s="1013"/>
      <c r="HG16" s="1013"/>
      <c r="HH16" s="1013"/>
      <c r="HI16" s="1013"/>
      <c r="HJ16" s="1013"/>
      <c r="HK16" s="1013"/>
      <c r="HL16" s="1013"/>
      <c r="HM16" s="1013"/>
      <c r="HN16" s="1013"/>
      <c r="HO16" s="1013"/>
      <c r="HP16" s="1013"/>
      <c r="HQ16" s="1013"/>
      <c r="HR16" s="1013"/>
      <c r="HS16" s="1013"/>
      <c r="HT16" s="1013"/>
      <c r="HU16" s="1013"/>
      <c r="HV16" s="1013"/>
      <c r="HW16" s="1013"/>
      <c r="HX16" s="1013"/>
      <c r="HY16" s="1013"/>
      <c r="HZ16" s="1013"/>
      <c r="IA16" s="1013"/>
      <c r="IB16" s="1013"/>
      <c r="IC16" s="1013"/>
      <c r="ID16" s="1013"/>
      <c r="IE16" s="1013"/>
      <c r="IF16" s="1013"/>
      <c r="IG16" s="1013"/>
      <c r="IH16" s="1013"/>
      <c r="II16" s="1013"/>
      <c r="IJ16" s="1013"/>
      <c r="IK16" s="1013"/>
      <c r="IL16" s="1013"/>
      <c r="IM16" s="1013"/>
      <c r="IN16" s="1013"/>
      <c r="IO16" s="1013"/>
      <c r="IP16" s="1013"/>
      <c r="IQ16" s="1013"/>
      <c r="IR16" s="1013"/>
      <c r="IS16" s="1013"/>
      <c r="IT16" s="1013"/>
      <c r="IU16" s="1013"/>
    </row>
    <row r="17" spans="1:255" s="1031" customFormat="1" ht="21" customHeight="1">
      <c r="A17" s="1032" t="s">
        <v>863</v>
      </c>
      <c r="B17" s="1033" t="s">
        <v>865</v>
      </c>
      <c r="C17" s="1034">
        <v>120</v>
      </c>
      <c r="D17" s="1042">
        <v>2680</v>
      </c>
      <c r="E17" s="1037">
        <v>452.13000000000466</v>
      </c>
      <c r="F17" s="1037">
        <v>1115.1599999999162</v>
      </c>
      <c r="G17" s="1037">
        <v>0</v>
      </c>
      <c r="H17" s="1037">
        <v>0</v>
      </c>
      <c r="I17" s="1037">
        <v>0</v>
      </c>
      <c r="J17" s="1037">
        <f t="shared" si="2"/>
        <v>2016.9700000000885</v>
      </c>
      <c r="K17" s="1037">
        <v>0</v>
      </c>
      <c r="L17" s="1037">
        <f t="shared" si="0"/>
        <v>2016.9700000000885</v>
      </c>
      <c r="M17" s="1038">
        <v>2016.97</v>
      </c>
      <c r="N17" s="1029">
        <f t="shared" si="1"/>
        <v>-8.8448359747417271E-11</v>
      </c>
      <c r="O17" s="1030"/>
      <c r="P17" s="1013"/>
      <c r="Q17" s="1013"/>
      <c r="R17" s="1013"/>
      <c r="S17" s="1013"/>
      <c r="T17" s="1013"/>
      <c r="U17" s="1013"/>
      <c r="V17" s="1013"/>
      <c r="W17" s="1013"/>
      <c r="X17" s="1013"/>
      <c r="Y17" s="1013"/>
      <c r="Z17" s="1013"/>
      <c r="AA17" s="1013"/>
      <c r="AB17" s="1013"/>
      <c r="AC17" s="1013"/>
      <c r="AD17" s="1013"/>
      <c r="AE17" s="1013"/>
      <c r="AF17" s="1013"/>
      <c r="AG17" s="1013"/>
      <c r="AH17" s="1013"/>
      <c r="AI17" s="1013"/>
      <c r="AJ17" s="1013"/>
      <c r="AK17" s="1013"/>
      <c r="AL17" s="1013"/>
      <c r="AM17" s="1013"/>
      <c r="AN17" s="1013"/>
      <c r="AO17" s="1013"/>
      <c r="AP17" s="1013"/>
      <c r="AQ17" s="1013"/>
      <c r="AR17" s="1013"/>
      <c r="AS17" s="1013"/>
      <c r="AT17" s="1013"/>
      <c r="AU17" s="1013"/>
      <c r="AV17" s="1013"/>
      <c r="AW17" s="1013"/>
      <c r="AX17" s="1013"/>
      <c r="AY17" s="1013"/>
      <c r="AZ17" s="1013"/>
      <c r="BA17" s="1013"/>
      <c r="BB17" s="1013"/>
      <c r="BC17" s="1013"/>
      <c r="BD17" s="1013"/>
      <c r="BE17" s="1013"/>
      <c r="BF17" s="1013"/>
      <c r="BG17" s="1013"/>
      <c r="BH17" s="1013"/>
      <c r="BI17" s="1013"/>
      <c r="BJ17" s="1013"/>
      <c r="BK17" s="1013"/>
      <c r="BL17" s="1013"/>
      <c r="BM17" s="1013"/>
      <c r="BN17" s="1013"/>
      <c r="BO17" s="1013"/>
      <c r="BP17" s="1013"/>
      <c r="BQ17" s="1013"/>
      <c r="BR17" s="1013"/>
      <c r="BS17" s="1013"/>
      <c r="BT17" s="1013"/>
      <c r="BU17" s="1013"/>
      <c r="BV17" s="1013"/>
      <c r="BW17" s="1013"/>
      <c r="BX17" s="1013"/>
      <c r="BY17" s="1013"/>
      <c r="BZ17" s="1013"/>
      <c r="CA17" s="1013"/>
      <c r="CB17" s="1013"/>
      <c r="CC17" s="1013"/>
      <c r="CD17" s="1013"/>
      <c r="CE17" s="1013"/>
      <c r="CF17" s="1013"/>
      <c r="CG17" s="1013"/>
      <c r="CH17" s="1013"/>
      <c r="CI17" s="1013"/>
      <c r="CJ17" s="1013"/>
      <c r="CK17" s="1013"/>
      <c r="CL17" s="1013"/>
      <c r="CM17" s="1013"/>
      <c r="CN17" s="1013"/>
      <c r="CO17" s="1013"/>
      <c r="CP17" s="1013"/>
      <c r="CQ17" s="1013"/>
      <c r="CR17" s="1013"/>
      <c r="CS17" s="1013"/>
      <c r="CT17" s="1013"/>
      <c r="CU17" s="1013"/>
      <c r="CV17" s="1013"/>
      <c r="CW17" s="1013"/>
      <c r="CX17" s="1013"/>
      <c r="CY17" s="1013"/>
      <c r="CZ17" s="1013"/>
      <c r="DA17" s="1013"/>
      <c r="DB17" s="1013"/>
      <c r="DC17" s="1013"/>
      <c r="DD17" s="1013"/>
      <c r="DE17" s="1013"/>
      <c r="DF17" s="1013"/>
      <c r="DG17" s="1013"/>
      <c r="DH17" s="1013"/>
      <c r="DI17" s="1013"/>
      <c r="DJ17" s="1013"/>
      <c r="DK17" s="1013"/>
      <c r="DL17" s="1013"/>
      <c r="DM17" s="1013"/>
      <c r="DN17" s="1013"/>
      <c r="DO17" s="1013"/>
      <c r="DP17" s="1013"/>
      <c r="DQ17" s="1013"/>
      <c r="DR17" s="1013"/>
      <c r="DS17" s="1013"/>
      <c r="DT17" s="1013"/>
      <c r="DU17" s="1013"/>
      <c r="DV17" s="1013"/>
      <c r="DW17" s="1013"/>
      <c r="DX17" s="1013"/>
      <c r="DY17" s="1013"/>
      <c r="DZ17" s="1013"/>
      <c r="EA17" s="1013"/>
      <c r="EB17" s="1013"/>
      <c r="EC17" s="1013"/>
      <c r="ED17" s="1013"/>
      <c r="EE17" s="1013"/>
      <c r="EF17" s="1013"/>
      <c r="EG17" s="1013"/>
      <c r="EH17" s="1013"/>
      <c r="EI17" s="1013"/>
      <c r="EJ17" s="1013"/>
      <c r="EK17" s="1013"/>
      <c r="EL17" s="1013"/>
      <c r="EM17" s="1013"/>
      <c r="EN17" s="1013"/>
      <c r="EO17" s="1013"/>
      <c r="EP17" s="1013"/>
      <c r="EQ17" s="1013"/>
      <c r="ER17" s="1013"/>
      <c r="ES17" s="1013"/>
      <c r="ET17" s="1013"/>
      <c r="EU17" s="1013"/>
      <c r="EV17" s="1013"/>
      <c r="EW17" s="1013"/>
      <c r="EX17" s="1013"/>
      <c r="EY17" s="1013"/>
      <c r="EZ17" s="1013"/>
      <c r="FA17" s="1013"/>
      <c r="FB17" s="1013"/>
      <c r="FC17" s="1013"/>
      <c r="FD17" s="1013"/>
      <c r="FE17" s="1013"/>
      <c r="FF17" s="1013"/>
      <c r="FG17" s="1013"/>
      <c r="FH17" s="1013"/>
      <c r="FI17" s="1013"/>
      <c r="FJ17" s="1013"/>
      <c r="FK17" s="1013"/>
      <c r="FL17" s="1013"/>
      <c r="FM17" s="1013"/>
      <c r="FN17" s="1013"/>
      <c r="FO17" s="1013"/>
      <c r="FP17" s="1013"/>
      <c r="FQ17" s="1013"/>
      <c r="FR17" s="1013"/>
      <c r="FS17" s="1013"/>
      <c r="FT17" s="1013"/>
      <c r="FU17" s="1013"/>
      <c r="FV17" s="1013"/>
      <c r="FW17" s="1013"/>
      <c r="FX17" s="1013"/>
      <c r="FY17" s="1013"/>
      <c r="FZ17" s="1013"/>
      <c r="GA17" s="1013"/>
      <c r="GB17" s="1013"/>
      <c r="GC17" s="1013"/>
      <c r="GD17" s="1013"/>
      <c r="GE17" s="1013"/>
      <c r="GF17" s="1013"/>
      <c r="GG17" s="1013"/>
      <c r="GH17" s="1013"/>
      <c r="GI17" s="1013"/>
      <c r="GJ17" s="1013"/>
      <c r="GK17" s="1013"/>
      <c r="GL17" s="1013"/>
      <c r="GM17" s="1013"/>
      <c r="GN17" s="1013"/>
      <c r="GO17" s="1013"/>
      <c r="GP17" s="1013"/>
      <c r="GQ17" s="1013"/>
      <c r="GR17" s="1013"/>
      <c r="GS17" s="1013"/>
      <c r="GT17" s="1013"/>
      <c r="GU17" s="1013"/>
      <c r="GV17" s="1013"/>
      <c r="GW17" s="1013"/>
      <c r="GX17" s="1013"/>
      <c r="GY17" s="1013"/>
      <c r="GZ17" s="1013"/>
      <c r="HA17" s="1013"/>
      <c r="HB17" s="1013"/>
      <c r="HC17" s="1013"/>
      <c r="HD17" s="1013"/>
      <c r="HE17" s="1013"/>
      <c r="HF17" s="1013"/>
      <c r="HG17" s="1013"/>
      <c r="HH17" s="1013"/>
      <c r="HI17" s="1013"/>
      <c r="HJ17" s="1013"/>
      <c r="HK17" s="1013"/>
      <c r="HL17" s="1013"/>
      <c r="HM17" s="1013"/>
      <c r="HN17" s="1013"/>
      <c r="HO17" s="1013"/>
      <c r="HP17" s="1013"/>
      <c r="HQ17" s="1013"/>
      <c r="HR17" s="1013"/>
      <c r="HS17" s="1013"/>
      <c r="HT17" s="1013"/>
      <c r="HU17" s="1013"/>
      <c r="HV17" s="1013"/>
      <c r="HW17" s="1013"/>
      <c r="HX17" s="1013"/>
      <c r="HY17" s="1013"/>
      <c r="HZ17" s="1013"/>
      <c r="IA17" s="1013"/>
      <c r="IB17" s="1013"/>
      <c r="IC17" s="1013"/>
      <c r="ID17" s="1013"/>
      <c r="IE17" s="1013"/>
      <c r="IF17" s="1013"/>
      <c r="IG17" s="1013"/>
      <c r="IH17" s="1013"/>
      <c r="II17" s="1013"/>
      <c r="IJ17" s="1013"/>
      <c r="IK17" s="1013"/>
      <c r="IL17" s="1013"/>
      <c r="IM17" s="1013"/>
      <c r="IN17" s="1013"/>
      <c r="IO17" s="1013"/>
      <c r="IP17" s="1013"/>
      <c r="IQ17" s="1013"/>
      <c r="IR17" s="1013"/>
      <c r="IS17" s="1013"/>
      <c r="IT17" s="1013"/>
      <c r="IU17" s="1013"/>
    </row>
    <row r="18" spans="1:255" s="1031" customFormat="1" ht="21" customHeight="1">
      <c r="A18" s="1032" t="s">
        <v>866</v>
      </c>
      <c r="B18" s="1033" t="s">
        <v>111</v>
      </c>
      <c r="C18" s="1034">
        <v>13</v>
      </c>
      <c r="D18" s="1043">
        <v>185</v>
      </c>
      <c r="E18" s="1036">
        <v>94.460000000000008</v>
      </c>
      <c r="F18" s="1037">
        <v>192.28</v>
      </c>
      <c r="G18" s="1037">
        <v>0</v>
      </c>
      <c r="H18" s="1037">
        <v>0</v>
      </c>
      <c r="I18" s="1037">
        <v>309</v>
      </c>
      <c r="J18" s="1037">
        <f>D18+E18-F18-G18-H18-I18</f>
        <v>-221.81999999999996</v>
      </c>
      <c r="K18" s="1037">
        <v>0</v>
      </c>
      <c r="L18" s="1037">
        <f>J18-K18</f>
        <v>-221.81999999999996</v>
      </c>
      <c r="M18" s="1038">
        <v>-221.82</v>
      </c>
      <c r="N18" s="1029">
        <f t="shared" si="1"/>
        <v>0</v>
      </c>
      <c r="O18" s="1030"/>
      <c r="P18" s="1013"/>
      <c r="Q18" s="1013"/>
      <c r="R18" s="1013"/>
      <c r="S18" s="1013"/>
      <c r="T18" s="1013"/>
      <c r="U18" s="1013"/>
      <c r="V18" s="1013"/>
      <c r="W18" s="1013"/>
      <c r="X18" s="1013"/>
      <c r="Y18" s="1013"/>
      <c r="Z18" s="1013"/>
      <c r="AA18" s="1013"/>
      <c r="AB18" s="1013"/>
      <c r="AC18" s="1013"/>
      <c r="AD18" s="1013"/>
      <c r="AE18" s="1013"/>
      <c r="AF18" s="1013"/>
      <c r="AG18" s="1013"/>
      <c r="AH18" s="1013"/>
      <c r="AI18" s="1013"/>
      <c r="AJ18" s="1013"/>
      <c r="AK18" s="1013"/>
      <c r="AL18" s="1013"/>
      <c r="AM18" s="1013"/>
      <c r="AN18" s="1013"/>
      <c r="AO18" s="1013"/>
      <c r="AP18" s="1013"/>
      <c r="AQ18" s="1013"/>
      <c r="AR18" s="1013"/>
      <c r="AS18" s="1013"/>
      <c r="AT18" s="1013"/>
      <c r="AU18" s="1013"/>
      <c r="AV18" s="1013"/>
      <c r="AW18" s="1013"/>
      <c r="AX18" s="1013"/>
      <c r="AY18" s="1013"/>
      <c r="AZ18" s="1013"/>
      <c r="BA18" s="1013"/>
      <c r="BB18" s="1013"/>
      <c r="BC18" s="1013"/>
      <c r="BD18" s="1013"/>
      <c r="BE18" s="1013"/>
      <c r="BF18" s="1013"/>
      <c r="BG18" s="1013"/>
      <c r="BH18" s="1013"/>
      <c r="BI18" s="1013"/>
      <c r="BJ18" s="1013"/>
      <c r="BK18" s="1013"/>
      <c r="BL18" s="1013"/>
      <c r="BM18" s="1013"/>
      <c r="BN18" s="1013"/>
      <c r="BO18" s="1013"/>
      <c r="BP18" s="1013"/>
      <c r="BQ18" s="1013"/>
      <c r="BR18" s="1013"/>
      <c r="BS18" s="1013"/>
      <c r="BT18" s="1013"/>
      <c r="BU18" s="1013"/>
      <c r="BV18" s="1013"/>
      <c r="BW18" s="1013"/>
      <c r="BX18" s="1013"/>
      <c r="BY18" s="1013"/>
      <c r="BZ18" s="1013"/>
      <c r="CA18" s="1013"/>
      <c r="CB18" s="1013"/>
      <c r="CC18" s="1013"/>
      <c r="CD18" s="1013"/>
      <c r="CE18" s="1013"/>
      <c r="CF18" s="1013"/>
      <c r="CG18" s="1013"/>
      <c r="CH18" s="1013"/>
      <c r="CI18" s="1013"/>
      <c r="CJ18" s="1013"/>
      <c r="CK18" s="1013"/>
      <c r="CL18" s="1013"/>
      <c r="CM18" s="1013"/>
      <c r="CN18" s="1013"/>
      <c r="CO18" s="1013"/>
      <c r="CP18" s="1013"/>
      <c r="CQ18" s="1013"/>
      <c r="CR18" s="1013"/>
      <c r="CS18" s="1013"/>
      <c r="CT18" s="1013"/>
      <c r="CU18" s="1013"/>
      <c r="CV18" s="1013"/>
      <c r="CW18" s="1013"/>
      <c r="CX18" s="1013"/>
      <c r="CY18" s="1013"/>
      <c r="CZ18" s="1013"/>
      <c r="DA18" s="1013"/>
      <c r="DB18" s="1013"/>
      <c r="DC18" s="1013"/>
      <c r="DD18" s="1013"/>
      <c r="DE18" s="1013"/>
      <c r="DF18" s="1013"/>
      <c r="DG18" s="1013"/>
      <c r="DH18" s="1013"/>
      <c r="DI18" s="1013"/>
      <c r="DJ18" s="1013"/>
      <c r="DK18" s="1013"/>
      <c r="DL18" s="1013"/>
      <c r="DM18" s="1013"/>
      <c r="DN18" s="1013"/>
      <c r="DO18" s="1013"/>
      <c r="DP18" s="1013"/>
      <c r="DQ18" s="1013"/>
      <c r="DR18" s="1013"/>
      <c r="DS18" s="1013"/>
      <c r="DT18" s="1013"/>
      <c r="DU18" s="1013"/>
      <c r="DV18" s="1013"/>
      <c r="DW18" s="1013"/>
      <c r="DX18" s="1013"/>
      <c r="DY18" s="1013"/>
      <c r="DZ18" s="1013"/>
      <c r="EA18" s="1013"/>
      <c r="EB18" s="1013"/>
      <c r="EC18" s="1013"/>
      <c r="ED18" s="1013"/>
      <c r="EE18" s="1013"/>
      <c r="EF18" s="1013"/>
      <c r="EG18" s="1013"/>
      <c r="EH18" s="1013"/>
      <c r="EI18" s="1013"/>
      <c r="EJ18" s="1013"/>
      <c r="EK18" s="1013"/>
      <c r="EL18" s="1013"/>
      <c r="EM18" s="1013"/>
      <c r="EN18" s="1013"/>
      <c r="EO18" s="1013"/>
      <c r="EP18" s="1013"/>
      <c r="EQ18" s="1013"/>
      <c r="ER18" s="1013"/>
      <c r="ES18" s="1013"/>
      <c r="ET18" s="1013"/>
      <c r="EU18" s="1013"/>
      <c r="EV18" s="1013"/>
      <c r="EW18" s="1013"/>
      <c r="EX18" s="1013"/>
      <c r="EY18" s="1013"/>
      <c r="EZ18" s="1013"/>
      <c r="FA18" s="1013"/>
      <c r="FB18" s="1013"/>
      <c r="FC18" s="1013"/>
      <c r="FD18" s="1013"/>
      <c r="FE18" s="1013"/>
      <c r="FF18" s="1013"/>
      <c r="FG18" s="1013"/>
      <c r="FH18" s="1013"/>
      <c r="FI18" s="1013"/>
      <c r="FJ18" s="1013"/>
      <c r="FK18" s="1013"/>
      <c r="FL18" s="1013"/>
      <c r="FM18" s="1013"/>
      <c r="FN18" s="1013"/>
      <c r="FO18" s="1013"/>
      <c r="FP18" s="1013"/>
      <c r="FQ18" s="1013"/>
      <c r="FR18" s="1013"/>
      <c r="FS18" s="1013"/>
      <c r="FT18" s="1013"/>
      <c r="FU18" s="1013"/>
      <c r="FV18" s="1013"/>
      <c r="FW18" s="1013"/>
      <c r="FX18" s="1013"/>
      <c r="FY18" s="1013"/>
      <c r="FZ18" s="1013"/>
      <c r="GA18" s="1013"/>
      <c r="GB18" s="1013"/>
      <c r="GC18" s="1013"/>
      <c r="GD18" s="1013"/>
      <c r="GE18" s="1013"/>
      <c r="GF18" s="1013"/>
      <c r="GG18" s="1013"/>
      <c r="GH18" s="1013"/>
      <c r="GI18" s="1013"/>
      <c r="GJ18" s="1013"/>
      <c r="GK18" s="1013"/>
      <c r="GL18" s="1013"/>
      <c r="GM18" s="1013"/>
      <c r="GN18" s="1013"/>
      <c r="GO18" s="1013"/>
      <c r="GP18" s="1013"/>
      <c r="GQ18" s="1013"/>
      <c r="GR18" s="1013"/>
      <c r="GS18" s="1013"/>
      <c r="GT18" s="1013"/>
      <c r="GU18" s="1013"/>
      <c r="GV18" s="1013"/>
      <c r="GW18" s="1013"/>
      <c r="GX18" s="1013"/>
      <c r="GY18" s="1013"/>
      <c r="GZ18" s="1013"/>
      <c r="HA18" s="1013"/>
      <c r="HB18" s="1013"/>
      <c r="HC18" s="1013"/>
      <c r="HD18" s="1013"/>
      <c r="HE18" s="1013"/>
      <c r="HF18" s="1013"/>
      <c r="HG18" s="1013"/>
      <c r="HH18" s="1013"/>
      <c r="HI18" s="1013"/>
      <c r="HJ18" s="1013"/>
      <c r="HK18" s="1013"/>
      <c r="HL18" s="1013"/>
      <c r="HM18" s="1013"/>
      <c r="HN18" s="1013"/>
      <c r="HO18" s="1013"/>
      <c r="HP18" s="1013"/>
      <c r="HQ18" s="1013"/>
      <c r="HR18" s="1013"/>
      <c r="HS18" s="1013"/>
      <c r="HT18" s="1013"/>
      <c r="HU18" s="1013"/>
      <c r="HV18" s="1013"/>
      <c r="HW18" s="1013"/>
      <c r="HX18" s="1013"/>
      <c r="HY18" s="1013"/>
      <c r="HZ18" s="1013"/>
      <c r="IA18" s="1013"/>
      <c r="IB18" s="1013"/>
      <c r="IC18" s="1013"/>
      <c r="ID18" s="1013"/>
      <c r="IE18" s="1013"/>
      <c r="IF18" s="1013"/>
      <c r="IG18" s="1013"/>
      <c r="IH18" s="1013"/>
      <c r="II18" s="1013"/>
      <c r="IJ18" s="1013"/>
      <c r="IK18" s="1013"/>
      <c r="IL18" s="1013"/>
      <c r="IM18" s="1013"/>
      <c r="IN18" s="1013"/>
      <c r="IO18" s="1013"/>
      <c r="IP18" s="1013"/>
      <c r="IQ18" s="1013"/>
      <c r="IR18" s="1013"/>
      <c r="IS18" s="1013"/>
      <c r="IT18" s="1013"/>
      <c r="IU18" s="1013"/>
    </row>
    <row r="19" spans="1:255" s="1031" customFormat="1" ht="21" customHeight="1">
      <c r="A19" s="1032" t="s">
        <v>867</v>
      </c>
      <c r="B19" s="1033" t="s">
        <v>111</v>
      </c>
      <c r="C19" s="1034">
        <v>16</v>
      </c>
      <c r="D19" s="1043">
        <v>0</v>
      </c>
      <c r="E19" s="1036">
        <v>0</v>
      </c>
      <c r="F19" s="1037">
        <v>0</v>
      </c>
      <c r="G19" s="1037">
        <v>0</v>
      </c>
      <c r="H19" s="1037">
        <v>0</v>
      </c>
      <c r="I19" s="1037">
        <v>0</v>
      </c>
      <c r="J19" s="1037">
        <f>D19+E19-F19-G19-H19-I19</f>
        <v>0</v>
      </c>
      <c r="K19" s="1037">
        <v>0</v>
      </c>
      <c r="L19" s="1037">
        <f>J19-K19</f>
        <v>0</v>
      </c>
      <c r="M19" s="1038"/>
      <c r="N19" s="1029">
        <f t="shared" si="1"/>
        <v>0</v>
      </c>
      <c r="O19" s="1030"/>
      <c r="P19" s="1013"/>
      <c r="Q19" s="1013"/>
      <c r="R19" s="1013"/>
      <c r="S19" s="1013"/>
      <c r="T19" s="1013"/>
      <c r="U19" s="1013"/>
      <c r="V19" s="1013"/>
      <c r="W19" s="1013"/>
      <c r="X19" s="1013"/>
      <c r="Y19" s="1013"/>
      <c r="Z19" s="1013"/>
      <c r="AA19" s="1013"/>
      <c r="AB19" s="1013"/>
      <c r="AC19" s="1013"/>
      <c r="AD19" s="1013"/>
      <c r="AE19" s="1013"/>
      <c r="AF19" s="1013"/>
      <c r="AG19" s="1013"/>
      <c r="AH19" s="1013"/>
      <c r="AI19" s="1013"/>
      <c r="AJ19" s="1013"/>
      <c r="AK19" s="1013"/>
      <c r="AL19" s="1013"/>
      <c r="AM19" s="1013"/>
      <c r="AN19" s="1013"/>
      <c r="AO19" s="1013"/>
      <c r="AP19" s="1013"/>
      <c r="AQ19" s="1013"/>
      <c r="AR19" s="1013"/>
      <c r="AS19" s="1013"/>
      <c r="AT19" s="1013"/>
      <c r="AU19" s="1013"/>
      <c r="AV19" s="1013"/>
      <c r="AW19" s="1013"/>
      <c r="AX19" s="1013"/>
      <c r="AY19" s="1013"/>
      <c r="AZ19" s="1013"/>
      <c r="BA19" s="1013"/>
      <c r="BB19" s="1013"/>
      <c r="BC19" s="1013"/>
      <c r="BD19" s="1013"/>
      <c r="BE19" s="1013"/>
      <c r="BF19" s="1013"/>
      <c r="BG19" s="1013"/>
      <c r="BH19" s="1013"/>
      <c r="BI19" s="1013"/>
      <c r="BJ19" s="1013"/>
      <c r="BK19" s="1013"/>
      <c r="BL19" s="1013"/>
      <c r="BM19" s="1013"/>
      <c r="BN19" s="1013"/>
      <c r="BO19" s="1013"/>
      <c r="BP19" s="1013"/>
      <c r="BQ19" s="1013"/>
      <c r="BR19" s="1013"/>
      <c r="BS19" s="1013"/>
      <c r="BT19" s="1013"/>
      <c r="BU19" s="1013"/>
      <c r="BV19" s="1013"/>
      <c r="BW19" s="1013"/>
      <c r="BX19" s="1013"/>
      <c r="BY19" s="1013"/>
      <c r="BZ19" s="1013"/>
      <c r="CA19" s="1013"/>
      <c r="CB19" s="1013"/>
      <c r="CC19" s="1013"/>
      <c r="CD19" s="1013"/>
      <c r="CE19" s="1013"/>
      <c r="CF19" s="1013"/>
      <c r="CG19" s="1013"/>
      <c r="CH19" s="1013"/>
      <c r="CI19" s="1013"/>
      <c r="CJ19" s="1013"/>
      <c r="CK19" s="1013"/>
      <c r="CL19" s="1013"/>
      <c r="CM19" s="1013"/>
      <c r="CN19" s="1013"/>
      <c r="CO19" s="1013"/>
      <c r="CP19" s="1013"/>
      <c r="CQ19" s="1013"/>
      <c r="CR19" s="1013"/>
      <c r="CS19" s="1013"/>
      <c r="CT19" s="1013"/>
      <c r="CU19" s="1013"/>
      <c r="CV19" s="1013"/>
      <c r="CW19" s="1013"/>
      <c r="CX19" s="1013"/>
      <c r="CY19" s="1013"/>
      <c r="CZ19" s="1013"/>
      <c r="DA19" s="1013"/>
      <c r="DB19" s="1013"/>
      <c r="DC19" s="1013"/>
      <c r="DD19" s="1013"/>
      <c r="DE19" s="1013"/>
      <c r="DF19" s="1013"/>
      <c r="DG19" s="1013"/>
      <c r="DH19" s="1013"/>
      <c r="DI19" s="1013"/>
      <c r="DJ19" s="1013"/>
      <c r="DK19" s="1013"/>
      <c r="DL19" s="1013"/>
      <c r="DM19" s="1013"/>
      <c r="DN19" s="1013"/>
      <c r="DO19" s="1013"/>
      <c r="DP19" s="1013"/>
      <c r="DQ19" s="1013"/>
      <c r="DR19" s="1013"/>
      <c r="DS19" s="1013"/>
      <c r="DT19" s="1013"/>
      <c r="DU19" s="1013"/>
      <c r="DV19" s="1013"/>
      <c r="DW19" s="1013"/>
      <c r="DX19" s="1013"/>
      <c r="DY19" s="1013"/>
      <c r="DZ19" s="1013"/>
      <c r="EA19" s="1013"/>
      <c r="EB19" s="1013"/>
      <c r="EC19" s="1013"/>
      <c r="ED19" s="1013"/>
      <c r="EE19" s="1013"/>
      <c r="EF19" s="1013"/>
      <c r="EG19" s="1013"/>
      <c r="EH19" s="1013"/>
      <c r="EI19" s="1013"/>
      <c r="EJ19" s="1013"/>
      <c r="EK19" s="1013"/>
      <c r="EL19" s="1013"/>
      <c r="EM19" s="1013"/>
      <c r="EN19" s="1013"/>
      <c r="EO19" s="1013"/>
      <c r="EP19" s="1013"/>
      <c r="EQ19" s="1013"/>
      <c r="ER19" s="1013"/>
      <c r="ES19" s="1013"/>
      <c r="ET19" s="1013"/>
      <c r="EU19" s="1013"/>
      <c r="EV19" s="1013"/>
      <c r="EW19" s="1013"/>
      <c r="EX19" s="1013"/>
      <c r="EY19" s="1013"/>
      <c r="EZ19" s="1013"/>
      <c r="FA19" s="1013"/>
      <c r="FB19" s="1013"/>
      <c r="FC19" s="1013"/>
      <c r="FD19" s="1013"/>
      <c r="FE19" s="1013"/>
      <c r="FF19" s="1013"/>
      <c r="FG19" s="1013"/>
      <c r="FH19" s="1013"/>
      <c r="FI19" s="1013"/>
      <c r="FJ19" s="1013"/>
      <c r="FK19" s="1013"/>
      <c r="FL19" s="1013"/>
      <c r="FM19" s="1013"/>
      <c r="FN19" s="1013"/>
      <c r="FO19" s="1013"/>
      <c r="FP19" s="1013"/>
      <c r="FQ19" s="1013"/>
      <c r="FR19" s="1013"/>
      <c r="FS19" s="1013"/>
      <c r="FT19" s="1013"/>
      <c r="FU19" s="1013"/>
      <c r="FV19" s="1013"/>
      <c r="FW19" s="1013"/>
      <c r="FX19" s="1013"/>
      <c r="FY19" s="1013"/>
      <c r="FZ19" s="1013"/>
      <c r="GA19" s="1013"/>
      <c r="GB19" s="1013"/>
      <c r="GC19" s="1013"/>
      <c r="GD19" s="1013"/>
      <c r="GE19" s="1013"/>
      <c r="GF19" s="1013"/>
      <c r="GG19" s="1013"/>
      <c r="GH19" s="1013"/>
      <c r="GI19" s="1013"/>
      <c r="GJ19" s="1013"/>
      <c r="GK19" s="1013"/>
      <c r="GL19" s="1013"/>
      <c r="GM19" s="1013"/>
      <c r="GN19" s="1013"/>
      <c r="GO19" s="1013"/>
      <c r="GP19" s="1013"/>
      <c r="GQ19" s="1013"/>
      <c r="GR19" s="1013"/>
      <c r="GS19" s="1013"/>
      <c r="GT19" s="1013"/>
      <c r="GU19" s="1013"/>
      <c r="GV19" s="1013"/>
      <c r="GW19" s="1013"/>
      <c r="GX19" s="1013"/>
      <c r="GY19" s="1013"/>
      <c r="GZ19" s="1013"/>
      <c r="HA19" s="1013"/>
      <c r="HB19" s="1013"/>
      <c r="HC19" s="1013"/>
      <c r="HD19" s="1013"/>
      <c r="HE19" s="1013"/>
      <c r="HF19" s="1013"/>
      <c r="HG19" s="1013"/>
      <c r="HH19" s="1013"/>
      <c r="HI19" s="1013"/>
      <c r="HJ19" s="1013"/>
      <c r="HK19" s="1013"/>
      <c r="HL19" s="1013"/>
      <c r="HM19" s="1013"/>
      <c r="HN19" s="1013"/>
      <c r="HO19" s="1013"/>
      <c r="HP19" s="1013"/>
      <c r="HQ19" s="1013"/>
      <c r="HR19" s="1013"/>
      <c r="HS19" s="1013"/>
      <c r="HT19" s="1013"/>
      <c r="HU19" s="1013"/>
      <c r="HV19" s="1013"/>
      <c r="HW19" s="1013"/>
      <c r="HX19" s="1013"/>
      <c r="HY19" s="1013"/>
      <c r="HZ19" s="1013"/>
      <c r="IA19" s="1013"/>
      <c r="IB19" s="1013"/>
      <c r="IC19" s="1013"/>
      <c r="ID19" s="1013"/>
      <c r="IE19" s="1013"/>
      <c r="IF19" s="1013"/>
      <c r="IG19" s="1013"/>
      <c r="IH19" s="1013"/>
      <c r="II19" s="1013"/>
      <c r="IJ19" s="1013"/>
      <c r="IK19" s="1013"/>
      <c r="IL19" s="1013"/>
      <c r="IM19" s="1013"/>
      <c r="IN19" s="1013"/>
      <c r="IO19" s="1013"/>
      <c r="IP19" s="1013"/>
      <c r="IQ19" s="1013"/>
      <c r="IR19" s="1013"/>
      <c r="IS19" s="1013"/>
      <c r="IT19" s="1013"/>
      <c r="IU19" s="1013"/>
    </row>
    <row r="20" spans="1:255" s="1031" customFormat="1" ht="21" customHeight="1">
      <c r="A20" s="1032" t="s">
        <v>441</v>
      </c>
      <c r="B20" s="1033" t="s">
        <v>111</v>
      </c>
      <c r="C20" s="1034">
        <v>18</v>
      </c>
      <c r="D20" s="1043">
        <v>0</v>
      </c>
      <c r="E20" s="1036">
        <v>0</v>
      </c>
      <c r="F20" s="1037">
        <v>0</v>
      </c>
      <c r="G20" s="1037">
        <v>0</v>
      </c>
      <c r="H20" s="1037">
        <v>0</v>
      </c>
      <c r="I20" s="1037">
        <v>0</v>
      </c>
      <c r="J20" s="1037">
        <f>D20+E20-F20-G20-H20-I20</f>
        <v>0</v>
      </c>
      <c r="K20" s="1037">
        <v>0</v>
      </c>
      <c r="L20" s="1037">
        <f>J20-K20</f>
        <v>0</v>
      </c>
      <c r="M20" s="1038"/>
      <c r="N20" s="1029">
        <f>M20-L20</f>
        <v>0</v>
      </c>
      <c r="O20" s="1030"/>
      <c r="P20" s="1013"/>
      <c r="Q20" s="1013"/>
      <c r="R20" s="1013"/>
      <c r="S20" s="1013"/>
      <c r="T20" s="1013"/>
      <c r="U20" s="1013"/>
      <c r="V20" s="1013"/>
      <c r="W20" s="1013"/>
      <c r="X20" s="1013"/>
      <c r="Y20" s="1013"/>
      <c r="Z20" s="1013"/>
      <c r="AA20" s="1013"/>
      <c r="AB20" s="1013"/>
      <c r="AC20" s="1013"/>
      <c r="AD20" s="1013"/>
      <c r="AE20" s="1013"/>
      <c r="AF20" s="1013"/>
      <c r="AG20" s="1013"/>
      <c r="AH20" s="1013"/>
      <c r="AI20" s="1013"/>
      <c r="AJ20" s="1013"/>
      <c r="AK20" s="1013"/>
      <c r="AL20" s="1013"/>
      <c r="AM20" s="1013"/>
      <c r="AN20" s="1013"/>
      <c r="AO20" s="1013"/>
      <c r="AP20" s="1013"/>
      <c r="AQ20" s="1013"/>
      <c r="AR20" s="1013"/>
      <c r="AS20" s="1013"/>
      <c r="AT20" s="1013"/>
      <c r="AU20" s="1013"/>
      <c r="AV20" s="1013"/>
      <c r="AW20" s="1013"/>
      <c r="AX20" s="1013"/>
      <c r="AY20" s="1013"/>
      <c r="AZ20" s="1013"/>
      <c r="BA20" s="1013"/>
      <c r="BB20" s="1013"/>
      <c r="BC20" s="1013"/>
      <c r="BD20" s="1013"/>
      <c r="BE20" s="1013"/>
      <c r="BF20" s="1013"/>
      <c r="BG20" s="1013"/>
      <c r="BH20" s="1013"/>
      <c r="BI20" s="1013"/>
      <c r="BJ20" s="1013"/>
      <c r="BK20" s="1013"/>
      <c r="BL20" s="1013"/>
      <c r="BM20" s="1013"/>
      <c r="BN20" s="1013"/>
      <c r="BO20" s="1013"/>
      <c r="BP20" s="1013"/>
      <c r="BQ20" s="1013"/>
      <c r="BR20" s="1013"/>
      <c r="BS20" s="1013"/>
      <c r="BT20" s="1013"/>
      <c r="BU20" s="1013"/>
      <c r="BV20" s="1013"/>
      <c r="BW20" s="1013"/>
      <c r="BX20" s="1013"/>
      <c r="BY20" s="1013"/>
      <c r="BZ20" s="1013"/>
      <c r="CA20" s="1013"/>
      <c r="CB20" s="1013"/>
      <c r="CC20" s="1013"/>
      <c r="CD20" s="1013"/>
      <c r="CE20" s="1013"/>
      <c r="CF20" s="1013"/>
      <c r="CG20" s="1013"/>
      <c r="CH20" s="1013"/>
      <c r="CI20" s="1013"/>
      <c r="CJ20" s="1013"/>
      <c r="CK20" s="1013"/>
      <c r="CL20" s="1013"/>
      <c r="CM20" s="1013"/>
      <c r="CN20" s="1013"/>
      <c r="CO20" s="1013"/>
      <c r="CP20" s="1013"/>
      <c r="CQ20" s="1013"/>
      <c r="CR20" s="1013"/>
      <c r="CS20" s="1013"/>
      <c r="CT20" s="1013"/>
      <c r="CU20" s="1013"/>
      <c r="CV20" s="1013"/>
      <c r="CW20" s="1013"/>
      <c r="CX20" s="1013"/>
      <c r="CY20" s="1013"/>
      <c r="CZ20" s="1013"/>
      <c r="DA20" s="1013"/>
      <c r="DB20" s="1013"/>
      <c r="DC20" s="1013"/>
      <c r="DD20" s="1013"/>
      <c r="DE20" s="1013"/>
      <c r="DF20" s="1013"/>
      <c r="DG20" s="1013"/>
      <c r="DH20" s="1013"/>
      <c r="DI20" s="1013"/>
      <c r="DJ20" s="1013"/>
      <c r="DK20" s="1013"/>
      <c r="DL20" s="1013"/>
      <c r="DM20" s="1013"/>
      <c r="DN20" s="1013"/>
      <c r="DO20" s="1013"/>
      <c r="DP20" s="1013"/>
      <c r="DQ20" s="1013"/>
      <c r="DR20" s="1013"/>
      <c r="DS20" s="1013"/>
      <c r="DT20" s="1013"/>
      <c r="DU20" s="1013"/>
      <c r="DV20" s="1013"/>
      <c r="DW20" s="1013"/>
      <c r="DX20" s="1013"/>
      <c r="DY20" s="1013"/>
      <c r="DZ20" s="1013"/>
      <c r="EA20" s="1013"/>
      <c r="EB20" s="1013"/>
      <c r="EC20" s="1013"/>
      <c r="ED20" s="1013"/>
      <c r="EE20" s="1013"/>
      <c r="EF20" s="1013"/>
      <c r="EG20" s="1013"/>
      <c r="EH20" s="1013"/>
      <c r="EI20" s="1013"/>
      <c r="EJ20" s="1013"/>
      <c r="EK20" s="1013"/>
      <c r="EL20" s="1013"/>
      <c r="EM20" s="1013"/>
      <c r="EN20" s="1013"/>
      <c r="EO20" s="1013"/>
      <c r="EP20" s="1013"/>
      <c r="EQ20" s="1013"/>
      <c r="ER20" s="1013"/>
      <c r="ES20" s="1013"/>
      <c r="ET20" s="1013"/>
      <c r="EU20" s="1013"/>
      <c r="EV20" s="1013"/>
      <c r="EW20" s="1013"/>
      <c r="EX20" s="1013"/>
      <c r="EY20" s="1013"/>
      <c r="EZ20" s="1013"/>
      <c r="FA20" s="1013"/>
      <c r="FB20" s="1013"/>
      <c r="FC20" s="1013"/>
      <c r="FD20" s="1013"/>
      <c r="FE20" s="1013"/>
      <c r="FF20" s="1013"/>
      <c r="FG20" s="1013"/>
      <c r="FH20" s="1013"/>
      <c r="FI20" s="1013"/>
      <c r="FJ20" s="1013"/>
      <c r="FK20" s="1013"/>
      <c r="FL20" s="1013"/>
      <c r="FM20" s="1013"/>
      <c r="FN20" s="1013"/>
      <c r="FO20" s="1013"/>
      <c r="FP20" s="1013"/>
      <c r="FQ20" s="1013"/>
      <c r="FR20" s="1013"/>
      <c r="FS20" s="1013"/>
      <c r="FT20" s="1013"/>
      <c r="FU20" s="1013"/>
      <c r="FV20" s="1013"/>
      <c r="FW20" s="1013"/>
      <c r="FX20" s="1013"/>
      <c r="FY20" s="1013"/>
      <c r="FZ20" s="1013"/>
      <c r="GA20" s="1013"/>
      <c r="GB20" s="1013"/>
      <c r="GC20" s="1013"/>
      <c r="GD20" s="1013"/>
      <c r="GE20" s="1013"/>
      <c r="GF20" s="1013"/>
      <c r="GG20" s="1013"/>
      <c r="GH20" s="1013"/>
      <c r="GI20" s="1013"/>
      <c r="GJ20" s="1013"/>
      <c r="GK20" s="1013"/>
      <c r="GL20" s="1013"/>
      <c r="GM20" s="1013"/>
      <c r="GN20" s="1013"/>
      <c r="GO20" s="1013"/>
      <c r="GP20" s="1013"/>
      <c r="GQ20" s="1013"/>
      <c r="GR20" s="1013"/>
      <c r="GS20" s="1013"/>
      <c r="GT20" s="1013"/>
      <c r="GU20" s="1013"/>
      <c r="GV20" s="1013"/>
      <c r="GW20" s="1013"/>
      <c r="GX20" s="1013"/>
      <c r="GY20" s="1013"/>
      <c r="GZ20" s="1013"/>
      <c r="HA20" s="1013"/>
      <c r="HB20" s="1013"/>
      <c r="HC20" s="1013"/>
      <c r="HD20" s="1013"/>
      <c r="HE20" s="1013"/>
      <c r="HF20" s="1013"/>
      <c r="HG20" s="1013"/>
      <c r="HH20" s="1013"/>
      <c r="HI20" s="1013"/>
      <c r="HJ20" s="1013"/>
      <c r="HK20" s="1013"/>
      <c r="HL20" s="1013"/>
      <c r="HM20" s="1013"/>
      <c r="HN20" s="1013"/>
      <c r="HO20" s="1013"/>
      <c r="HP20" s="1013"/>
      <c r="HQ20" s="1013"/>
      <c r="HR20" s="1013"/>
      <c r="HS20" s="1013"/>
      <c r="HT20" s="1013"/>
      <c r="HU20" s="1013"/>
      <c r="HV20" s="1013"/>
      <c r="HW20" s="1013"/>
      <c r="HX20" s="1013"/>
      <c r="HY20" s="1013"/>
      <c r="HZ20" s="1013"/>
      <c r="IA20" s="1013"/>
      <c r="IB20" s="1013"/>
      <c r="IC20" s="1013"/>
      <c r="ID20" s="1013"/>
      <c r="IE20" s="1013"/>
      <c r="IF20" s="1013"/>
      <c r="IG20" s="1013"/>
      <c r="IH20" s="1013"/>
      <c r="II20" s="1013"/>
      <c r="IJ20" s="1013"/>
      <c r="IK20" s="1013"/>
      <c r="IL20" s="1013"/>
      <c r="IM20" s="1013"/>
      <c r="IN20" s="1013"/>
      <c r="IO20" s="1013"/>
      <c r="IP20" s="1013"/>
      <c r="IQ20" s="1013"/>
      <c r="IR20" s="1013"/>
      <c r="IS20" s="1013"/>
      <c r="IT20" s="1013"/>
      <c r="IU20" s="1013"/>
    </row>
    <row r="21" spans="1:255" s="1031" customFormat="1" ht="21" customHeight="1">
      <c r="A21" s="1032" t="s">
        <v>363</v>
      </c>
      <c r="B21" s="1033" t="s">
        <v>111</v>
      </c>
      <c r="C21" s="1034">
        <v>28</v>
      </c>
      <c r="D21" s="1035">
        <v>0</v>
      </c>
      <c r="E21" s="1036">
        <v>0</v>
      </c>
      <c r="F21" s="1037">
        <v>0</v>
      </c>
      <c r="G21" s="1037">
        <v>0</v>
      </c>
      <c r="H21" s="1037">
        <v>0</v>
      </c>
      <c r="I21" s="1037">
        <v>0</v>
      </c>
      <c r="J21" s="1037">
        <f t="shared" si="2"/>
        <v>0</v>
      </c>
      <c r="K21" s="1037">
        <v>0</v>
      </c>
      <c r="L21" s="1037">
        <f t="shared" si="0"/>
        <v>0</v>
      </c>
      <c r="M21" s="1038"/>
      <c r="N21" s="1029">
        <f>M21-L21</f>
        <v>0</v>
      </c>
      <c r="O21" s="1030"/>
      <c r="P21" s="1013"/>
      <c r="Q21" s="1013"/>
      <c r="R21" s="1013"/>
      <c r="S21" s="1013"/>
      <c r="T21" s="1013"/>
      <c r="U21" s="1013"/>
      <c r="V21" s="1013"/>
      <c r="W21" s="1013"/>
      <c r="X21" s="1013"/>
      <c r="Y21" s="1013"/>
      <c r="Z21" s="1013"/>
      <c r="AA21" s="1013"/>
      <c r="AB21" s="1013"/>
      <c r="AC21" s="1013"/>
      <c r="AD21" s="1013"/>
      <c r="AE21" s="1013"/>
      <c r="AF21" s="1013"/>
      <c r="AG21" s="1013"/>
      <c r="AH21" s="1013"/>
      <c r="AI21" s="1013"/>
      <c r="AJ21" s="1013"/>
      <c r="AK21" s="1013"/>
      <c r="AL21" s="1013"/>
      <c r="AM21" s="1013"/>
      <c r="AN21" s="1013"/>
      <c r="AO21" s="1013"/>
      <c r="AP21" s="1013"/>
      <c r="AQ21" s="1013"/>
      <c r="AR21" s="1013"/>
      <c r="AS21" s="1013"/>
      <c r="AT21" s="1013"/>
      <c r="AU21" s="1013"/>
      <c r="AV21" s="1013"/>
      <c r="AW21" s="1013"/>
      <c r="AX21" s="1013"/>
      <c r="AY21" s="1013"/>
      <c r="AZ21" s="1013"/>
      <c r="BA21" s="1013"/>
      <c r="BB21" s="1013"/>
      <c r="BC21" s="1013"/>
      <c r="BD21" s="1013"/>
      <c r="BE21" s="1013"/>
      <c r="BF21" s="1013"/>
      <c r="BG21" s="1013"/>
      <c r="BH21" s="1013"/>
      <c r="BI21" s="1013"/>
      <c r="BJ21" s="1013"/>
      <c r="BK21" s="1013"/>
      <c r="BL21" s="1013"/>
      <c r="BM21" s="1013"/>
      <c r="BN21" s="1013"/>
      <c r="BO21" s="1013"/>
      <c r="BP21" s="1013"/>
      <c r="BQ21" s="1013"/>
      <c r="BR21" s="1013"/>
      <c r="BS21" s="1013"/>
      <c r="BT21" s="1013"/>
      <c r="BU21" s="1013"/>
      <c r="BV21" s="1013"/>
      <c r="BW21" s="1013"/>
      <c r="BX21" s="1013"/>
      <c r="BY21" s="1013"/>
      <c r="BZ21" s="1013"/>
      <c r="CA21" s="1013"/>
      <c r="CB21" s="1013"/>
      <c r="CC21" s="1013"/>
      <c r="CD21" s="1013"/>
      <c r="CE21" s="1013"/>
      <c r="CF21" s="1013"/>
      <c r="CG21" s="1013"/>
      <c r="CH21" s="1013"/>
      <c r="CI21" s="1013"/>
      <c r="CJ21" s="1013"/>
      <c r="CK21" s="1013"/>
      <c r="CL21" s="1013"/>
      <c r="CM21" s="1013"/>
      <c r="CN21" s="1013"/>
      <c r="CO21" s="1013"/>
      <c r="CP21" s="1013"/>
      <c r="CQ21" s="1013"/>
      <c r="CR21" s="1013"/>
      <c r="CS21" s="1013"/>
      <c r="CT21" s="1013"/>
      <c r="CU21" s="1013"/>
      <c r="CV21" s="1013"/>
      <c r="CW21" s="1013"/>
      <c r="CX21" s="1013"/>
      <c r="CY21" s="1013"/>
      <c r="CZ21" s="1013"/>
      <c r="DA21" s="1013"/>
      <c r="DB21" s="1013"/>
      <c r="DC21" s="1013"/>
      <c r="DD21" s="1013"/>
      <c r="DE21" s="1013"/>
      <c r="DF21" s="1013"/>
      <c r="DG21" s="1013"/>
      <c r="DH21" s="1013"/>
      <c r="DI21" s="1013"/>
      <c r="DJ21" s="1013"/>
      <c r="DK21" s="1013"/>
      <c r="DL21" s="1013"/>
      <c r="DM21" s="1013"/>
      <c r="DN21" s="1013"/>
      <c r="DO21" s="1013"/>
      <c r="DP21" s="1013"/>
      <c r="DQ21" s="1013"/>
      <c r="DR21" s="1013"/>
      <c r="DS21" s="1013"/>
      <c r="DT21" s="1013"/>
      <c r="DU21" s="1013"/>
      <c r="DV21" s="1013"/>
      <c r="DW21" s="1013"/>
      <c r="DX21" s="1013"/>
      <c r="DY21" s="1013"/>
      <c r="DZ21" s="1013"/>
      <c r="EA21" s="1013"/>
      <c r="EB21" s="1013"/>
      <c r="EC21" s="1013"/>
      <c r="ED21" s="1013"/>
      <c r="EE21" s="1013"/>
      <c r="EF21" s="1013"/>
      <c r="EG21" s="1013"/>
      <c r="EH21" s="1013"/>
      <c r="EI21" s="1013"/>
      <c r="EJ21" s="1013"/>
      <c r="EK21" s="1013"/>
      <c r="EL21" s="1013"/>
      <c r="EM21" s="1013"/>
      <c r="EN21" s="1013"/>
      <c r="EO21" s="1013"/>
      <c r="EP21" s="1013"/>
      <c r="EQ21" s="1013"/>
      <c r="ER21" s="1013"/>
      <c r="ES21" s="1013"/>
      <c r="ET21" s="1013"/>
      <c r="EU21" s="1013"/>
      <c r="EV21" s="1013"/>
      <c r="EW21" s="1013"/>
      <c r="EX21" s="1013"/>
      <c r="EY21" s="1013"/>
      <c r="EZ21" s="1013"/>
      <c r="FA21" s="1013"/>
      <c r="FB21" s="1013"/>
      <c r="FC21" s="1013"/>
      <c r="FD21" s="1013"/>
      <c r="FE21" s="1013"/>
      <c r="FF21" s="1013"/>
      <c r="FG21" s="1013"/>
      <c r="FH21" s="1013"/>
      <c r="FI21" s="1013"/>
      <c r="FJ21" s="1013"/>
      <c r="FK21" s="1013"/>
      <c r="FL21" s="1013"/>
      <c r="FM21" s="1013"/>
      <c r="FN21" s="1013"/>
      <c r="FO21" s="1013"/>
      <c r="FP21" s="1013"/>
      <c r="FQ21" s="1013"/>
      <c r="FR21" s="1013"/>
      <c r="FS21" s="1013"/>
      <c r="FT21" s="1013"/>
      <c r="FU21" s="1013"/>
      <c r="FV21" s="1013"/>
      <c r="FW21" s="1013"/>
      <c r="FX21" s="1013"/>
      <c r="FY21" s="1013"/>
      <c r="FZ21" s="1013"/>
      <c r="GA21" s="1013"/>
      <c r="GB21" s="1013"/>
      <c r="GC21" s="1013"/>
      <c r="GD21" s="1013"/>
      <c r="GE21" s="1013"/>
      <c r="GF21" s="1013"/>
      <c r="GG21" s="1013"/>
      <c r="GH21" s="1013"/>
      <c r="GI21" s="1013"/>
      <c r="GJ21" s="1013"/>
      <c r="GK21" s="1013"/>
      <c r="GL21" s="1013"/>
      <c r="GM21" s="1013"/>
      <c r="GN21" s="1013"/>
      <c r="GO21" s="1013"/>
      <c r="GP21" s="1013"/>
      <c r="GQ21" s="1013"/>
      <c r="GR21" s="1013"/>
      <c r="GS21" s="1013"/>
      <c r="GT21" s="1013"/>
      <c r="GU21" s="1013"/>
      <c r="GV21" s="1013"/>
      <c r="GW21" s="1013"/>
      <c r="GX21" s="1013"/>
      <c r="GY21" s="1013"/>
      <c r="GZ21" s="1013"/>
      <c r="HA21" s="1013"/>
      <c r="HB21" s="1013"/>
      <c r="HC21" s="1013"/>
      <c r="HD21" s="1013"/>
      <c r="HE21" s="1013"/>
      <c r="HF21" s="1013"/>
      <c r="HG21" s="1013"/>
      <c r="HH21" s="1013"/>
      <c r="HI21" s="1013"/>
      <c r="HJ21" s="1013"/>
      <c r="HK21" s="1013"/>
      <c r="HL21" s="1013"/>
      <c r="HM21" s="1013"/>
      <c r="HN21" s="1013"/>
      <c r="HO21" s="1013"/>
      <c r="HP21" s="1013"/>
      <c r="HQ21" s="1013"/>
      <c r="HR21" s="1013"/>
      <c r="HS21" s="1013"/>
      <c r="HT21" s="1013"/>
      <c r="HU21" s="1013"/>
      <c r="HV21" s="1013"/>
      <c r="HW21" s="1013"/>
      <c r="HX21" s="1013"/>
      <c r="HY21" s="1013"/>
      <c r="HZ21" s="1013"/>
      <c r="IA21" s="1013"/>
      <c r="IB21" s="1013"/>
      <c r="IC21" s="1013"/>
      <c r="ID21" s="1013"/>
      <c r="IE21" s="1013"/>
      <c r="IF21" s="1013"/>
      <c r="IG21" s="1013"/>
      <c r="IH21" s="1013"/>
      <c r="II21" s="1013"/>
      <c r="IJ21" s="1013"/>
      <c r="IK21" s="1013"/>
      <c r="IL21" s="1013"/>
      <c r="IM21" s="1013"/>
      <c r="IN21" s="1013"/>
      <c r="IO21" s="1013"/>
      <c r="IP21" s="1013"/>
      <c r="IQ21" s="1013"/>
      <c r="IR21" s="1013"/>
      <c r="IS21" s="1013"/>
      <c r="IT21" s="1013"/>
      <c r="IU21" s="1013"/>
    </row>
    <row r="22" spans="1:255" s="1031" customFormat="1" ht="21" customHeight="1">
      <c r="A22" s="1032" t="s">
        <v>863</v>
      </c>
      <c r="B22" s="1033" t="s">
        <v>865</v>
      </c>
      <c r="C22" s="1034">
        <v>116</v>
      </c>
      <c r="D22" s="1035">
        <v>1270</v>
      </c>
      <c r="E22" s="1036">
        <v>318.60000000009313</v>
      </c>
      <c r="F22" s="1037">
        <v>839.27000000001863</v>
      </c>
      <c r="G22" s="1037">
        <v>0</v>
      </c>
      <c r="H22" s="1037">
        <v>0</v>
      </c>
      <c r="I22" s="1037">
        <v>0</v>
      </c>
      <c r="J22" s="1037">
        <f t="shared" si="2"/>
        <v>749.33000000007451</v>
      </c>
      <c r="K22" s="1039">
        <v>0</v>
      </c>
      <c r="L22" s="1037">
        <f t="shared" si="0"/>
        <v>749.33000000007451</v>
      </c>
      <c r="M22" s="1038">
        <v>749.33</v>
      </c>
      <c r="N22" s="1029">
        <f t="shared" si="1"/>
        <v>-7.4464878707658499E-11</v>
      </c>
      <c r="O22" s="1030"/>
      <c r="P22" s="1013"/>
      <c r="Q22" s="1013"/>
      <c r="R22" s="1013"/>
      <c r="S22" s="1013"/>
      <c r="T22" s="1013"/>
      <c r="U22" s="1013"/>
      <c r="V22" s="1013"/>
      <c r="W22" s="1013"/>
      <c r="X22" s="1013"/>
      <c r="Y22" s="1013"/>
      <c r="Z22" s="1013"/>
      <c r="AA22" s="1013"/>
      <c r="AB22" s="1013"/>
      <c r="AC22" s="1013"/>
      <c r="AD22" s="1013"/>
      <c r="AE22" s="1013"/>
      <c r="AF22" s="1013"/>
      <c r="AG22" s="1013"/>
      <c r="AH22" s="1013"/>
      <c r="AI22" s="1013"/>
      <c r="AJ22" s="1013"/>
      <c r="AK22" s="1013"/>
      <c r="AL22" s="1013"/>
      <c r="AM22" s="1013"/>
      <c r="AN22" s="1013"/>
      <c r="AO22" s="1013"/>
      <c r="AP22" s="1013"/>
      <c r="AQ22" s="1013"/>
      <c r="AR22" s="1013"/>
      <c r="AS22" s="1013"/>
      <c r="AT22" s="1013"/>
      <c r="AU22" s="1013"/>
      <c r="AV22" s="1013"/>
      <c r="AW22" s="1013"/>
      <c r="AX22" s="1013"/>
      <c r="AY22" s="1013"/>
      <c r="AZ22" s="1013"/>
      <c r="BA22" s="1013"/>
      <c r="BB22" s="1013"/>
      <c r="BC22" s="1013"/>
      <c r="BD22" s="1013"/>
      <c r="BE22" s="1013"/>
      <c r="BF22" s="1013"/>
      <c r="BG22" s="1013"/>
      <c r="BH22" s="1013"/>
      <c r="BI22" s="1013"/>
      <c r="BJ22" s="1013"/>
      <c r="BK22" s="1013"/>
      <c r="BL22" s="1013"/>
      <c r="BM22" s="1013"/>
      <c r="BN22" s="1013"/>
      <c r="BO22" s="1013"/>
      <c r="BP22" s="1013"/>
      <c r="BQ22" s="1013"/>
      <c r="BR22" s="1013"/>
      <c r="BS22" s="1013"/>
      <c r="BT22" s="1013"/>
      <c r="BU22" s="1013"/>
      <c r="BV22" s="1013"/>
      <c r="BW22" s="1013"/>
      <c r="BX22" s="1013"/>
      <c r="BY22" s="1013"/>
      <c r="BZ22" s="1013"/>
      <c r="CA22" s="1013"/>
      <c r="CB22" s="1013"/>
      <c r="CC22" s="1013"/>
      <c r="CD22" s="1013"/>
      <c r="CE22" s="1013"/>
      <c r="CF22" s="1013"/>
      <c r="CG22" s="1013"/>
      <c r="CH22" s="1013"/>
      <c r="CI22" s="1013"/>
      <c r="CJ22" s="1013"/>
      <c r="CK22" s="1013"/>
      <c r="CL22" s="1013"/>
      <c r="CM22" s="1013"/>
      <c r="CN22" s="1013"/>
      <c r="CO22" s="1013"/>
      <c r="CP22" s="1013"/>
      <c r="CQ22" s="1013"/>
      <c r="CR22" s="1013"/>
      <c r="CS22" s="1013"/>
      <c r="CT22" s="1013"/>
      <c r="CU22" s="1013"/>
      <c r="CV22" s="1013"/>
      <c r="CW22" s="1013"/>
      <c r="CX22" s="1013"/>
      <c r="CY22" s="1013"/>
      <c r="CZ22" s="1013"/>
      <c r="DA22" s="1013"/>
      <c r="DB22" s="1013"/>
      <c r="DC22" s="1013"/>
      <c r="DD22" s="1013"/>
      <c r="DE22" s="1013"/>
      <c r="DF22" s="1013"/>
      <c r="DG22" s="1013"/>
      <c r="DH22" s="1013"/>
      <c r="DI22" s="1013"/>
      <c r="DJ22" s="1013"/>
      <c r="DK22" s="1013"/>
      <c r="DL22" s="1013"/>
      <c r="DM22" s="1013"/>
      <c r="DN22" s="1013"/>
      <c r="DO22" s="1013"/>
      <c r="DP22" s="1013"/>
      <c r="DQ22" s="1013"/>
      <c r="DR22" s="1013"/>
      <c r="DS22" s="1013"/>
      <c r="DT22" s="1013"/>
      <c r="DU22" s="1013"/>
      <c r="DV22" s="1013"/>
      <c r="DW22" s="1013"/>
      <c r="DX22" s="1013"/>
      <c r="DY22" s="1013"/>
      <c r="DZ22" s="1013"/>
      <c r="EA22" s="1013"/>
      <c r="EB22" s="1013"/>
      <c r="EC22" s="1013"/>
      <c r="ED22" s="1013"/>
      <c r="EE22" s="1013"/>
      <c r="EF22" s="1013"/>
      <c r="EG22" s="1013"/>
      <c r="EH22" s="1013"/>
      <c r="EI22" s="1013"/>
      <c r="EJ22" s="1013"/>
      <c r="EK22" s="1013"/>
      <c r="EL22" s="1013"/>
      <c r="EM22" s="1013"/>
      <c r="EN22" s="1013"/>
      <c r="EO22" s="1013"/>
      <c r="EP22" s="1013"/>
      <c r="EQ22" s="1013"/>
      <c r="ER22" s="1013"/>
      <c r="ES22" s="1013"/>
      <c r="ET22" s="1013"/>
      <c r="EU22" s="1013"/>
      <c r="EV22" s="1013"/>
      <c r="EW22" s="1013"/>
      <c r="EX22" s="1013"/>
      <c r="EY22" s="1013"/>
      <c r="EZ22" s="1013"/>
      <c r="FA22" s="1013"/>
      <c r="FB22" s="1013"/>
      <c r="FC22" s="1013"/>
      <c r="FD22" s="1013"/>
      <c r="FE22" s="1013"/>
      <c r="FF22" s="1013"/>
      <c r="FG22" s="1013"/>
      <c r="FH22" s="1013"/>
      <c r="FI22" s="1013"/>
      <c r="FJ22" s="1013"/>
      <c r="FK22" s="1013"/>
      <c r="FL22" s="1013"/>
      <c r="FM22" s="1013"/>
      <c r="FN22" s="1013"/>
      <c r="FO22" s="1013"/>
      <c r="FP22" s="1013"/>
      <c r="FQ22" s="1013"/>
      <c r="FR22" s="1013"/>
      <c r="FS22" s="1013"/>
      <c r="FT22" s="1013"/>
      <c r="FU22" s="1013"/>
      <c r="FV22" s="1013"/>
      <c r="FW22" s="1013"/>
      <c r="FX22" s="1013"/>
      <c r="FY22" s="1013"/>
      <c r="FZ22" s="1013"/>
      <c r="GA22" s="1013"/>
      <c r="GB22" s="1013"/>
      <c r="GC22" s="1013"/>
      <c r="GD22" s="1013"/>
      <c r="GE22" s="1013"/>
      <c r="GF22" s="1013"/>
      <c r="GG22" s="1013"/>
      <c r="GH22" s="1013"/>
      <c r="GI22" s="1013"/>
      <c r="GJ22" s="1013"/>
      <c r="GK22" s="1013"/>
      <c r="GL22" s="1013"/>
      <c r="GM22" s="1013"/>
      <c r="GN22" s="1013"/>
      <c r="GO22" s="1013"/>
      <c r="GP22" s="1013"/>
      <c r="GQ22" s="1013"/>
      <c r="GR22" s="1013"/>
      <c r="GS22" s="1013"/>
      <c r="GT22" s="1013"/>
      <c r="GU22" s="1013"/>
      <c r="GV22" s="1013"/>
      <c r="GW22" s="1013"/>
      <c r="GX22" s="1013"/>
      <c r="GY22" s="1013"/>
      <c r="GZ22" s="1013"/>
      <c r="HA22" s="1013"/>
      <c r="HB22" s="1013"/>
      <c r="HC22" s="1013"/>
      <c r="HD22" s="1013"/>
      <c r="HE22" s="1013"/>
      <c r="HF22" s="1013"/>
      <c r="HG22" s="1013"/>
      <c r="HH22" s="1013"/>
      <c r="HI22" s="1013"/>
      <c r="HJ22" s="1013"/>
      <c r="HK22" s="1013"/>
      <c r="HL22" s="1013"/>
      <c r="HM22" s="1013"/>
      <c r="HN22" s="1013"/>
      <c r="HO22" s="1013"/>
      <c r="HP22" s="1013"/>
      <c r="HQ22" s="1013"/>
      <c r="HR22" s="1013"/>
      <c r="HS22" s="1013"/>
      <c r="HT22" s="1013"/>
      <c r="HU22" s="1013"/>
      <c r="HV22" s="1013"/>
      <c r="HW22" s="1013"/>
      <c r="HX22" s="1013"/>
      <c r="HY22" s="1013"/>
      <c r="HZ22" s="1013"/>
      <c r="IA22" s="1013"/>
      <c r="IB22" s="1013"/>
      <c r="IC22" s="1013"/>
      <c r="ID22" s="1013"/>
      <c r="IE22" s="1013"/>
      <c r="IF22" s="1013"/>
      <c r="IG22" s="1013"/>
      <c r="IH22" s="1013"/>
      <c r="II22" s="1013"/>
      <c r="IJ22" s="1013"/>
      <c r="IK22" s="1013"/>
      <c r="IL22" s="1013"/>
      <c r="IM22" s="1013"/>
      <c r="IN22" s="1013"/>
      <c r="IO22" s="1013"/>
      <c r="IP22" s="1013"/>
      <c r="IQ22" s="1013"/>
      <c r="IR22" s="1013"/>
      <c r="IS22" s="1013"/>
      <c r="IT22" s="1013"/>
      <c r="IU22" s="1013"/>
    </row>
    <row r="23" spans="1:255" s="1031" customFormat="1" ht="21" customHeight="1">
      <c r="A23" s="1032" t="s">
        <v>752</v>
      </c>
      <c r="B23" s="1033" t="s">
        <v>829</v>
      </c>
      <c r="C23" s="1034">
        <v>96</v>
      </c>
      <c r="D23" s="1035">
        <v>45</v>
      </c>
      <c r="E23" s="1036">
        <v>212.86000000000058</v>
      </c>
      <c r="F23" s="1037">
        <v>103.83999999999651</v>
      </c>
      <c r="G23" s="1037">
        <v>0</v>
      </c>
      <c r="H23" s="1037">
        <v>0</v>
      </c>
      <c r="I23" s="1037">
        <v>0</v>
      </c>
      <c r="J23" s="1037">
        <f t="shared" si="2"/>
        <v>154.02000000000407</v>
      </c>
      <c r="K23" s="1037">
        <v>0</v>
      </c>
      <c r="L23" s="1037">
        <f t="shared" si="0"/>
        <v>154.02000000000407</v>
      </c>
      <c r="M23" s="1041">
        <v>154.02000000000001</v>
      </c>
      <c r="N23" s="1029">
        <f t="shared" si="1"/>
        <v>-4.0643044485477731E-12</v>
      </c>
      <c r="O23" s="1030"/>
      <c r="P23" s="1013"/>
      <c r="Q23" s="1013"/>
      <c r="R23" s="1013"/>
      <c r="S23" s="1013"/>
      <c r="T23" s="1013"/>
      <c r="U23" s="1013"/>
      <c r="V23" s="1013"/>
      <c r="W23" s="1013"/>
      <c r="X23" s="1013"/>
      <c r="Y23" s="1013"/>
      <c r="Z23" s="1013"/>
      <c r="AA23" s="1013"/>
      <c r="AB23" s="1013"/>
      <c r="AC23" s="1013"/>
      <c r="AD23" s="1013"/>
      <c r="AE23" s="1013"/>
      <c r="AF23" s="1013"/>
      <c r="AG23" s="1013"/>
      <c r="AH23" s="1013"/>
      <c r="AI23" s="1013"/>
      <c r="AJ23" s="1013"/>
      <c r="AK23" s="1013"/>
      <c r="AL23" s="1013"/>
      <c r="AM23" s="1013"/>
      <c r="AN23" s="1013"/>
      <c r="AO23" s="1013"/>
      <c r="AP23" s="1013"/>
      <c r="AQ23" s="1013"/>
      <c r="AR23" s="1013"/>
      <c r="AS23" s="1013"/>
      <c r="AT23" s="1013"/>
      <c r="AU23" s="1013"/>
      <c r="AV23" s="1013"/>
      <c r="AW23" s="1013"/>
      <c r="AX23" s="1013"/>
      <c r="AY23" s="1013"/>
      <c r="AZ23" s="1013"/>
      <c r="BA23" s="1013"/>
      <c r="BB23" s="1013"/>
      <c r="BC23" s="1013"/>
      <c r="BD23" s="1013"/>
      <c r="BE23" s="1013"/>
      <c r="BF23" s="1013"/>
      <c r="BG23" s="1013"/>
      <c r="BH23" s="1013"/>
      <c r="BI23" s="1013"/>
      <c r="BJ23" s="1013"/>
      <c r="BK23" s="1013"/>
      <c r="BL23" s="1013"/>
      <c r="BM23" s="1013"/>
      <c r="BN23" s="1013"/>
      <c r="BO23" s="1013"/>
      <c r="BP23" s="1013"/>
      <c r="BQ23" s="1013"/>
      <c r="BR23" s="1013"/>
      <c r="BS23" s="1013"/>
      <c r="BT23" s="1013"/>
      <c r="BU23" s="1013"/>
      <c r="BV23" s="1013"/>
      <c r="BW23" s="1013"/>
      <c r="BX23" s="1013"/>
      <c r="BY23" s="1013"/>
      <c r="BZ23" s="1013"/>
      <c r="CA23" s="1013"/>
      <c r="CB23" s="1013"/>
      <c r="CC23" s="1013"/>
      <c r="CD23" s="1013"/>
      <c r="CE23" s="1013"/>
      <c r="CF23" s="1013"/>
      <c r="CG23" s="1013"/>
      <c r="CH23" s="1013"/>
      <c r="CI23" s="1013"/>
      <c r="CJ23" s="1013"/>
      <c r="CK23" s="1013"/>
      <c r="CL23" s="1013"/>
      <c r="CM23" s="1013"/>
      <c r="CN23" s="1013"/>
      <c r="CO23" s="1013"/>
      <c r="CP23" s="1013"/>
      <c r="CQ23" s="1013"/>
      <c r="CR23" s="1013"/>
      <c r="CS23" s="1013"/>
      <c r="CT23" s="1013"/>
      <c r="CU23" s="1013"/>
      <c r="CV23" s="1013"/>
      <c r="CW23" s="1013"/>
      <c r="CX23" s="1013"/>
      <c r="CY23" s="1013"/>
      <c r="CZ23" s="1013"/>
      <c r="DA23" s="1013"/>
      <c r="DB23" s="1013"/>
      <c r="DC23" s="1013"/>
      <c r="DD23" s="1013"/>
      <c r="DE23" s="1013"/>
      <c r="DF23" s="1013"/>
      <c r="DG23" s="1013"/>
      <c r="DH23" s="1013"/>
      <c r="DI23" s="1013"/>
      <c r="DJ23" s="1013"/>
      <c r="DK23" s="1013"/>
      <c r="DL23" s="1013"/>
      <c r="DM23" s="1013"/>
      <c r="DN23" s="1013"/>
      <c r="DO23" s="1013"/>
      <c r="DP23" s="1013"/>
      <c r="DQ23" s="1013"/>
      <c r="DR23" s="1013"/>
      <c r="DS23" s="1013"/>
      <c r="DT23" s="1013"/>
      <c r="DU23" s="1013"/>
      <c r="DV23" s="1013"/>
      <c r="DW23" s="1013"/>
      <c r="DX23" s="1013"/>
      <c r="DY23" s="1013"/>
      <c r="DZ23" s="1013"/>
      <c r="EA23" s="1013"/>
      <c r="EB23" s="1013"/>
      <c r="EC23" s="1013"/>
      <c r="ED23" s="1013"/>
      <c r="EE23" s="1013"/>
      <c r="EF23" s="1013"/>
      <c r="EG23" s="1013"/>
      <c r="EH23" s="1013"/>
      <c r="EI23" s="1013"/>
      <c r="EJ23" s="1013"/>
      <c r="EK23" s="1013"/>
      <c r="EL23" s="1013"/>
      <c r="EM23" s="1013"/>
      <c r="EN23" s="1013"/>
      <c r="EO23" s="1013"/>
      <c r="EP23" s="1013"/>
      <c r="EQ23" s="1013"/>
      <c r="ER23" s="1013"/>
      <c r="ES23" s="1013"/>
      <c r="ET23" s="1013"/>
      <c r="EU23" s="1013"/>
      <c r="EV23" s="1013"/>
      <c r="EW23" s="1013"/>
      <c r="EX23" s="1013"/>
      <c r="EY23" s="1013"/>
      <c r="EZ23" s="1013"/>
      <c r="FA23" s="1013"/>
      <c r="FB23" s="1013"/>
      <c r="FC23" s="1013"/>
      <c r="FD23" s="1013"/>
      <c r="FE23" s="1013"/>
      <c r="FF23" s="1013"/>
      <c r="FG23" s="1013"/>
      <c r="FH23" s="1013"/>
      <c r="FI23" s="1013"/>
      <c r="FJ23" s="1013"/>
      <c r="FK23" s="1013"/>
      <c r="FL23" s="1013"/>
      <c r="FM23" s="1013"/>
      <c r="FN23" s="1013"/>
      <c r="FO23" s="1013"/>
      <c r="FP23" s="1013"/>
      <c r="FQ23" s="1013"/>
      <c r="FR23" s="1013"/>
      <c r="FS23" s="1013"/>
      <c r="FT23" s="1013"/>
      <c r="FU23" s="1013"/>
      <c r="FV23" s="1013"/>
      <c r="FW23" s="1013"/>
      <c r="FX23" s="1013"/>
      <c r="FY23" s="1013"/>
      <c r="FZ23" s="1013"/>
      <c r="GA23" s="1013"/>
      <c r="GB23" s="1013"/>
      <c r="GC23" s="1013"/>
      <c r="GD23" s="1013"/>
      <c r="GE23" s="1013"/>
      <c r="GF23" s="1013"/>
      <c r="GG23" s="1013"/>
      <c r="GH23" s="1013"/>
      <c r="GI23" s="1013"/>
      <c r="GJ23" s="1013"/>
      <c r="GK23" s="1013"/>
      <c r="GL23" s="1013"/>
      <c r="GM23" s="1013"/>
      <c r="GN23" s="1013"/>
      <c r="GO23" s="1013"/>
      <c r="GP23" s="1013"/>
      <c r="GQ23" s="1013"/>
      <c r="GR23" s="1013"/>
      <c r="GS23" s="1013"/>
      <c r="GT23" s="1013"/>
      <c r="GU23" s="1013"/>
      <c r="GV23" s="1013"/>
      <c r="GW23" s="1013"/>
      <c r="GX23" s="1013"/>
      <c r="GY23" s="1013"/>
      <c r="GZ23" s="1013"/>
      <c r="HA23" s="1013"/>
      <c r="HB23" s="1013"/>
      <c r="HC23" s="1013"/>
      <c r="HD23" s="1013"/>
      <c r="HE23" s="1013"/>
      <c r="HF23" s="1013"/>
      <c r="HG23" s="1013"/>
      <c r="HH23" s="1013"/>
      <c r="HI23" s="1013"/>
      <c r="HJ23" s="1013"/>
      <c r="HK23" s="1013"/>
      <c r="HL23" s="1013"/>
      <c r="HM23" s="1013"/>
      <c r="HN23" s="1013"/>
      <c r="HO23" s="1013"/>
      <c r="HP23" s="1013"/>
      <c r="HQ23" s="1013"/>
      <c r="HR23" s="1013"/>
      <c r="HS23" s="1013"/>
      <c r="HT23" s="1013"/>
      <c r="HU23" s="1013"/>
      <c r="HV23" s="1013"/>
      <c r="HW23" s="1013"/>
      <c r="HX23" s="1013"/>
      <c r="HY23" s="1013"/>
      <c r="HZ23" s="1013"/>
      <c r="IA23" s="1013"/>
      <c r="IB23" s="1013"/>
      <c r="IC23" s="1013"/>
      <c r="ID23" s="1013"/>
      <c r="IE23" s="1013"/>
      <c r="IF23" s="1013"/>
      <c r="IG23" s="1013"/>
      <c r="IH23" s="1013"/>
      <c r="II23" s="1013"/>
      <c r="IJ23" s="1013"/>
      <c r="IK23" s="1013"/>
      <c r="IL23" s="1013"/>
      <c r="IM23" s="1013"/>
      <c r="IN23" s="1013"/>
      <c r="IO23" s="1013"/>
      <c r="IP23" s="1013"/>
      <c r="IQ23" s="1013"/>
      <c r="IR23" s="1013"/>
      <c r="IS23" s="1013"/>
      <c r="IT23" s="1013"/>
      <c r="IU23" s="1013"/>
    </row>
    <row r="24" spans="1:255" s="1031" customFormat="1" ht="21" customHeight="1">
      <c r="A24" s="1032" t="s">
        <v>607</v>
      </c>
      <c r="B24" s="1033" t="s">
        <v>868</v>
      </c>
      <c r="C24" s="1034">
        <v>43</v>
      </c>
      <c r="D24" s="1035">
        <v>210</v>
      </c>
      <c r="E24" s="1036">
        <v>182.54000000003725</v>
      </c>
      <c r="F24" s="1037">
        <v>250.58000000007451</v>
      </c>
      <c r="G24" s="1037">
        <v>0</v>
      </c>
      <c r="H24" s="1037">
        <v>0</v>
      </c>
      <c r="I24" s="1037">
        <v>0</v>
      </c>
      <c r="J24" s="1044">
        <f>D24+E24-F24-G24-H24-I24</f>
        <v>141.95999999996275</v>
      </c>
      <c r="K24" s="1037">
        <v>0</v>
      </c>
      <c r="L24" s="1037">
        <f t="shared" si="0"/>
        <v>141.95999999996275</v>
      </c>
      <c r="M24" s="1041">
        <v>141.96</v>
      </c>
      <c r="N24" s="1045">
        <f t="shared" si="1"/>
        <v>3.7260861063259654E-11</v>
      </c>
      <c r="O24" s="1030"/>
      <c r="P24" s="1013"/>
      <c r="Q24" s="1013"/>
      <c r="R24" s="1013"/>
      <c r="S24" s="1013"/>
      <c r="T24" s="1013"/>
      <c r="U24" s="1013"/>
      <c r="V24" s="1013"/>
      <c r="W24" s="1013"/>
      <c r="X24" s="1013"/>
      <c r="Y24" s="1013"/>
      <c r="Z24" s="1013"/>
      <c r="AA24" s="1013"/>
      <c r="AB24" s="1013"/>
      <c r="AC24" s="1013"/>
      <c r="AD24" s="1013"/>
      <c r="AE24" s="1013"/>
      <c r="AF24" s="1013"/>
      <c r="AG24" s="1013"/>
      <c r="AH24" s="1013"/>
      <c r="AI24" s="1013"/>
      <c r="AJ24" s="1013"/>
      <c r="AK24" s="1013"/>
      <c r="AL24" s="1013"/>
      <c r="AM24" s="1013"/>
      <c r="AN24" s="1013"/>
      <c r="AO24" s="1013"/>
      <c r="AP24" s="1013"/>
      <c r="AQ24" s="1013"/>
      <c r="AR24" s="1013"/>
      <c r="AS24" s="1013"/>
      <c r="AT24" s="1013"/>
      <c r="AU24" s="1013"/>
      <c r="AV24" s="1013"/>
      <c r="AW24" s="1013"/>
      <c r="AX24" s="1013"/>
      <c r="AY24" s="1013"/>
      <c r="AZ24" s="1013"/>
      <c r="BA24" s="1013"/>
      <c r="BB24" s="1013"/>
      <c r="BC24" s="1013"/>
      <c r="BD24" s="1013"/>
      <c r="BE24" s="1013"/>
      <c r="BF24" s="1013"/>
      <c r="BG24" s="1013"/>
      <c r="BH24" s="1013"/>
      <c r="BI24" s="1013"/>
      <c r="BJ24" s="1013"/>
      <c r="BK24" s="1013"/>
      <c r="BL24" s="1013"/>
      <c r="BM24" s="1013"/>
      <c r="BN24" s="1013"/>
      <c r="BO24" s="1013"/>
      <c r="BP24" s="1013"/>
      <c r="BQ24" s="1013"/>
      <c r="BR24" s="1013"/>
      <c r="BS24" s="1013"/>
      <c r="BT24" s="1013"/>
      <c r="BU24" s="1013"/>
      <c r="BV24" s="1013"/>
      <c r="BW24" s="1013"/>
      <c r="BX24" s="1013"/>
      <c r="BY24" s="1013"/>
      <c r="BZ24" s="1013"/>
      <c r="CA24" s="1013"/>
      <c r="CB24" s="1013"/>
      <c r="CC24" s="1013"/>
      <c r="CD24" s="1013"/>
      <c r="CE24" s="1013"/>
      <c r="CF24" s="1013"/>
      <c r="CG24" s="1013"/>
      <c r="CH24" s="1013"/>
      <c r="CI24" s="1013"/>
      <c r="CJ24" s="1013"/>
      <c r="CK24" s="1013"/>
      <c r="CL24" s="1013"/>
      <c r="CM24" s="1013"/>
      <c r="CN24" s="1013"/>
      <c r="CO24" s="1013"/>
      <c r="CP24" s="1013"/>
      <c r="CQ24" s="1013"/>
      <c r="CR24" s="1013"/>
      <c r="CS24" s="1013"/>
      <c r="CT24" s="1013"/>
      <c r="CU24" s="1013"/>
      <c r="CV24" s="1013"/>
      <c r="CW24" s="1013"/>
      <c r="CX24" s="1013"/>
      <c r="CY24" s="1013"/>
      <c r="CZ24" s="1013"/>
      <c r="DA24" s="1013"/>
      <c r="DB24" s="1013"/>
      <c r="DC24" s="1013"/>
      <c r="DD24" s="1013"/>
      <c r="DE24" s="1013"/>
      <c r="DF24" s="1013"/>
      <c r="DG24" s="1013"/>
      <c r="DH24" s="1013"/>
      <c r="DI24" s="1013"/>
      <c r="DJ24" s="1013"/>
      <c r="DK24" s="1013"/>
      <c r="DL24" s="1013"/>
      <c r="DM24" s="1013"/>
      <c r="DN24" s="1013"/>
      <c r="DO24" s="1013"/>
      <c r="DP24" s="1013"/>
      <c r="DQ24" s="1013"/>
      <c r="DR24" s="1013"/>
      <c r="DS24" s="1013"/>
      <c r="DT24" s="1013"/>
      <c r="DU24" s="1013"/>
      <c r="DV24" s="1013"/>
      <c r="DW24" s="1013"/>
      <c r="DX24" s="1013"/>
      <c r="DY24" s="1013"/>
      <c r="DZ24" s="1013"/>
      <c r="EA24" s="1013"/>
      <c r="EB24" s="1013"/>
      <c r="EC24" s="1013"/>
      <c r="ED24" s="1013"/>
      <c r="EE24" s="1013"/>
      <c r="EF24" s="1013"/>
      <c r="EG24" s="1013"/>
      <c r="EH24" s="1013"/>
      <c r="EI24" s="1013"/>
      <c r="EJ24" s="1013"/>
      <c r="EK24" s="1013"/>
      <c r="EL24" s="1013"/>
      <c r="EM24" s="1013"/>
      <c r="EN24" s="1013"/>
      <c r="EO24" s="1013"/>
      <c r="EP24" s="1013"/>
      <c r="EQ24" s="1013"/>
      <c r="ER24" s="1013"/>
      <c r="ES24" s="1013"/>
      <c r="ET24" s="1013"/>
      <c r="EU24" s="1013"/>
      <c r="EV24" s="1013"/>
      <c r="EW24" s="1013"/>
      <c r="EX24" s="1013"/>
      <c r="EY24" s="1013"/>
      <c r="EZ24" s="1013"/>
      <c r="FA24" s="1013"/>
      <c r="FB24" s="1013"/>
      <c r="FC24" s="1013"/>
      <c r="FD24" s="1013"/>
      <c r="FE24" s="1013"/>
      <c r="FF24" s="1013"/>
      <c r="FG24" s="1013"/>
      <c r="FH24" s="1013"/>
      <c r="FI24" s="1013"/>
      <c r="FJ24" s="1013"/>
      <c r="FK24" s="1013"/>
      <c r="FL24" s="1013"/>
      <c r="FM24" s="1013"/>
      <c r="FN24" s="1013"/>
      <c r="FO24" s="1013"/>
      <c r="FP24" s="1013"/>
      <c r="FQ24" s="1013"/>
      <c r="FR24" s="1013"/>
      <c r="FS24" s="1013"/>
      <c r="FT24" s="1013"/>
      <c r="FU24" s="1013"/>
      <c r="FV24" s="1013"/>
      <c r="FW24" s="1013"/>
      <c r="FX24" s="1013"/>
      <c r="FY24" s="1013"/>
      <c r="FZ24" s="1013"/>
      <c r="GA24" s="1013"/>
      <c r="GB24" s="1013"/>
      <c r="GC24" s="1013"/>
      <c r="GD24" s="1013"/>
      <c r="GE24" s="1013"/>
      <c r="GF24" s="1013"/>
      <c r="GG24" s="1013"/>
      <c r="GH24" s="1013"/>
      <c r="GI24" s="1013"/>
      <c r="GJ24" s="1013"/>
      <c r="GK24" s="1013"/>
      <c r="GL24" s="1013"/>
      <c r="GM24" s="1013"/>
      <c r="GN24" s="1013"/>
      <c r="GO24" s="1013"/>
      <c r="GP24" s="1013"/>
      <c r="GQ24" s="1013"/>
      <c r="GR24" s="1013"/>
      <c r="GS24" s="1013"/>
      <c r="GT24" s="1013"/>
      <c r="GU24" s="1013"/>
      <c r="GV24" s="1013"/>
      <c r="GW24" s="1013"/>
      <c r="GX24" s="1013"/>
      <c r="GY24" s="1013"/>
      <c r="GZ24" s="1013"/>
      <c r="HA24" s="1013"/>
      <c r="HB24" s="1013"/>
      <c r="HC24" s="1013"/>
      <c r="HD24" s="1013"/>
      <c r="HE24" s="1013"/>
      <c r="HF24" s="1013"/>
      <c r="HG24" s="1013"/>
      <c r="HH24" s="1013"/>
      <c r="HI24" s="1013"/>
      <c r="HJ24" s="1013"/>
      <c r="HK24" s="1013"/>
      <c r="HL24" s="1013"/>
      <c r="HM24" s="1013"/>
      <c r="HN24" s="1013"/>
      <c r="HO24" s="1013"/>
      <c r="HP24" s="1013"/>
      <c r="HQ24" s="1013"/>
      <c r="HR24" s="1013"/>
      <c r="HS24" s="1013"/>
      <c r="HT24" s="1013"/>
      <c r="HU24" s="1013"/>
      <c r="HV24" s="1013"/>
      <c r="HW24" s="1013"/>
      <c r="HX24" s="1013"/>
      <c r="HY24" s="1013"/>
      <c r="HZ24" s="1013"/>
      <c r="IA24" s="1013"/>
      <c r="IB24" s="1013"/>
      <c r="IC24" s="1013"/>
      <c r="ID24" s="1013"/>
      <c r="IE24" s="1013"/>
      <c r="IF24" s="1013"/>
      <c r="IG24" s="1013"/>
      <c r="IH24" s="1013"/>
      <c r="II24" s="1013"/>
      <c r="IJ24" s="1013"/>
      <c r="IK24" s="1013"/>
      <c r="IL24" s="1013"/>
      <c r="IM24" s="1013"/>
      <c r="IN24" s="1013"/>
      <c r="IO24" s="1013"/>
      <c r="IP24" s="1013"/>
      <c r="IQ24" s="1013"/>
      <c r="IR24" s="1013"/>
      <c r="IS24" s="1013"/>
      <c r="IT24" s="1013"/>
      <c r="IU24" s="1013"/>
    </row>
    <row r="25" spans="1:255" s="1031" customFormat="1" ht="21" customHeight="1">
      <c r="A25" s="1032" t="s">
        <v>863</v>
      </c>
      <c r="B25" s="1033" t="s">
        <v>864</v>
      </c>
      <c r="C25" s="1034">
        <v>111</v>
      </c>
      <c r="D25" s="1035">
        <v>1370</v>
      </c>
      <c r="E25" s="1036">
        <v>709.79000000003725</v>
      </c>
      <c r="F25" s="1037">
        <v>1392.0400000000373</v>
      </c>
      <c r="G25" s="1037">
        <v>0</v>
      </c>
      <c r="H25" s="1037">
        <v>0</v>
      </c>
      <c r="I25" s="1037">
        <v>0</v>
      </c>
      <c r="J25" s="1037">
        <f>D25+E25-F25-G25-H25-I25</f>
        <v>687.75</v>
      </c>
      <c r="K25" s="1037">
        <v>0</v>
      </c>
      <c r="L25" s="1037">
        <f t="shared" si="0"/>
        <v>687.75</v>
      </c>
      <c r="M25" s="1041">
        <v>687.75</v>
      </c>
      <c r="N25" s="1029">
        <f t="shared" si="1"/>
        <v>0</v>
      </c>
      <c r="O25" s="1030"/>
      <c r="P25" s="1013"/>
      <c r="Q25" s="1013"/>
      <c r="R25" s="1013"/>
      <c r="S25" s="1013"/>
      <c r="T25" s="1013"/>
      <c r="U25" s="1013"/>
      <c r="V25" s="1013"/>
      <c r="W25" s="1013"/>
      <c r="X25" s="1013"/>
      <c r="Y25" s="1013"/>
      <c r="Z25" s="1013"/>
      <c r="AA25" s="1013"/>
      <c r="AB25" s="1013"/>
      <c r="AC25" s="1013"/>
      <c r="AD25" s="1013"/>
      <c r="AE25" s="1013"/>
      <c r="AF25" s="1013"/>
      <c r="AG25" s="1013"/>
      <c r="AH25" s="1013"/>
      <c r="AI25" s="1013"/>
      <c r="AJ25" s="1013"/>
      <c r="AK25" s="1013"/>
      <c r="AL25" s="1013"/>
      <c r="AM25" s="1013"/>
      <c r="AN25" s="1013"/>
      <c r="AO25" s="1013"/>
      <c r="AP25" s="1013"/>
      <c r="AQ25" s="1013"/>
      <c r="AR25" s="1013"/>
      <c r="AS25" s="1013"/>
      <c r="AT25" s="1013"/>
      <c r="AU25" s="1013"/>
      <c r="AV25" s="1013"/>
      <c r="AW25" s="1013"/>
      <c r="AX25" s="1013"/>
      <c r="AY25" s="1013"/>
      <c r="AZ25" s="1013"/>
      <c r="BA25" s="1013"/>
      <c r="BB25" s="1013"/>
      <c r="BC25" s="1013"/>
      <c r="BD25" s="1013"/>
      <c r="BE25" s="1013"/>
      <c r="BF25" s="1013"/>
      <c r="BG25" s="1013"/>
      <c r="BH25" s="1013"/>
      <c r="BI25" s="1013"/>
      <c r="BJ25" s="1013"/>
      <c r="BK25" s="1013"/>
      <c r="BL25" s="1013"/>
      <c r="BM25" s="1013"/>
      <c r="BN25" s="1013"/>
      <c r="BO25" s="1013"/>
      <c r="BP25" s="1013"/>
      <c r="BQ25" s="1013"/>
      <c r="BR25" s="1013"/>
      <c r="BS25" s="1013"/>
      <c r="BT25" s="1013"/>
      <c r="BU25" s="1013"/>
      <c r="BV25" s="1013"/>
      <c r="BW25" s="1013"/>
      <c r="BX25" s="1013"/>
      <c r="BY25" s="1013"/>
      <c r="BZ25" s="1013"/>
      <c r="CA25" s="1013"/>
      <c r="CB25" s="1013"/>
      <c r="CC25" s="1013"/>
      <c r="CD25" s="1013"/>
      <c r="CE25" s="1013"/>
      <c r="CF25" s="1013"/>
      <c r="CG25" s="1013"/>
      <c r="CH25" s="1013"/>
      <c r="CI25" s="1013"/>
      <c r="CJ25" s="1013"/>
      <c r="CK25" s="1013"/>
      <c r="CL25" s="1013"/>
      <c r="CM25" s="1013"/>
      <c r="CN25" s="1013"/>
      <c r="CO25" s="1013"/>
      <c r="CP25" s="1013"/>
      <c r="CQ25" s="1013"/>
      <c r="CR25" s="1013"/>
      <c r="CS25" s="1013"/>
      <c r="CT25" s="1013"/>
      <c r="CU25" s="1013"/>
      <c r="CV25" s="1013"/>
      <c r="CW25" s="1013"/>
      <c r="CX25" s="1013"/>
      <c r="CY25" s="1013"/>
      <c r="CZ25" s="1013"/>
      <c r="DA25" s="1013"/>
      <c r="DB25" s="1013"/>
      <c r="DC25" s="1013"/>
      <c r="DD25" s="1013"/>
      <c r="DE25" s="1013"/>
      <c r="DF25" s="1013"/>
      <c r="DG25" s="1013"/>
      <c r="DH25" s="1013"/>
      <c r="DI25" s="1013"/>
      <c r="DJ25" s="1013"/>
      <c r="DK25" s="1013"/>
      <c r="DL25" s="1013"/>
      <c r="DM25" s="1013"/>
      <c r="DN25" s="1013"/>
      <c r="DO25" s="1013"/>
      <c r="DP25" s="1013"/>
      <c r="DQ25" s="1013"/>
      <c r="DR25" s="1013"/>
      <c r="DS25" s="1013"/>
      <c r="DT25" s="1013"/>
      <c r="DU25" s="1013"/>
      <c r="DV25" s="1013"/>
      <c r="DW25" s="1013"/>
      <c r="DX25" s="1013"/>
      <c r="DY25" s="1013"/>
      <c r="DZ25" s="1013"/>
      <c r="EA25" s="1013"/>
      <c r="EB25" s="1013"/>
      <c r="EC25" s="1013"/>
      <c r="ED25" s="1013"/>
      <c r="EE25" s="1013"/>
      <c r="EF25" s="1013"/>
      <c r="EG25" s="1013"/>
      <c r="EH25" s="1013"/>
      <c r="EI25" s="1013"/>
      <c r="EJ25" s="1013"/>
      <c r="EK25" s="1013"/>
      <c r="EL25" s="1013"/>
      <c r="EM25" s="1013"/>
      <c r="EN25" s="1013"/>
      <c r="EO25" s="1013"/>
      <c r="EP25" s="1013"/>
      <c r="EQ25" s="1013"/>
      <c r="ER25" s="1013"/>
      <c r="ES25" s="1013"/>
      <c r="ET25" s="1013"/>
      <c r="EU25" s="1013"/>
      <c r="EV25" s="1013"/>
      <c r="EW25" s="1013"/>
      <c r="EX25" s="1013"/>
      <c r="EY25" s="1013"/>
      <c r="EZ25" s="1013"/>
      <c r="FA25" s="1013"/>
      <c r="FB25" s="1013"/>
      <c r="FC25" s="1013"/>
      <c r="FD25" s="1013"/>
      <c r="FE25" s="1013"/>
      <c r="FF25" s="1013"/>
      <c r="FG25" s="1013"/>
      <c r="FH25" s="1013"/>
      <c r="FI25" s="1013"/>
      <c r="FJ25" s="1013"/>
      <c r="FK25" s="1013"/>
      <c r="FL25" s="1013"/>
      <c r="FM25" s="1013"/>
      <c r="FN25" s="1013"/>
      <c r="FO25" s="1013"/>
      <c r="FP25" s="1013"/>
      <c r="FQ25" s="1013"/>
      <c r="FR25" s="1013"/>
      <c r="FS25" s="1013"/>
      <c r="FT25" s="1013"/>
      <c r="FU25" s="1013"/>
      <c r="FV25" s="1013"/>
      <c r="FW25" s="1013"/>
      <c r="FX25" s="1013"/>
      <c r="FY25" s="1013"/>
      <c r="FZ25" s="1013"/>
      <c r="GA25" s="1013"/>
      <c r="GB25" s="1013"/>
      <c r="GC25" s="1013"/>
      <c r="GD25" s="1013"/>
      <c r="GE25" s="1013"/>
      <c r="GF25" s="1013"/>
      <c r="GG25" s="1013"/>
      <c r="GH25" s="1013"/>
      <c r="GI25" s="1013"/>
      <c r="GJ25" s="1013"/>
      <c r="GK25" s="1013"/>
      <c r="GL25" s="1013"/>
      <c r="GM25" s="1013"/>
      <c r="GN25" s="1013"/>
      <c r="GO25" s="1013"/>
      <c r="GP25" s="1013"/>
      <c r="GQ25" s="1013"/>
      <c r="GR25" s="1013"/>
      <c r="GS25" s="1013"/>
      <c r="GT25" s="1013"/>
      <c r="GU25" s="1013"/>
      <c r="GV25" s="1013"/>
      <c r="GW25" s="1013"/>
      <c r="GX25" s="1013"/>
      <c r="GY25" s="1013"/>
      <c r="GZ25" s="1013"/>
      <c r="HA25" s="1013"/>
      <c r="HB25" s="1013"/>
      <c r="HC25" s="1013"/>
      <c r="HD25" s="1013"/>
      <c r="HE25" s="1013"/>
      <c r="HF25" s="1013"/>
      <c r="HG25" s="1013"/>
      <c r="HH25" s="1013"/>
      <c r="HI25" s="1013"/>
      <c r="HJ25" s="1013"/>
      <c r="HK25" s="1013"/>
      <c r="HL25" s="1013"/>
      <c r="HM25" s="1013"/>
      <c r="HN25" s="1013"/>
      <c r="HO25" s="1013"/>
      <c r="HP25" s="1013"/>
      <c r="HQ25" s="1013"/>
      <c r="HR25" s="1013"/>
      <c r="HS25" s="1013"/>
      <c r="HT25" s="1013"/>
      <c r="HU25" s="1013"/>
      <c r="HV25" s="1013"/>
      <c r="HW25" s="1013"/>
      <c r="HX25" s="1013"/>
      <c r="HY25" s="1013"/>
      <c r="HZ25" s="1013"/>
      <c r="IA25" s="1013"/>
      <c r="IB25" s="1013"/>
      <c r="IC25" s="1013"/>
      <c r="ID25" s="1013"/>
      <c r="IE25" s="1013"/>
      <c r="IF25" s="1013"/>
      <c r="IG25" s="1013"/>
      <c r="IH25" s="1013"/>
      <c r="II25" s="1013"/>
      <c r="IJ25" s="1013"/>
      <c r="IK25" s="1013"/>
      <c r="IL25" s="1013"/>
      <c r="IM25" s="1013"/>
      <c r="IN25" s="1013"/>
      <c r="IO25" s="1013"/>
      <c r="IP25" s="1013"/>
      <c r="IQ25" s="1013"/>
      <c r="IR25" s="1013"/>
      <c r="IS25" s="1013"/>
      <c r="IT25" s="1013"/>
      <c r="IU25" s="1013"/>
    </row>
    <row r="26" spans="1:255" s="1031" customFormat="1" ht="21" customHeight="1">
      <c r="A26" s="1032" t="s">
        <v>843</v>
      </c>
      <c r="B26" s="1033" t="s">
        <v>829</v>
      </c>
      <c r="C26" s="1034">
        <v>91</v>
      </c>
      <c r="D26" s="1035">
        <v>65</v>
      </c>
      <c r="E26" s="1036">
        <v>84.399999999994179</v>
      </c>
      <c r="F26" s="1037">
        <v>84.25</v>
      </c>
      <c r="G26" s="1037">
        <v>0</v>
      </c>
      <c r="H26" s="1037">
        <v>0</v>
      </c>
      <c r="I26" s="1037">
        <v>0</v>
      </c>
      <c r="J26" s="1037">
        <f t="shared" si="2"/>
        <v>65.149999999994179</v>
      </c>
      <c r="K26" s="1037">
        <v>0</v>
      </c>
      <c r="L26" s="1037">
        <f t="shared" si="0"/>
        <v>65.149999999994179</v>
      </c>
      <c r="M26" s="1041">
        <v>65.150000000000006</v>
      </c>
      <c r="N26" s="1029">
        <f t="shared" si="1"/>
        <v>5.8264504332328215E-12</v>
      </c>
      <c r="O26" s="1030"/>
      <c r="P26" s="1013"/>
      <c r="Q26" s="1013"/>
      <c r="R26" s="1013"/>
      <c r="S26" s="1013"/>
      <c r="T26" s="1013"/>
      <c r="U26" s="1013"/>
      <c r="V26" s="1013"/>
      <c r="W26" s="1013"/>
      <c r="X26" s="1013"/>
      <c r="Y26" s="1013"/>
      <c r="Z26" s="1013"/>
      <c r="AA26" s="1013"/>
      <c r="AB26" s="1013"/>
      <c r="AC26" s="1013"/>
      <c r="AD26" s="1013"/>
      <c r="AE26" s="1013"/>
      <c r="AF26" s="1013"/>
      <c r="AG26" s="1013"/>
      <c r="AH26" s="1013"/>
      <c r="AI26" s="1013"/>
      <c r="AJ26" s="1013"/>
      <c r="AK26" s="1013"/>
      <c r="AL26" s="1013"/>
      <c r="AM26" s="1013"/>
      <c r="AN26" s="1013"/>
      <c r="AO26" s="1013"/>
      <c r="AP26" s="1013"/>
      <c r="AQ26" s="1013"/>
      <c r="AR26" s="1013"/>
      <c r="AS26" s="1013"/>
      <c r="AT26" s="1013"/>
      <c r="AU26" s="1013"/>
      <c r="AV26" s="1013"/>
      <c r="AW26" s="1013"/>
      <c r="AX26" s="1013"/>
      <c r="AY26" s="1013"/>
      <c r="AZ26" s="1013"/>
      <c r="BA26" s="1013"/>
      <c r="BB26" s="1013"/>
      <c r="BC26" s="1013"/>
      <c r="BD26" s="1013"/>
      <c r="BE26" s="1013"/>
      <c r="BF26" s="1013"/>
      <c r="BG26" s="1013"/>
      <c r="BH26" s="1013"/>
      <c r="BI26" s="1013"/>
      <c r="BJ26" s="1013"/>
      <c r="BK26" s="1013"/>
      <c r="BL26" s="1013"/>
      <c r="BM26" s="1013"/>
      <c r="BN26" s="1013"/>
      <c r="BO26" s="1013"/>
      <c r="BP26" s="1013"/>
      <c r="BQ26" s="1013"/>
      <c r="BR26" s="1013"/>
      <c r="BS26" s="1013"/>
      <c r="BT26" s="1013"/>
      <c r="BU26" s="1013"/>
      <c r="BV26" s="1013"/>
      <c r="BW26" s="1013"/>
      <c r="BX26" s="1013"/>
      <c r="BY26" s="1013"/>
      <c r="BZ26" s="1013"/>
      <c r="CA26" s="1013"/>
      <c r="CB26" s="1013"/>
      <c r="CC26" s="1013"/>
      <c r="CD26" s="1013"/>
      <c r="CE26" s="1013"/>
      <c r="CF26" s="1013"/>
      <c r="CG26" s="1013"/>
      <c r="CH26" s="1013"/>
      <c r="CI26" s="1013"/>
      <c r="CJ26" s="1013"/>
      <c r="CK26" s="1013"/>
      <c r="CL26" s="1013"/>
      <c r="CM26" s="1013"/>
      <c r="CN26" s="1013"/>
      <c r="CO26" s="1013"/>
      <c r="CP26" s="1013"/>
      <c r="CQ26" s="1013"/>
      <c r="CR26" s="1013"/>
      <c r="CS26" s="1013"/>
      <c r="CT26" s="1013"/>
      <c r="CU26" s="1013"/>
      <c r="CV26" s="1013"/>
      <c r="CW26" s="1013"/>
      <c r="CX26" s="1013"/>
      <c r="CY26" s="1013"/>
      <c r="CZ26" s="1013"/>
      <c r="DA26" s="1013"/>
      <c r="DB26" s="1013"/>
      <c r="DC26" s="1013"/>
      <c r="DD26" s="1013"/>
      <c r="DE26" s="1013"/>
      <c r="DF26" s="1013"/>
      <c r="DG26" s="1013"/>
      <c r="DH26" s="1013"/>
      <c r="DI26" s="1013"/>
      <c r="DJ26" s="1013"/>
      <c r="DK26" s="1013"/>
      <c r="DL26" s="1013"/>
      <c r="DM26" s="1013"/>
      <c r="DN26" s="1013"/>
      <c r="DO26" s="1013"/>
      <c r="DP26" s="1013"/>
      <c r="DQ26" s="1013"/>
      <c r="DR26" s="1013"/>
      <c r="DS26" s="1013"/>
      <c r="DT26" s="1013"/>
      <c r="DU26" s="1013"/>
      <c r="DV26" s="1013"/>
      <c r="DW26" s="1013"/>
      <c r="DX26" s="1013"/>
      <c r="DY26" s="1013"/>
      <c r="DZ26" s="1013"/>
      <c r="EA26" s="1013"/>
      <c r="EB26" s="1013"/>
      <c r="EC26" s="1013"/>
      <c r="ED26" s="1013"/>
      <c r="EE26" s="1013"/>
      <c r="EF26" s="1013"/>
      <c r="EG26" s="1013"/>
      <c r="EH26" s="1013"/>
      <c r="EI26" s="1013"/>
      <c r="EJ26" s="1013"/>
      <c r="EK26" s="1013"/>
      <c r="EL26" s="1013"/>
      <c r="EM26" s="1013"/>
      <c r="EN26" s="1013"/>
      <c r="EO26" s="1013"/>
      <c r="EP26" s="1013"/>
      <c r="EQ26" s="1013"/>
      <c r="ER26" s="1013"/>
      <c r="ES26" s="1013"/>
      <c r="ET26" s="1013"/>
      <c r="EU26" s="1013"/>
      <c r="EV26" s="1013"/>
      <c r="EW26" s="1013"/>
      <c r="EX26" s="1013"/>
      <c r="EY26" s="1013"/>
      <c r="EZ26" s="1013"/>
      <c r="FA26" s="1013"/>
      <c r="FB26" s="1013"/>
      <c r="FC26" s="1013"/>
      <c r="FD26" s="1013"/>
      <c r="FE26" s="1013"/>
      <c r="FF26" s="1013"/>
      <c r="FG26" s="1013"/>
      <c r="FH26" s="1013"/>
      <c r="FI26" s="1013"/>
      <c r="FJ26" s="1013"/>
      <c r="FK26" s="1013"/>
      <c r="FL26" s="1013"/>
      <c r="FM26" s="1013"/>
      <c r="FN26" s="1013"/>
      <c r="FO26" s="1013"/>
      <c r="FP26" s="1013"/>
      <c r="FQ26" s="1013"/>
      <c r="FR26" s="1013"/>
      <c r="FS26" s="1013"/>
      <c r="FT26" s="1013"/>
      <c r="FU26" s="1013"/>
      <c r="FV26" s="1013"/>
      <c r="FW26" s="1013"/>
      <c r="FX26" s="1013"/>
      <c r="FY26" s="1013"/>
      <c r="FZ26" s="1013"/>
      <c r="GA26" s="1013"/>
      <c r="GB26" s="1013"/>
      <c r="GC26" s="1013"/>
      <c r="GD26" s="1013"/>
      <c r="GE26" s="1013"/>
      <c r="GF26" s="1013"/>
      <c r="GG26" s="1013"/>
      <c r="GH26" s="1013"/>
      <c r="GI26" s="1013"/>
      <c r="GJ26" s="1013"/>
      <c r="GK26" s="1013"/>
      <c r="GL26" s="1013"/>
      <c r="GM26" s="1013"/>
      <c r="GN26" s="1013"/>
      <c r="GO26" s="1013"/>
      <c r="GP26" s="1013"/>
      <c r="GQ26" s="1013"/>
      <c r="GR26" s="1013"/>
      <c r="GS26" s="1013"/>
      <c r="GT26" s="1013"/>
      <c r="GU26" s="1013"/>
      <c r="GV26" s="1013"/>
      <c r="GW26" s="1013"/>
      <c r="GX26" s="1013"/>
      <c r="GY26" s="1013"/>
      <c r="GZ26" s="1013"/>
      <c r="HA26" s="1013"/>
      <c r="HB26" s="1013"/>
      <c r="HC26" s="1013"/>
      <c r="HD26" s="1013"/>
      <c r="HE26" s="1013"/>
      <c r="HF26" s="1013"/>
      <c r="HG26" s="1013"/>
      <c r="HH26" s="1013"/>
      <c r="HI26" s="1013"/>
      <c r="HJ26" s="1013"/>
      <c r="HK26" s="1013"/>
      <c r="HL26" s="1013"/>
      <c r="HM26" s="1013"/>
      <c r="HN26" s="1013"/>
      <c r="HO26" s="1013"/>
      <c r="HP26" s="1013"/>
      <c r="HQ26" s="1013"/>
      <c r="HR26" s="1013"/>
      <c r="HS26" s="1013"/>
      <c r="HT26" s="1013"/>
      <c r="HU26" s="1013"/>
      <c r="HV26" s="1013"/>
      <c r="HW26" s="1013"/>
      <c r="HX26" s="1013"/>
      <c r="HY26" s="1013"/>
      <c r="HZ26" s="1013"/>
      <c r="IA26" s="1013"/>
      <c r="IB26" s="1013"/>
      <c r="IC26" s="1013"/>
      <c r="ID26" s="1013"/>
      <c r="IE26" s="1013"/>
      <c r="IF26" s="1013"/>
      <c r="IG26" s="1013"/>
      <c r="IH26" s="1013"/>
      <c r="II26" s="1013"/>
      <c r="IJ26" s="1013"/>
      <c r="IK26" s="1013"/>
      <c r="IL26" s="1013"/>
      <c r="IM26" s="1013"/>
      <c r="IN26" s="1013"/>
      <c r="IO26" s="1013"/>
      <c r="IP26" s="1013"/>
      <c r="IQ26" s="1013"/>
      <c r="IR26" s="1013"/>
      <c r="IS26" s="1013"/>
      <c r="IT26" s="1013"/>
      <c r="IU26" s="1013"/>
    </row>
    <row r="27" spans="1:255" s="1031" customFormat="1" ht="21" customHeight="1">
      <c r="A27" s="1032" t="s">
        <v>606</v>
      </c>
      <c r="B27" s="1033" t="s">
        <v>868</v>
      </c>
      <c r="C27" s="1034">
        <v>40</v>
      </c>
      <c r="D27" s="1035">
        <v>820</v>
      </c>
      <c r="E27" s="1036">
        <v>529.45999999996275</v>
      </c>
      <c r="F27" s="1037">
        <v>1630.7099999999627</v>
      </c>
      <c r="G27" s="1037">
        <v>0</v>
      </c>
      <c r="H27" s="1037">
        <v>0</v>
      </c>
      <c r="I27" s="1037">
        <v>0</v>
      </c>
      <c r="J27" s="1037">
        <f t="shared" si="2"/>
        <v>-281.25</v>
      </c>
      <c r="K27" s="1037">
        <v>0</v>
      </c>
      <c r="L27" s="1037">
        <f t="shared" si="0"/>
        <v>-281.25</v>
      </c>
      <c r="M27" s="1041">
        <v>-281.25</v>
      </c>
      <c r="N27" s="1029">
        <f t="shared" si="1"/>
        <v>0</v>
      </c>
      <c r="O27" s="1030"/>
      <c r="P27" s="1013"/>
      <c r="Q27" s="1013"/>
      <c r="R27" s="1013"/>
      <c r="S27" s="1013"/>
      <c r="T27" s="1013"/>
      <c r="U27" s="1013"/>
      <c r="V27" s="1013"/>
      <c r="W27" s="1013"/>
      <c r="X27" s="1013"/>
      <c r="Y27" s="1013"/>
      <c r="Z27" s="1013"/>
      <c r="AA27" s="1013"/>
      <c r="AB27" s="1013"/>
      <c r="AC27" s="1013"/>
      <c r="AD27" s="1013"/>
      <c r="AE27" s="1013"/>
      <c r="AF27" s="1013"/>
      <c r="AG27" s="1013"/>
      <c r="AH27" s="1013"/>
      <c r="AI27" s="1013"/>
      <c r="AJ27" s="1013"/>
      <c r="AK27" s="1013"/>
      <c r="AL27" s="1013"/>
      <c r="AM27" s="1013"/>
      <c r="AN27" s="1013"/>
      <c r="AO27" s="1013"/>
      <c r="AP27" s="1013"/>
      <c r="AQ27" s="1013"/>
      <c r="AR27" s="1013"/>
      <c r="AS27" s="1013"/>
      <c r="AT27" s="1013"/>
      <c r="AU27" s="1013"/>
      <c r="AV27" s="1013"/>
      <c r="AW27" s="1013"/>
      <c r="AX27" s="1013"/>
      <c r="AY27" s="1013"/>
      <c r="AZ27" s="1013"/>
      <c r="BA27" s="1013"/>
      <c r="BB27" s="1013"/>
      <c r="BC27" s="1013"/>
      <c r="BD27" s="1013"/>
      <c r="BE27" s="1013"/>
      <c r="BF27" s="1013"/>
      <c r="BG27" s="1013"/>
      <c r="BH27" s="1013"/>
      <c r="BI27" s="1013"/>
      <c r="BJ27" s="1013"/>
      <c r="BK27" s="1013"/>
      <c r="BL27" s="1013"/>
      <c r="BM27" s="1013"/>
      <c r="BN27" s="1013"/>
      <c r="BO27" s="1013"/>
      <c r="BP27" s="1013"/>
      <c r="BQ27" s="1013"/>
      <c r="BR27" s="1013"/>
      <c r="BS27" s="1013"/>
      <c r="BT27" s="1013"/>
      <c r="BU27" s="1013"/>
      <c r="BV27" s="1013"/>
      <c r="BW27" s="1013"/>
      <c r="BX27" s="1013"/>
      <c r="BY27" s="1013"/>
      <c r="BZ27" s="1013"/>
      <c r="CA27" s="1013"/>
      <c r="CB27" s="1013"/>
      <c r="CC27" s="1013"/>
      <c r="CD27" s="1013"/>
      <c r="CE27" s="1013"/>
      <c r="CF27" s="1013"/>
      <c r="CG27" s="1013"/>
      <c r="CH27" s="1013"/>
      <c r="CI27" s="1013"/>
      <c r="CJ27" s="1013"/>
      <c r="CK27" s="1013"/>
      <c r="CL27" s="1013"/>
      <c r="CM27" s="1013"/>
      <c r="CN27" s="1013"/>
      <c r="CO27" s="1013"/>
      <c r="CP27" s="1013"/>
      <c r="CQ27" s="1013"/>
      <c r="CR27" s="1013"/>
      <c r="CS27" s="1013"/>
      <c r="CT27" s="1013"/>
      <c r="CU27" s="1013"/>
      <c r="CV27" s="1013"/>
      <c r="CW27" s="1013"/>
      <c r="CX27" s="1013"/>
      <c r="CY27" s="1013"/>
      <c r="CZ27" s="1013"/>
      <c r="DA27" s="1013"/>
      <c r="DB27" s="1013"/>
      <c r="DC27" s="1013"/>
      <c r="DD27" s="1013"/>
      <c r="DE27" s="1013"/>
      <c r="DF27" s="1013"/>
      <c r="DG27" s="1013"/>
      <c r="DH27" s="1013"/>
      <c r="DI27" s="1013"/>
      <c r="DJ27" s="1013"/>
      <c r="DK27" s="1013"/>
      <c r="DL27" s="1013"/>
      <c r="DM27" s="1013"/>
      <c r="DN27" s="1013"/>
      <c r="DO27" s="1013"/>
      <c r="DP27" s="1013"/>
      <c r="DQ27" s="1013"/>
      <c r="DR27" s="1013"/>
      <c r="DS27" s="1013"/>
      <c r="DT27" s="1013"/>
      <c r="DU27" s="1013"/>
      <c r="DV27" s="1013"/>
      <c r="DW27" s="1013"/>
      <c r="DX27" s="1013"/>
      <c r="DY27" s="1013"/>
      <c r="DZ27" s="1013"/>
      <c r="EA27" s="1013"/>
      <c r="EB27" s="1013"/>
      <c r="EC27" s="1013"/>
      <c r="ED27" s="1013"/>
      <c r="EE27" s="1013"/>
      <c r="EF27" s="1013"/>
      <c r="EG27" s="1013"/>
      <c r="EH27" s="1013"/>
      <c r="EI27" s="1013"/>
      <c r="EJ27" s="1013"/>
      <c r="EK27" s="1013"/>
      <c r="EL27" s="1013"/>
      <c r="EM27" s="1013"/>
      <c r="EN27" s="1013"/>
      <c r="EO27" s="1013"/>
      <c r="EP27" s="1013"/>
      <c r="EQ27" s="1013"/>
      <c r="ER27" s="1013"/>
      <c r="ES27" s="1013"/>
      <c r="ET27" s="1013"/>
      <c r="EU27" s="1013"/>
      <c r="EV27" s="1013"/>
      <c r="EW27" s="1013"/>
      <c r="EX27" s="1013"/>
      <c r="EY27" s="1013"/>
      <c r="EZ27" s="1013"/>
      <c r="FA27" s="1013"/>
      <c r="FB27" s="1013"/>
      <c r="FC27" s="1013"/>
      <c r="FD27" s="1013"/>
      <c r="FE27" s="1013"/>
      <c r="FF27" s="1013"/>
      <c r="FG27" s="1013"/>
      <c r="FH27" s="1013"/>
      <c r="FI27" s="1013"/>
      <c r="FJ27" s="1013"/>
      <c r="FK27" s="1013"/>
      <c r="FL27" s="1013"/>
      <c r="FM27" s="1013"/>
      <c r="FN27" s="1013"/>
      <c r="FO27" s="1013"/>
      <c r="FP27" s="1013"/>
      <c r="FQ27" s="1013"/>
      <c r="FR27" s="1013"/>
      <c r="FS27" s="1013"/>
      <c r="FT27" s="1013"/>
      <c r="FU27" s="1013"/>
      <c r="FV27" s="1013"/>
      <c r="FW27" s="1013"/>
      <c r="FX27" s="1013"/>
      <c r="FY27" s="1013"/>
      <c r="FZ27" s="1013"/>
      <c r="GA27" s="1013"/>
      <c r="GB27" s="1013"/>
      <c r="GC27" s="1013"/>
      <c r="GD27" s="1013"/>
      <c r="GE27" s="1013"/>
      <c r="GF27" s="1013"/>
      <c r="GG27" s="1013"/>
      <c r="GH27" s="1013"/>
      <c r="GI27" s="1013"/>
      <c r="GJ27" s="1013"/>
      <c r="GK27" s="1013"/>
      <c r="GL27" s="1013"/>
      <c r="GM27" s="1013"/>
      <c r="GN27" s="1013"/>
      <c r="GO27" s="1013"/>
      <c r="GP27" s="1013"/>
      <c r="GQ27" s="1013"/>
      <c r="GR27" s="1013"/>
      <c r="GS27" s="1013"/>
      <c r="GT27" s="1013"/>
      <c r="GU27" s="1013"/>
      <c r="GV27" s="1013"/>
      <c r="GW27" s="1013"/>
      <c r="GX27" s="1013"/>
      <c r="GY27" s="1013"/>
      <c r="GZ27" s="1013"/>
      <c r="HA27" s="1013"/>
      <c r="HB27" s="1013"/>
      <c r="HC27" s="1013"/>
      <c r="HD27" s="1013"/>
      <c r="HE27" s="1013"/>
      <c r="HF27" s="1013"/>
      <c r="HG27" s="1013"/>
      <c r="HH27" s="1013"/>
      <c r="HI27" s="1013"/>
      <c r="HJ27" s="1013"/>
      <c r="HK27" s="1013"/>
      <c r="HL27" s="1013"/>
      <c r="HM27" s="1013"/>
      <c r="HN27" s="1013"/>
      <c r="HO27" s="1013"/>
      <c r="HP27" s="1013"/>
      <c r="HQ27" s="1013"/>
      <c r="HR27" s="1013"/>
      <c r="HS27" s="1013"/>
      <c r="HT27" s="1013"/>
      <c r="HU27" s="1013"/>
      <c r="HV27" s="1013"/>
      <c r="HW27" s="1013"/>
      <c r="HX27" s="1013"/>
      <c r="HY27" s="1013"/>
      <c r="HZ27" s="1013"/>
      <c r="IA27" s="1013"/>
      <c r="IB27" s="1013"/>
      <c r="IC27" s="1013"/>
      <c r="ID27" s="1013"/>
      <c r="IE27" s="1013"/>
      <c r="IF27" s="1013"/>
      <c r="IG27" s="1013"/>
      <c r="IH27" s="1013"/>
      <c r="II27" s="1013"/>
      <c r="IJ27" s="1013"/>
      <c r="IK27" s="1013"/>
      <c r="IL27" s="1013"/>
      <c r="IM27" s="1013"/>
      <c r="IN27" s="1013"/>
      <c r="IO27" s="1013"/>
      <c r="IP27" s="1013"/>
      <c r="IQ27" s="1013"/>
      <c r="IR27" s="1013"/>
      <c r="IS27" s="1013"/>
      <c r="IT27" s="1013"/>
      <c r="IU27" s="1013"/>
    </row>
    <row r="28" spans="1:255" s="1031" customFormat="1" ht="21" customHeight="1">
      <c r="A28" s="1032" t="s">
        <v>431</v>
      </c>
      <c r="B28" s="1033" t="s">
        <v>829</v>
      </c>
      <c r="C28" s="1034">
        <v>92</v>
      </c>
      <c r="D28" s="1035">
        <v>335</v>
      </c>
      <c r="E28" s="1036">
        <v>76.270000000004075</v>
      </c>
      <c r="F28" s="1037">
        <v>397.32000000000698</v>
      </c>
      <c r="G28" s="1037">
        <v>0</v>
      </c>
      <c r="H28" s="1037">
        <v>0</v>
      </c>
      <c r="I28" s="1037">
        <v>0</v>
      </c>
      <c r="J28" s="1037">
        <f t="shared" si="2"/>
        <v>13.94999999999709</v>
      </c>
      <c r="K28" s="1039">
        <v>0</v>
      </c>
      <c r="L28" s="1037">
        <f t="shared" si="0"/>
        <v>13.94999999999709</v>
      </c>
      <c r="M28" s="1038">
        <v>13.95</v>
      </c>
      <c r="N28" s="1029">
        <f>M28-L28</f>
        <v>2.9096725029376103E-12</v>
      </c>
      <c r="O28" s="1030"/>
      <c r="P28" s="1013"/>
      <c r="Q28" s="1013"/>
      <c r="R28" s="1013"/>
      <c r="S28" s="1013"/>
      <c r="T28" s="1013"/>
      <c r="U28" s="1013"/>
      <c r="V28" s="1013"/>
      <c r="W28" s="1013"/>
      <c r="X28" s="1013"/>
      <c r="Y28" s="1013"/>
      <c r="Z28" s="1013"/>
      <c r="AA28" s="1013"/>
      <c r="AB28" s="1013"/>
      <c r="AC28" s="1013"/>
      <c r="AD28" s="1013"/>
      <c r="AE28" s="1013"/>
      <c r="AF28" s="1013"/>
      <c r="AG28" s="1013"/>
      <c r="AH28" s="1013"/>
      <c r="AI28" s="1013"/>
      <c r="AJ28" s="1013"/>
      <c r="AK28" s="1013"/>
      <c r="AL28" s="1013"/>
      <c r="AM28" s="1013"/>
      <c r="AN28" s="1013"/>
      <c r="AO28" s="1013"/>
      <c r="AP28" s="1013"/>
      <c r="AQ28" s="1013"/>
      <c r="AR28" s="1013"/>
      <c r="AS28" s="1013"/>
      <c r="AT28" s="1013"/>
      <c r="AU28" s="1013"/>
      <c r="AV28" s="1013"/>
      <c r="AW28" s="1013"/>
      <c r="AX28" s="1013"/>
      <c r="AY28" s="1013"/>
      <c r="AZ28" s="1013"/>
      <c r="BA28" s="1013"/>
      <c r="BB28" s="1013"/>
      <c r="BC28" s="1013"/>
      <c r="BD28" s="1013"/>
      <c r="BE28" s="1013"/>
      <c r="BF28" s="1013"/>
      <c r="BG28" s="1013"/>
      <c r="BH28" s="1013"/>
      <c r="BI28" s="1013"/>
      <c r="BJ28" s="1013"/>
      <c r="BK28" s="1013"/>
      <c r="BL28" s="1013"/>
      <c r="BM28" s="1013"/>
      <c r="BN28" s="1013"/>
      <c r="BO28" s="1013"/>
      <c r="BP28" s="1013"/>
      <c r="BQ28" s="1013"/>
      <c r="BR28" s="1013"/>
      <c r="BS28" s="1013"/>
      <c r="BT28" s="1013"/>
      <c r="BU28" s="1013"/>
      <c r="BV28" s="1013"/>
      <c r="BW28" s="1013"/>
      <c r="BX28" s="1013"/>
      <c r="BY28" s="1013"/>
      <c r="BZ28" s="1013"/>
      <c r="CA28" s="1013"/>
      <c r="CB28" s="1013"/>
      <c r="CC28" s="1013"/>
      <c r="CD28" s="1013"/>
      <c r="CE28" s="1013"/>
      <c r="CF28" s="1013"/>
      <c r="CG28" s="1013"/>
      <c r="CH28" s="1013"/>
      <c r="CI28" s="1013"/>
      <c r="CJ28" s="1013"/>
      <c r="CK28" s="1013"/>
      <c r="CL28" s="1013"/>
      <c r="CM28" s="1013"/>
      <c r="CN28" s="1013"/>
      <c r="CO28" s="1013"/>
      <c r="CP28" s="1013"/>
      <c r="CQ28" s="1013"/>
      <c r="CR28" s="1013"/>
      <c r="CS28" s="1013"/>
      <c r="CT28" s="1013"/>
      <c r="CU28" s="1013"/>
      <c r="CV28" s="1013"/>
      <c r="CW28" s="1013"/>
      <c r="CX28" s="1013"/>
      <c r="CY28" s="1013"/>
      <c r="CZ28" s="1013"/>
      <c r="DA28" s="1013"/>
      <c r="DB28" s="1013"/>
      <c r="DC28" s="1013"/>
      <c r="DD28" s="1013"/>
      <c r="DE28" s="1013"/>
      <c r="DF28" s="1013"/>
      <c r="DG28" s="1013"/>
      <c r="DH28" s="1013"/>
      <c r="DI28" s="1013"/>
      <c r="DJ28" s="1013"/>
      <c r="DK28" s="1013"/>
      <c r="DL28" s="1013"/>
      <c r="DM28" s="1013"/>
      <c r="DN28" s="1013"/>
      <c r="DO28" s="1013"/>
      <c r="DP28" s="1013"/>
      <c r="DQ28" s="1013"/>
      <c r="DR28" s="1013"/>
      <c r="DS28" s="1013"/>
      <c r="DT28" s="1013"/>
      <c r="DU28" s="1013"/>
      <c r="DV28" s="1013"/>
      <c r="DW28" s="1013"/>
      <c r="DX28" s="1013"/>
      <c r="DY28" s="1013"/>
      <c r="DZ28" s="1013"/>
      <c r="EA28" s="1013"/>
      <c r="EB28" s="1013"/>
      <c r="EC28" s="1013"/>
      <c r="ED28" s="1013"/>
      <c r="EE28" s="1013"/>
      <c r="EF28" s="1013"/>
      <c r="EG28" s="1013"/>
      <c r="EH28" s="1013"/>
      <c r="EI28" s="1013"/>
      <c r="EJ28" s="1013"/>
      <c r="EK28" s="1013"/>
      <c r="EL28" s="1013"/>
      <c r="EM28" s="1013"/>
      <c r="EN28" s="1013"/>
      <c r="EO28" s="1013"/>
      <c r="EP28" s="1013"/>
      <c r="EQ28" s="1013"/>
      <c r="ER28" s="1013"/>
      <c r="ES28" s="1013"/>
      <c r="ET28" s="1013"/>
      <c r="EU28" s="1013"/>
      <c r="EV28" s="1013"/>
      <c r="EW28" s="1013"/>
      <c r="EX28" s="1013"/>
      <c r="EY28" s="1013"/>
      <c r="EZ28" s="1013"/>
      <c r="FA28" s="1013"/>
      <c r="FB28" s="1013"/>
      <c r="FC28" s="1013"/>
      <c r="FD28" s="1013"/>
      <c r="FE28" s="1013"/>
      <c r="FF28" s="1013"/>
      <c r="FG28" s="1013"/>
      <c r="FH28" s="1013"/>
      <c r="FI28" s="1013"/>
      <c r="FJ28" s="1013"/>
      <c r="FK28" s="1013"/>
      <c r="FL28" s="1013"/>
      <c r="FM28" s="1013"/>
      <c r="FN28" s="1013"/>
      <c r="FO28" s="1013"/>
      <c r="FP28" s="1013"/>
      <c r="FQ28" s="1013"/>
      <c r="FR28" s="1013"/>
      <c r="FS28" s="1013"/>
      <c r="FT28" s="1013"/>
      <c r="FU28" s="1013"/>
      <c r="FV28" s="1013"/>
      <c r="FW28" s="1013"/>
      <c r="FX28" s="1013"/>
      <c r="FY28" s="1013"/>
      <c r="FZ28" s="1013"/>
      <c r="GA28" s="1013"/>
      <c r="GB28" s="1013"/>
      <c r="GC28" s="1013"/>
      <c r="GD28" s="1013"/>
      <c r="GE28" s="1013"/>
      <c r="GF28" s="1013"/>
      <c r="GG28" s="1013"/>
      <c r="GH28" s="1013"/>
      <c r="GI28" s="1013"/>
      <c r="GJ28" s="1013"/>
      <c r="GK28" s="1013"/>
      <c r="GL28" s="1013"/>
      <c r="GM28" s="1013"/>
      <c r="GN28" s="1013"/>
      <c r="GO28" s="1013"/>
      <c r="GP28" s="1013"/>
      <c r="GQ28" s="1013"/>
      <c r="GR28" s="1013"/>
      <c r="GS28" s="1013"/>
      <c r="GT28" s="1013"/>
      <c r="GU28" s="1013"/>
      <c r="GV28" s="1013"/>
      <c r="GW28" s="1013"/>
      <c r="GX28" s="1013"/>
      <c r="GY28" s="1013"/>
      <c r="GZ28" s="1013"/>
      <c r="HA28" s="1013"/>
      <c r="HB28" s="1013"/>
      <c r="HC28" s="1013"/>
      <c r="HD28" s="1013"/>
      <c r="HE28" s="1013"/>
      <c r="HF28" s="1013"/>
      <c r="HG28" s="1013"/>
      <c r="HH28" s="1013"/>
      <c r="HI28" s="1013"/>
      <c r="HJ28" s="1013"/>
      <c r="HK28" s="1013"/>
      <c r="HL28" s="1013"/>
      <c r="HM28" s="1013"/>
      <c r="HN28" s="1013"/>
      <c r="HO28" s="1013"/>
      <c r="HP28" s="1013"/>
      <c r="HQ28" s="1013"/>
      <c r="HR28" s="1013"/>
      <c r="HS28" s="1013"/>
      <c r="HT28" s="1013"/>
      <c r="HU28" s="1013"/>
      <c r="HV28" s="1013"/>
      <c r="HW28" s="1013"/>
      <c r="HX28" s="1013"/>
      <c r="HY28" s="1013"/>
      <c r="HZ28" s="1013"/>
      <c r="IA28" s="1013"/>
      <c r="IB28" s="1013"/>
      <c r="IC28" s="1013"/>
      <c r="ID28" s="1013"/>
      <c r="IE28" s="1013"/>
      <c r="IF28" s="1013"/>
      <c r="IG28" s="1013"/>
      <c r="IH28" s="1013"/>
      <c r="II28" s="1013"/>
      <c r="IJ28" s="1013"/>
      <c r="IK28" s="1013"/>
      <c r="IL28" s="1013"/>
      <c r="IM28" s="1013"/>
      <c r="IN28" s="1013"/>
      <c r="IO28" s="1013"/>
      <c r="IP28" s="1013"/>
      <c r="IQ28" s="1013"/>
      <c r="IR28" s="1013"/>
      <c r="IS28" s="1013"/>
      <c r="IT28" s="1013"/>
      <c r="IU28" s="1013"/>
    </row>
    <row r="29" spans="1:255" s="1031" customFormat="1" ht="21" customHeight="1">
      <c r="A29" s="1032" t="s">
        <v>863</v>
      </c>
      <c r="B29" s="1033" t="s">
        <v>865</v>
      </c>
      <c r="C29" s="1034">
        <v>117</v>
      </c>
      <c r="D29" s="1035">
        <v>2440</v>
      </c>
      <c r="E29" s="1036">
        <v>991.81999999994878</v>
      </c>
      <c r="F29" s="1037">
        <v>1114.4300000001676</v>
      </c>
      <c r="G29" s="1037">
        <v>0</v>
      </c>
      <c r="H29" s="1037">
        <v>0</v>
      </c>
      <c r="I29" s="1037">
        <v>0</v>
      </c>
      <c r="J29" s="1037">
        <f t="shared" si="2"/>
        <v>2317.3899999997811</v>
      </c>
      <c r="K29" s="1037">
        <v>0</v>
      </c>
      <c r="L29" s="1037">
        <f t="shared" si="0"/>
        <v>2317.3899999997811</v>
      </c>
      <c r="M29" s="1041">
        <v>2317.39</v>
      </c>
      <c r="N29" s="1029">
        <f>M29-L29</f>
        <v>2.1873347577638924E-10</v>
      </c>
      <c r="O29" s="1030"/>
      <c r="P29" s="1013"/>
      <c r="Q29" s="1013"/>
      <c r="R29" s="1013"/>
      <c r="S29" s="1013"/>
      <c r="T29" s="1013"/>
      <c r="U29" s="1013"/>
      <c r="V29" s="1013"/>
      <c r="W29" s="1013"/>
      <c r="X29" s="1013"/>
      <c r="Y29" s="1013"/>
      <c r="Z29" s="1013"/>
      <c r="AA29" s="1013"/>
      <c r="AB29" s="1013"/>
      <c r="AC29" s="1013"/>
      <c r="AD29" s="1013"/>
      <c r="AE29" s="1013"/>
      <c r="AF29" s="1013"/>
      <c r="AG29" s="1013"/>
      <c r="AH29" s="1013"/>
      <c r="AI29" s="1013"/>
      <c r="AJ29" s="1013"/>
      <c r="AK29" s="1013"/>
      <c r="AL29" s="1013"/>
      <c r="AM29" s="1013"/>
      <c r="AN29" s="1013"/>
      <c r="AO29" s="1013"/>
      <c r="AP29" s="1013"/>
      <c r="AQ29" s="1013"/>
      <c r="AR29" s="1013"/>
      <c r="AS29" s="1013"/>
      <c r="AT29" s="1013"/>
      <c r="AU29" s="1013"/>
      <c r="AV29" s="1013"/>
      <c r="AW29" s="1013"/>
      <c r="AX29" s="1013"/>
      <c r="AY29" s="1013"/>
      <c r="AZ29" s="1013"/>
      <c r="BA29" s="1013"/>
      <c r="BB29" s="1013"/>
      <c r="BC29" s="1013"/>
      <c r="BD29" s="1013"/>
      <c r="BE29" s="1013"/>
      <c r="BF29" s="1013"/>
      <c r="BG29" s="1013"/>
      <c r="BH29" s="1013"/>
      <c r="BI29" s="1013"/>
      <c r="BJ29" s="1013"/>
      <c r="BK29" s="1013"/>
      <c r="BL29" s="1013"/>
      <c r="BM29" s="1013"/>
      <c r="BN29" s="1013"/>
      <c r="BO29" s="1013"/>
      <c r="BP29" s="1013"/>
      <c r="BQ29" s="1013"/>
      <c r="BR29" s="1013"/>
      <c r="BS29" s="1013"/>
      <c r="BT29" s="1013"/>
      <c r="BU29" s="1013"/>
      <c r="BV29" s="1013"/>
      <c r="BW29" s="1013"/>
      <c r="BX29" s="1013"/>
      <c r="BY29" s="1013"/>
      <c r="BZ29" s="1013"/>
      <c r="CA29" s="1013"/>
      <c r="CB29" s="1013"/>
      <c r="CC29" s="1013"/>
      <c r="CD29" s="1013"/>
      <c r="CE29" s="1013"/>
      <c r="CF29" s="1013"/>
      <c r="CG29" s="1013"/>
      <c r="CH29" s="1013"/>
      <c r="CI29" s="1013"/>
      <c r="CJ29" s="1013"/>
      <c r="CK29" s="1013"/>
      <c r="CL29" s="1013"/>
      <c r="CM29" s="1013"/>
      <c r="CN29" s="1013"/>
      <c r="CO29" s="1013"/>
      <c r="CP29" s="1013"/>
      <c r="CQ29" s="1013"/>
      <c r="CR29" s="1013"/>
      <c r="CS29" s="1013"/>
      <c r="CT29" s="1013"/>
      <c r="CU29" s="1013"/>
      <c r="CV29" s="1013"/>
      <c r="CW29" s="1013"/>
      <c r="CX29" s="1013"/>
      <c r="CY29" s="1013"/>
      <c r="CZ29" s="1013"/>
      <c r="DA29" s="1013"/>
      <c r="DB29" s="1013"/>
      <c r="DC29" s="1013"/>
      <c r="DD29" s="1013"/>
      <c r="DE29" s="1013"/>
      <c r="DF29" s="1013"/>
      <c r="DG29" s="1013"/>
      <c r="DH29" s="1013"/>
      <c r="DI29" s="1013"/>
      <c r="DJ29" s="1013"/>
      <c r="DK29" s="1013"/>
      <c r="DL29" s="1013"/>
      <c r="DM29" s="1013"/>
      <c r="DN29" s="1013"/>
      <c r="DO29" s="1013"/>
      <c r="DP29" s="1013"/>
      <c r="DQ29" s="1013"/>
      <c r="DR29" s="1013"/>
      <c r="DS29" s="1013"/>
      <c r="DT29" s="1013"/>
      <c r="DU29" s="1013"/>
      <c r="DV29" s="1013"/>
      <c r="DW29" s="1013"/>
      <c r="DX29" s="1013"/>
      <c r="DY29" s="1013"/>
      <c r="DZ29" s="1013"/>
      <c r="EA29" s="1013"/>
      <c r="EB29" s="1013"/>
      <c r="EC29" s="1013"/>
      <c r="ED29" s="1013"/>
      <c r="EE29" s="1013"/>
      <c r="EF29" s="1013"/>
      <c r="EG29" s="1013"/>
      <c r="EH29" s="1013"/>
      <c r="EI29" s="1013"/>
      <c r="EJ29" s="1013"/>
      <c r="EK29" s="1013"/>
      <c r="EL29" s="1013"/>
      <c r="EM29" s="1013"/>
      <c r="EN29" s="1013"/>
      <c r="EO29" s="1013"/>
      <c r="EP29" s="1013"/>
      <c r="EQ29" s="1013"/>
      <c r="ER29" s="1013"/>
      <c r="ES29" s="1013"/>
      <c r="ET29" s="1013"/>
      <c r="EU29" s="1013"/>
      <c r="EV29" s="1013"/>
      <c r="EW29" s="1013"/>
      <c r="EX29" s="1013"/>
      <c r="EY29" s="1013"/>
      <c r="EZ29" s="1013"/>
      <c r="FA29" s="1013"/>
      <c r="FB29" s="1013"/>
      <c r="FC29" s="1013"/>
      <c r="FD29" s="1013"/>
      <c r="FE29" s="1013"/>
      <c r="FF29" s="1013"/>
      <c r="FG29" s="1013"/>
      <c r="FH29" s="1013"/>
      <c r="FI29" s="1013"/>
      <c r="FJ29" s="1013"/>
      <c r="FK29" s="1013"/>
      <c r="FL29" s="1013"/>
      <c r="FM29" s="1013"/>
      <c r="FN29" s="1013"/>
      <c r="FO29" s="1013"/>
      <c r="FP29" s="1013"/>
      <c r="FQ29" s="1013"/>
      <c r="FR29" s="1013"/>
      <c r="FS29" s="1013"/>
      <c r="FT29" s="1013"/>
      <c r="FU29" s="1013"/>
      <c r="FV29" s="1013"/>
      <c r="FW29" s="1013"/>
      <c r="FX29" s="1013"/>
      <c r="FY29" s="1013"/>
      <c r="FZ29" s="1013"/>
      <c r="GA29" s="1013"/>
      <c r="GB29" s="1013"/>
      <c r="GC29" s="1013"/>
      <c r="GD29" s="1013"/>
      <c r="GE29" s="1013"/>
      <c r="GF29" s="1013"/>
      <c r="GG29" s="1013"/>
      <c r="GH29" s="1013"/>
      <c r="GI29" s="1013"/>
      <c r="GJ29" s="1013"/>
      <c r="GK29" s="1013"/>
      <c r="GL29" s="1013"/>
      <c r="GM29" s="1013"/>
      <c r="GN29" s="1013"/>
      <c r="GO29" s="1013"/>
      <c r="GP29" s="1013"/>
      <c r="GQ29" s="1013"/>
      <c r="GR29" s="1013"/>
      <c r="GS29" s="1013"/>
      <c r="GT29" s="1013"/>
      <c r="GU29" s="1013"/>
      <c r="GV29" s="1013"/>
      <c r="GW29" s="1013"/>
      <c r="GX29" s="1013"/>
      <c r="GY29" s="1013"/>
      <c r="GZ29" s="1013"/>
      <c r="HA29" s="1013"/>
      <c r="HB29" s="1013"/>
      <c r="HC29" s="1013"/>
      <c r="HD29" s="1013"/>
      <c r="HE29" s="1013"/>
      <c r="HF29" s="1013"/>
      <c r="HG29" s="1013"/>
      <c r="HH29" s="1013"/>
      <c r="HI29" s="1013"/>
      <c r="HJ29" s="1013"/>
      <c r="HK29" s="1013"/>
      <c r="HL29" s="1013"/>
      <c r="HM29" s="1013"/>
      <c r="HN29" s="1013"/>
      <c r="HO29" s="1013"/>
      <c r="HP29" s="1013"/>
      <c r="HQ29" s="1013"/>
      <c r="HR29" s="1013"/>
      <c r="HS29" s="1013"/>
      <c r="HT29" s="1013"/>
      <c r="HU29" s="1013"/>
      <c r="HV29" s="1013"/>
      <c r="HW29" s="1013"/>
      <c r="HX29" s="1013"/>
      <c r="HY29" s="1013"/>
      <c r="HZ29" s="1013"/>
      <c r="IA29" s="1013"/>
      <c r="IB29" s="1013"/>
      <c r="IC29" s="1013"/>
      <c r="ID29" s="1013"/>
      <c r="IE29" s="1013"/>
      <c r="IF29" s="1013"/>
      <c r="IG29" s="1013"/>
      <c r="IH29" s="1013"/>
      <c r="II29" s="1013"/>
      <c r="IJ29" s="1013"/>
      <c r="IK29" s="1013"/>
      <c r="IL29" s="1013"/>
      <c r="IM29" s="1013"/>
      <c r="IN29" s="1013"/>
      <c r="IO29" s="1013"/>
      <c r="IP29" s="1013"/>
      <c r="IQ29" s="1013"/>
      <c r="IR29" s="1013"/>
      <c r="IS29" s="1013"/>
      <c r="IT29" s="1013"/>
      <c r="IU29" s="1013"/>
    </row>
    <row r="30" spans="1:255" s="1031" customFormat="1" ht="21" customHeight="1">
      <c r="A30" s="1032" t="s">
        <v>607</v>
      </c>
      <c r="B30" s="1033" t="s">
        <v>868</v>
      </c>
      <c r="C30" s="1034">
        <v>41</v>
      </c>
      <c r="D30" s="1035">
        <v>675</v>
      </c>
      <c r="E30" s="1036">
        <v>412.85999999986961</v>
      </c>
      <c r="F30" s="1037">
        <v>709.35999999986961</v>
      </c>
      <c r="G30" s="1037">
        <v>0</v>
      </c>
      <c r="H30" s="1037"/>
      <c r="I30" s="1037">
        <v>0</v>
      </c>
      <c r="J30" s="1037">
        <f t="shared" si="2"/>
        <v>378.5</v>
      </c>
      <c r="K30" s="1037">
        <v>0</v>
      </c>
      <c r="L30" s="1037">
        <f>J30-K30</f>
        <v>378.5</v>
      </c>
      <c r="M30" s="1038">
        <v>378.5</v>
      </c>
      <c r="N30" s="1029">
        <f t="shared" si="1"/>
        <v>0</v>
      </c>
      <c r="O30" s="1030"/>
      <c r="P30" s="1013"/>
      <c r="Q30" s="1013"/>
      <c r="R30" s="1013"/>
      <c r="S30" s="1013"/>
      <c r="T30" s="1013"/>
      <c r="U30" s="1013"/>
      <c r="V30" s="1013"/>
      <c r="W30" s="1013"/>
      <c r="X30" s="1013"/>
      <c r="Y30" s="1013"/>
      <c r="Z30" s="1013"/>
      <c r="AA30" s="1013"/>
      <c r="AB30" s="1013"/>
      <c r="AC30" s="1013"/>
      <c r="AD30" s="1013"/>
      <c r="AE30" s="1013"/>
      <c r="AF30" s="1013"/>
      <c r="AG30" s="1013"/>
      <c r="AH30" s="1013"/>
      <c r="AI30" s="1013"/>
      <c r="AJ30" s="1013"/>
      <c r="AK30" s="1013"/>
      <c r="AL30" s="1013"/>
      <c r="AM30" s="1013"/>
      <c r="AN30" s="1013"/>
      <c r="AO30" s="1013"/>
      <c r="AP30" s="1013"/>
      <c r="AQ30" s="1013"/>
      <c r="AR30" s="1013"/>
      <c r="AS30" s="1013"/>
      <c r="AT30" s="1013"/>
      <c r="AU30" s="1013"/>
      <c r="AV30" s="1013"/>
      <c r="AW30" s="1013"/>
      <c r="AX30" s="1013"/>
      <c r="AY30" s="1013"/>
      <c r="AZ30" s="1013"/>
      <c r="BA30" s="1013"/>
      <c r="BB30" s="1013"/>
      <c r="BC30" s="1013"/>
      <c r="BD30" s="1013"/>
      <c r="BE30" s="1013"/>
      <c r="BF30" s="1013"/>
      <c r="BG30" s="1013"/>
      <c r="BH30" s="1013"/>
      <c r="BI30" s="1013"/>
      <c r="BJ30" s="1013"/>
      <c r="BK30" s="1013"/>
      <c r="BL30" s="1013"/>
      <c r="BM30" s="1013"/>
      <c r="BN30" s="1013"/>
      <c r="BO30" s="1013"/>
      <c r="BP30" s="1013"/>
      <c r="BQ30" s="1013"/>
      <c r="BR30" s="1013"/>
      <c r="BS30" s="1013"/>
      <c r="BT30" s="1013"/>
      <c r="BU30" s="1013"/>
      <c r="BV30" s="1013"/>
      <c r="BW30" s="1013"/>
      <c r="BX30" s="1013"/>
      <c r="BY30" s="1013"/>
      <c r="BZ30" s="1013"/>
      <c r="CA30" s="1013"/>
      <c r="CB30" s="1013"/>
      <c r="CC30" s="1013"/>
      <c r="CD30" s="1013"/>
      <c r="CE30" s="1013"/>
      <c r="CF30" s="1013"/>
      <c r="CG30" s="1013"/>
      <c r="CH30" s="1013"/>
      <c r="CI30" s="1013"/>
      <c r="CJ30" s="1013"/>
      <c r="CK30" s="1013"/>
      <c r="CL30" s="1013"/>
      <c r="CM30" s="1013"/>
      <c r="CN30" s="1013"/>
      <c r="CO30" s="1013"/>
      <c r="CP30" s="1013"/>
      <c r="CQ30" s="1013"/>
      <c r="CR30" s="1013"/>
      <c r="CS30" s="1013"/>
      <c r="CT30" s="1013"/>
      <c r="CU30" s="1013"/>
      <c r="CV30" s="1013"/>
      <c r="CW30" s="1013"/>
      <c r="CX30" s="1013"/>
      <c r="CY30" s="1013"/>
      <c r="CZ30" s="1013"/>
      <c r="DA30" s="1013"/>
      <c r="DB30" s="1013"/>
      <c r="DC30" s="1013"/>
      <c r="DD30" s="1013"/>
      <c r="DE30" s="1013"/>
      <c r="DF30" s="1013"/>
      <c r="DG30" s="1013"/>
      <c r="DH30" s="1013"/>
      <c r="DI30" s="1013"/>
      <c r="DJ30" s="1013"/>
      <c r="DK30" s="1013"/>
      <c r="DL30" s="1013"/>
      <c r="DM30" s="1013"/>
      <c r="DN30" s="1013"/>
      <c r="DO30" s="1013"/>
      <c r="DP30" s="1013"/>
      <c r="DQ30" s="1013"/>
      <c r="DR30" s="1013"/>
      <c r="DS30" s="1013"/>
      <c r="DT30" s="1013"/>
      <c r="DU30" s="1013"/>
      <c r="DV30" s="1013"/>
      <c r="DW30" s="1013"/>
      <c r="DX30" s="1013"/>
      <c r="DY30" s="1013"/>
      <c r="DZ30" s="1013"/>
      <c r="EA30" s="1013"/>
      <c r="EB30" s="1013"/>
      <c r="EC30" s="1013"/>
      <c r="ED30" s="1013"/>
      <c r="EE30" s="1013"/>
      <c r="EF30" s="1013"/>
      <c r="EG30" s="1013"/>
      <c r="EH30" s="1013"/>
      <c r="EI30" s="1013"/>
      <c r="EJ30" s="1013"/>
      <c r="EK30" s="1013"/>
      <c r="EL30" s="1013"/>
      <c r="EM30" s="1013"/>
      <c r="EN30" s="1013"/>
      <c r="EO30" s="1013"/>
      <c r="EP30" s="1013"/>
      <c r="EQ30" s="1013"/>
      <c r="ER30" s="1013"/>
      <c r="ES30" s="1013"/>
      <c r="ET30" s="1013"/>
      <c r="EU30" s="1013"/>
      <c r="EV30" s="1013"/>
      <c r="EW30" s="1013"/>
      <c r="EX30" s="1013"/>
      <c r="EY30" s="1013"/>
      <c r="EZ30" s="1013"/>
      <c r="FA30" s="1013"/>
      <c r="FB30" s="1013"/>
      <c r="FC30" s="1013"/>
      <c r="FD30" s="1013"/>
      <c r="FE30" s="1013"/>
      <c r="FF30" s="1013"/>
      <c r="FG30" s="1013"/>
      <c r="FH30" s="1013"/>
      <c r="FI30" s="1013"/>
      <c r="FJ30" s="1013"/>
      <c r="FK30" s="1013"/>
      <c r="FL30" s="1013"/>
      <c r="FM30" s="1013"/>
      <c r="FN30" s="1013"/>
      <c r="FO30" s="1013"/>
      <c r="FP30" s="1013"/>
      <c r="FQ30" s="1013"/>
      <c r="FR30" s="1013"/>
      <c r="FS30" s="1013"/>
      <c r="FT30" s="1013"/>
      <c r="FU30" s="1013"/>
      <c r="FV30" s="1013"/>
      <c r="FW30" s="1013"/>
      <c r="FX30" s="1013"/>
      <c r="FY30" s="1013"/>
      <c r="FZ30" s="1013"/>
      <c r="GA30" s="1013"/>
      <c r="GB30" s="1013"/>
      <c r="GC30" s="1013"/>
      <c r="GD30" s="1013"/>
      <c r="GE30" s="1013"/>
      <c r="GF30" s="1013"/>
      <c r="GG30" s="1013"/>
      <c r="GH30" s="1013"/>
      <c r="GI30" s="1013"/>
      <c r="GJ30" s="1013"/>
      <c r="GK30" s="1013"/>
      <c r="GL30" s="1013"/>
      <c r="GM30" s="1013"/>
      <c r="GN30" s="1013"/>
      <c r="GO30" s="1013"/>
      <c r="GP30" s="1013"/>
      <c r="GQ30" s="1013"/>
      <c r="GR30" s="1013"/>
      <c r="GS30" s="1013"/>
      <c r="GT30" s="1013"/>
      <c r="GU30" s="1013"/>
      <c r="GV30" s="1013"/>
      <c r="GW30" s="1013"/>
      <c r="GX30" s="1013"/>
      <c r="GY30" s="1013"/>
      <c r="GZ30" s="1013"/>
      <c r="HA30" s="1013"/>
      <c r="HB30" s="1013"/>
      <c r="HC30" s="1013"/>
      <c r="HD30" s="1013"/>
      <c r="HE30" s="1013"/>
      <c r="HF30" s="1013"/>
      <c r="HG30" s="1013"/>
      <c r="HH30" s="1013"/>
      <c r="HI30" s="1013"/>
      <c r="HJ30" s="1013"/>
      <c r="HK30" s="1013"/>
      <c r="HL30" s="1013"/>
      <c r="HM30" s="1013"/>
      <c r="HN30" s="1013"/>
      <c r="HO30" s="1013"/>
      <c r="HP30" s="1013"/>
      <c r="HQ30" s="1013"/>
      <c r="HR30" s="1013"/>
      <c r="HS30" s="1013"/>
      <c r="HT30" s="1013"/>
      <c r="HU30" s="1013"/>
      <c r="HV30" s="1013"/>
      <c r="HW30" s="1013"/>
      <c r="HX30" s="1013"/>
      <c r="HY30" s="1013"/>
      <c r="HZ30" s="1013"/>
      <c r="IA30" s="1013"/>
      <c r="IB30" s="1013"/>
      <c r="IC30" s="1013"/>
      <c r="ID30" s="1013"/>
      <c r="IE30" s="1013"/>
      <c r="IF30" s="1013"/>
      <c r="IG30" s="1013"/>
      <c r="IH30" s="1013"/>
      <c r="II30" s="1013"/>
      <c r="IJ30" s="1013"/>
      <c r="IK30" s="1013"/>
      <c r="IL30" s="1013"/>
      <c r="IM30" s="1013"/>
      <c r="IN30" s="1013"/>
      <c r="IO30" s="1013"/>
      <c r="IP30" s="1013"/>
      <c r="IQ30" s="1013"/>
      <c r="IR30" s="1013"/>
      <c r="IS30" s="1013"/>
      <c r="IT30" s="1013"/>
      <c r="IU30" s="1013"/>
    </row>
    <row r="31" spans="1:255" s="1031" customFormat="1" ht="21" customHeight="1">
      <c r="A31" s="1032" t="s">
        <v>332</v>
      </c>
      <c r="B31" s="1033" t="s">
        <v>70</v>
      </c>
      <c r="C31" s="1034">
        <v>57</v>
      </c>
      <c r="D31" s="1035">
        <v>0</v>
      </c>
      <c r="E31" s="1036">
        <v>0</v>
      </c>
      <c r="F31" s="1037">
        <v>0</v>
      </c>
      <c r="G31" s="1037">
        <v>0</v>
      </c>
      <c r="H31" s="1037">
        <v>0</v>
      </c>
      <c r="I31" s="1037">
        <v>0</v>
      </c>
      <c r="J31" s="1037">
        <f t="shared" si="2"/>
        <v>0</v>
      </c>
      <c r="K31" s="1039">
        <v>0</v>
      </c>
      <c r="L31" s="1037">
        <f t="shared" si="0"/>
        <v>0</v>
      </c>
      <c r="M31" s="1038">
        <v>0</v>
      </c>
      <c r="N31" s="1029">
        <f t="shared" si="1"/>
        <v>0</v>
      </c>
      <c r="O31" s="1030"/>
      <c r="P31" s="1013"/>
      <c r="Q31" s="1013"/>
      <c r="R31" s="1013"/>
      <c r="S31" s="1013"/>
      <c r="T31" s="1013"/>
      <c r="U31" s="1013"/>
      <c r="V31" s="1013"/>
      <c r="W31" s="1013"/>
      <c r="X31" s="1013"/>
      <c r="Y31" s="1013"/>
      <c r="Z31" s="1013"/>
      <c r="AA31" s="1013"/>
      <c r="AB31" s="1013"/>
      <c r="AC31" s="1013"/>
      <c r="AD31" s="1013"/>
      <c r="AE31" s="1013"/>
      <c r="AF31" s="1013"/>
      <c r="AG31" s="1013"/>
      <c r="AH31" s="1013"/>
      <c r="AI31" s="1013"/>
      <c r="AJ31" s="1013"/>
      <c r="AK31" s="1013"/>
      <c r="AL31" s="1013"/>
      <c r="AM31" s="1013"/>
      <c r="AN31" s="1013"/>
      <c r="AO31" s="1013"/>
      <c r="AP31" s="1013"/>
      <c r="AQ31" s="1013"/>
      <c r="AR31" s="1013"/>
      <c r="AS31" s="1013"/>
      <c r="AT31" s="1013"/>
      <c r="AU31" s="1013"/>
      <c r="AV31" s="1013"/>
      <c r="AW31" s="1013"/>
      <c r="AX31" s="1013"/>
      <c r="AY31" s="1013"/>
      <c r="AZ31" s="1013"/>
      <c r="BA31" s="1013"/>
      <c r="BB31" s="1013"/>
      <c r="BC31" s="1013"/>
      <c r="BD31" s="1013"/>
      <c r="BE31" s="1013"/>
      <c r="BF31" s="1013"/>
      <c r="BG31" s="1013"/>
      <c r="BH31" s="1013"/>
      <c r="BI31" s="1013"/>
      <c r="BJ31" s="1013"/>
      <c r="BK31" s="1013"/>
      <c r="BL31" s="1013"/>
      <c r="BM31" s="1013"/>
      <c r="BN31" s="1013"/>
      <c r="BO31" s="1013"/>
      <c r="BP31" s="1013"/>
      <c r="BQ31" s="1013"/>
      <c r="BR31" s="1013"/>
      <c r="BS31" s="1013"/>
      <c r="BT31" s="1013"/>
      <c r="BU31" s="1013"/>
      <c r="BV31" s="1013"/>
      <c r="BW31" s="1013"/>
      <c r="BX31" s="1013"/>
      <c r="BY31" s="1013"/>
      <c r="BZ31" s="1013"/>
      <c r="CA31" s="1013"/>
      <c r="CB31" s="1013"/>
      <c r="CC31" s="1013"/>
      <c r="CD31" s="1013"/>
      <c r="CE31" s="1013"/>
      <c r="CF31" s="1013"/>
      <c r="CG31" s="1013"/>
      <c r="CH31" s="1013"/>
      <c r="CI31" s="1013"/>
      <c r="CJ31" s="1013"/>
      <c r="CK31" s="1013"/>
      <c r="CL31" s="1013"/>
      <c r="CM31" s="1013"/>
      <c r="CN31" s="1013"/>
      <c r="CO31" s="1013"/>
      <c r="CP31" s="1013"/>
      <c r="CQ31" s="1013"/>
      <c r="CR31" s="1013"/>
      <c r="CS31" s="1013"/>
      <c r="CT31" s="1013"/>
      <c r="CU31" s="1013"/>
      <c r="CV31" s="1013"/>
      <c r="CW31" s="1013"/>
      <c r="CX31" s="1013"/>
      <c r="CY31" s="1013"/>
      <c r="CZ31" s="1013"/>
      <c r="DA31" s="1013"/>
      <c r="DB31" s="1013"/>
      <c r="DC31" s="1013"/>
      <c r="DD31" s="1013"/>
      <c r="DE31" s="1013"/>
      <c r="DF31" s="1013"/>
      <c r="DG31" s="1013"/>
      <c r="DH31" s="1013"/>
      <c r="DI31" s="1013"/>
      <c r="DJ31" s="1013"/>
      <c r="DK31" s="1013"/>
      <c r="DL31" s="1013"/>
      <c r="DM31" s="1013"/>
      <c r="DN31" s="1013"/>
      <c r="DO31" s="1013"/>
      <c r="DP31" s="1013"/>
      <c r="DQ31" s="1013"/>
      <c r="DR31" s="1013"/>
      <c r="DS31" s="1013"/>
      <c r="DT31" s="1013"/>
      <c r="DU31" s="1013"/>
      <c r="DV31" s="1013"/>
      <c r="DW31" s="1013"/>
      <c r="DX31" s="1013"/>
      <c r="DY31" s="1013"/>
      <c r="DZ31" s="1013"/>
      <c r="EA31" s="1013"/>
      <c r="EB31" s="1013"/>
      <c r="EC31" s="1013"/>
      <c r="ED31" s="1013"/>
      <c r="EE31" s="1013"/>
      <c r="EF31" s="1013"/>
      <c r="EG31" s="1013"/>
      <c r="EH31" s="1013"/>
      <c r="EI31" s="1013"/>
      <c r="EJ31" s="1013"/>
      <c r="EK31" s="1013"/>
      <c r="EL31" s="1013"/>
      <c r="EM31" s="1013"/>
      <c r="EN31" s="1013"/>
      <c r="EO31" s="1013"/>
      <c r="EP31" s="1013"/>
      <c r="EQ31" s="1013"/>
      <c r="ER31" s="1013"/>
      <c r="ES31" s="1013"/>
      <c r="ET31" s="1013"/>
      <c r="EU31" s="1013"/>
      <c r="EV31" s="1013"/>
      <c r="EW31" s="1013"/>
      <c r="EX31" s="1013"/>
      <c r="EY31" s="1013"/>
      <c r="EZ31" s="1013"/>
      <c r="FA31" s="1013"/>
      <c r="FB31" s="1013"/>
      <c r="FC31" s="1013"/>
      <c r="FD31" s="1013"/>
      <c r="FE31" s="1013"/>
      <c r="FF31" s="1013"/>
      <c r="FG31" s="1013"/>
      <c r="FH31" s="1013"/>
      <c r="FI31" s="1013"/>
      <c r="FJ31" s="1013"/>
      <c r="FK31" s="1013"/>
      <c r="FL31" s="1013"/>
      <c r="FM31" s="1013"/>
      <c r="FN31" s="1013"/>
      <c r="FO31" s="1013"/>
      <c r="FP31" s="1013"/>
      <c r="FQ31" s="1013"/>
      <c r="FR31" s="1013"/>
      <c r="FS31" s="1013"/>
      <c r="FT31" s="1013"/>
      <c r="FU31" s="1013"/>
      <c r="FV31" s="1013"/>
      <c r="FW31" s="1013"/>
      <c r="FX31" s="1013"/>
      <c r="FY31" s="1013"/>
      <c r="FZ31" s="1013"/>
      <c r="GA31" s="1013"/>
      <c r="GB31" s="1013"/>
      <c r="GC31" s="1013"/>
      <c r="GD31" s="1013"/>
      <c r="GE31" s="1013"/>
      <c r="GF31" s="1013"/>
      <c r="GG31" s="1013"/>
      <c r="GH31" s="1013"/>
      <c r="GI31" s="1013"/>
      <c r="GJ31" s="1013"/>
      <c r="GK31" s="1013"/>
      <c r="GL31" s="1013"/>
      <c r="GM31" s="1013"/>
      <c r="GN31" s="1013"/>
      <c r="GO31" s="1013"/>
      <c r="GP31" s="1013"/>
      <c r="GQ31" s="1013"/>
      <c r="GR31" s="1013"/>
      <c r="GS31" s="1013"/>
      <c r="GT31" s="1013"/>
      <c r="GU31" s="1013"/>
      <c r="GV31" s="1013"/>
      <c r="GW31" s="1013"/>
      <c r="GX31" s="1013"/>
      <c r="GY31" s="1013"/>
      <c r="GZ31" s="1013"/>
      <c r="HA31" s="1013"/>
      <c r="HB31" s="1013"/>
      <c r="HC31" s="1013"/>
      <c r="HD31" s="1013"/>
      <c r="HE31" s="1013"/>
      <c r="HF31" s="1013"/>
      <c r="HG31" s="1013"/>
      <c r="HH31" s="1013"/>
      <c r="HI31" s="1013"/>
      <c r="HJ31" s="1013"/>
      <c r="HK31" s="1013"/>
      <c r="HL31" s="1013"/>
      <c r="HM31" s="1013"/>
      <c r="HN31" s="1013"/>
      <c r="HO31" s="1013"/>
      <c r="HP31" s="1013"/>
      <c r="HQ31" s="1013"/>
      <c r="HR31" s="1013"/>
      <c r="HS31" s="1013"/>
      <c r="HT31" s="1013"/>
      <c r="HU31" s="1013"/>
      <c r="HV31" s="1013"/>
      <c r="HW31" s="1013"/>
      <c r="HX31" s="1013"/>
      <c r="HY31" s="1013"/>
      <c r="HZ31" s="1013"/>
      <c r="IA31" s="1013"/>
      <c r="IB31" s="1013"/>
      <c r="IC31" s="1013"/>
      <c r="ID31" s="1013"/>
      <c r="IE31" s="1013"/>
      <c r="IF31" s="1013"/>
      <c r="IG31" s="1013"/>
      <c r="IH31" s="1013"/>
      <c r="II31" s="1013"/>
      <c r="IJ31" s="1013"/>
      <c r="IK31" s="1013"/>
      <c r="IL31" s="1013"/>
      <c r="IM31" s="1013"/>
      <c r="IN31" s="1013"/>
      <c r="IO31" s="1013"/>
      <c r="IP31" s="1013"/>
      <c r="IQ31" s="1013"/>
      <c r="IR31" s="1013"/>
      <c r="IS31" s="1013"/>
      <c r="IT31" s="1013"/>
      <c r="IU31" s="1013"/>
    </row>
    <row r="32" spans="1:255" s="1031" customFormat="1" ht="21" customHeight="1">
      <c r="A32" s="1032" t="s">
        <v>863</v>
      </c>
      <c r="B32" s="1033" t="s">
        <v>864</v>
      </c>
      <c r="C32" s="1034">
        <v>112</v>
      </c>
      <c r="D32" s="1035">
        <v>1585</v>
      </c>
      <c r="E32" s="1036">
        <v>901.5</v>
      </c>
      <c r="F32" s="1037">
        <v>1391.7199999999721</v>
      </c>
      <c r="G32" s="1037">
        <v>0</v>
      </c>
      <c r="H32" s="1037">
        <v>0</v>
      </c>
      <c r="I32" s="1037">
        <v>0</v>
      </c>
      <c r="J32" s="1037">
        <f t="shared" si="2"/>
        <v>1094.7800000000279</v>
      </c>
      <c r="K32" s="1037">
        <v>0</v>
      </c>
      <c r="L32" s="1037">
        <f t="shared" si="0"/>
        <v>1094.7800000000279</v>
      </c>
      <c r="M32" s="1041">
        <v>1094.78</v>
      </c>
      <c r="N32" s="1029">
        <f>M32-L32</f>
        <v>-2.7966962079517543E-11</v>
      </c>
      <c r="O32" s="1030"/>
      <c r="P32" s="1013"/>
      <c r="Q32" s="1013"/>
      <c r="R32" s="1013"/>
      <c r="S32" s="1013"/>
      <c r="T32" s="1013"/>
      <c r="U32" s="1013"/>
      <c r="V32" s="1013"/>
      <c r="W32" s="1013"/>
      <c r="X32" s="1013"/>
      <c r="Y32" s="1013"/>
      <c r="Z32" s="1013"/>
      <c r="AA32" s="1013"/>
      <c r="AB32" s="1013"/>
      <c r="AC32" s="1013"/>
      <c r="AD32" s="1013"/>
      <c r="AE32" s="1013"/>
      <c r="AF32" s="1013"/>
      <c r="AG32" s="1013"/>
      <c r="AH32" s="1013"/>
      <c r="AI32" s="1013"/>
      <c r="AJ32" s="1013"/>
      <c r="AK32" s="1013"/>
      <c r="AL32" s="1013"/>
      <c r="AM32" s="1013"/>
      <c r="AN32" s="1013"/>
      <c r="AO32" s="1013"/>
      <c r="AP32" s="1013"/>
      <c r="AQ32" s="1013"/>
      <c r="AR32" s="1013"/>
      <c r="AS32" s="1013"/>
      <c r="AT32" s="1013"/>
      <c r="AU32" s="1013"/>
      <c r="AV32" s="1013"/>
      <c r="AW32" s="1013"/>
      <c r="AX32" s="1013"/>
      <c r="AY32" s="1013"/>
      <c r="AZ32" s="1013"/>
      <c r="BA32" s="1013"/>
      <c r="BB32" s="1013"/>
      <c r="BC32" s="1013"/>
      <c r="BD32" s="1013"/>
      <c r="BE32" s="1013"/>
      <c r="BF32" s="1013"/>
      <c r="BG32" s="1013"/>
      <c r="BH32" s="1013"/>
      <c r="BI32" s="1013"/>
      <c r="BJ32" s="1013"/>
      <c r="BK32" s="1013"/>
      <c r="BL32" s="1013"/>
      <c r="BM32" s="1013"/>
      <c r="BN32" s="1013"/>
      <c r="BO32" s="1013"/>
      <c r="BP32" s="1013"/>
      <c r="BQ32" s="1013"/>
      <c r="BR32" s="1013"/>
      <c r="BS32" s="1013"/>
      <c r="BT32" s="1013"/>
      <c r="BU32" s="1013"/>
      <c r="BV32" s="1013"/>
      <c r="BW32" s="1013"/>
      <c r="BX32" s="1013"/>
      <c r="BY32" s="1013"/>
      <c r="BZ32" s="1013"/>
      <c r="CA32" s="1013"/>
      <c r="CB32" s="1013"/>
      <c r="CC32" s="1013"/>
      <c r="CD32" s="1013"/>
      <c r="CE32" s="1013"/>
      <c r="CF32" s="1013"/>
      <c r="CG32" s="1013"/>
      <c r="CH32" s="1013"/>
      <c r="CI32" s="1013"/>
      <c r="CJ32" s="1013"/>
      <c r="CK32" s="1013"/>
      <c r="CL32" s="1013"/>
      <c r="CM32" s="1013"/>
      <c r="CN32" s="1013"/>
      <c r="CO32" s="1013"/>
      <c r="CP32" s="1013"/>
      <c r="CQ32" s="1013"/>
      <c r="CR32" s="1013"/>
      <c r="CS32" s="1013"/>
      <c r="CT32" s="1013"/>
      <c r="CU32" s="1013"/>
      <c r="CV32" s="1013"/>
      <c r="CW32" s="1013"/>
      <c r="CX32" s="1013"/>
      <c r="CY32" s="1013"/>
      <c r="CZ32" s="1013"/>
      <c r="DA32" s="1013"/>
      <c r="DB32" s="1013"/>
      <c r="DC32" s="1013"/>
      <c r="DD32" s="1013"/>
      <c r="DE32" s="1013"/>
      <c r="DF32" s="1013"/>
      <c r="DG32" s="1013"/>
      <c r="DH32" s="1013"/>
      <c r="DI32" s="1013"/>
      <c r="DJ32" s="1013"/>
      <c r="DK32" s="1013"/>
      <c r="DL32" s="1013"/>
      <c r="DM32" s="1013"/>
      <c r="DN32" s="1013"/>
      <c r="DO32" s="1013"/>
      <c r="DP32" s="1013"/>
      <c r="DQ32" s="1013"/>
      <c r="DR32" s="1013"/>
      <c r="DS32" s="1013"/>
      <c r="DT32" s="1013"/>
      <c r="DU32" s="1013"/>
      <c r="DV32" s="1013"/>
      <c r="DW32" s="1013"/>
      <c r="DX32" s="1013"/>
      <c r="DY32" s="1013"/>
      <c r="DZ32" s="1013"/>
      <c r="EA32" s="1013"/>
      <c r="EB32" s="1013"/>
      <c r="EC32" s="1013"/>
      <c r="ED32" s="1013"/>
      <c r="EE32" s="1013"/>
      <c r="EF32" s="1013"/>
      <c r="EG32" s="1013"/>
      <c r="EH32" s="1013"/>
      <c r="EI32" s="1013"/>
      <c r="EJ32" s="1013"/>
      <c r="EK32" s="1013"/>
      <c r="EL32" s="1013"/>
      <c r="EM32" s="1013"/>
      <c r="EN32" s="1013"/>
      <c r="EO32" s="1013"/>
      <c r="EP32" s="1013"/>
      <c r="EQ32" s="1013"/>
      <c r="ER32" s="1013"/>
      <c r="ES32" s="1013"/>
      <c r="ET32" s="1013"/>
      <c r="EU32" s="1013"/>
      <c r="EV32" s="1013"/>
      <c r="EW32" s="1013"/>
      <c r="EX32" s="1013"/>
      <c r="EY32" s="1013"/>
      <c r="EZ32" s="1013"/>
      <c r="FA32" s="1013"/>
      <c r="FB32" s="1013"/>
      <c r="FC32" s="1013"/>
      <c r="FD32" s="1013"/>
      <c r="FE32" s="1013"/>
      <c r="FF32" s="1013"/>
      <c r="FG32" s="1013"/>
      <c r="FH32" s="1013"/>
      <c r="FI32" s="1013"/>
      <c r="FJ32" s="1013"/>
      <c r="FK32" s="1013"/>
      <c r="FL32" s="1013"/>
      <c r="FM32" s="1013"/>
      <c r="FN32" s="1013"/>
      <c r="FO32" s="1013"/>
      <c r="FP32" s="1013"/>
      <c r="FQ32" s="1013"/>
      <c r="FR32" s="1013"/>
      <c r="FS32" s="1013"/>
      <c r="FT32" s="1013"/>
      <c r="FU32" s="1013"/>
      <c r="FV32" s="1013"/>
      <c r="FW32" s="1013"/>
      <c r="FX32" s="1013"/>
      <c r="FY32" s="1013"/>
      <c r="FZ32" s="1013"/>
      <c r="GA32" s="1013"/>
      <c r="GB32" s="1013"/>
      <c r="GC32" s="1013"/>
      <c r="GD32" s="1013"/>
      <c r="GE32" s="1013"/>
      <c r="GF32" s="1013"/>
      <c r="GG32" s="1013"/>
      <c r="GH32" s="1013"/>
      <c r="GI32" s="1013"/>
      <c r="GJ32" s="1013"/>
      <c r="GK32" s="1013"/>
      <c r="GL32" s="1013"/>
      <c r="GM32" s="1013"/>
      <c r="GN32" s="1013"/>
      <c r="GO32" s="1013"/>
      <c r="GP32" s="1013"/>
      <c r="GQ32" s="1013"/>
      <c r="GR32" s="1013"/>
      <c r="GS32" s="1013"/>
      <c r="GT32" s="1013"/>
      <c r="GU32" s="1013"/>
      <c r="GV32" s="1013"/>
      <c r="GW32" s="1013"/>
      <c r="GX32" s="1013"/>
      <c r="GY32" s="1013"/>
      <c r="GZ32" s="1013"/>
      <c r="HA32" s="1013"/>
      <c r="HB32" s="1013"/>
      <c r="HC32" s="1013"/>
      <c r="HD32" s="1013"/>
      <c r="HE32" s="1013"/>
      <c r="HF32" s="1013"/>
      <c r="HG32" s="1013"/>
      <c r="HH32" s="1013"/>
      <c r="HI32" s="1013"/>
      <c r="HJ32" s="1013"/>
      <c r="HK32" s="1013"/>
      <c r="HL32" s="1013"/>
      <c r="HM32" s="1013"/>
      <c r="HN32" s="1013"/>
      <c r="HO32" s="1013"/>
      <c r="HP32" s="1013"/>
      <c r="HQ32" s="1013"/>
      <c r="HR32" s="1013"/>
      <c r="HS32" s="1013"/>
      <c r="HT32" s="1013"/>
      <c r="HU32" s="1013"/>
      <c r="HV32" s="1013"/>
      <c r="HW32" s="1013"/>
      <c r="HX32" s="1013"/>
      <c r="HY32" s="1013"/>
      <c r="HZ32" s="1013"/>
      <c r="IA32" s="1013"/>
      <c r="IB32" s="1013"/>
      <c r="IC32" s="1013"/>
      <c r="ID32" s="1013"/>
      <c r="IE32" s="1013"/>
      <c r="IF32" s="1013"/>
      <c r="IG32" s="1013"/>
      <c r="IH32" s="1013"/>
      <c r="II32" s="1013"/>
      <c r="IJ32" s="1013"/>
      <c r="IK32" s="1013"/>
      <c r="IL32" s="1013"/>
      <c r="IM32" s="1013"/>
      <c r="IN32" s="1013"/>
      <c r="IO32" s="1013"/>
      <c r="IP32" s="1013"/>
      <c r="IQ32" s="1013"/>
      <c r="IR32" s="1013"/>
      <c r="IS32" s="1013"/>
      <c r="IT32" s="1013"/>
      <c r="IU32" s="1013"/>
    </row>
    <row r="33" spans="1:255" s="1031" customFormat="1" ht="21" customHeight="1">
      <c r="A33" s="1032" t="s">
        <v>863</v>
      </c>
      <c r="B33" s="1033" t="s">
        <v>865</v>
      </c>
      <c r="C33" s="1034">
        <v>118</v>
      </c>
      <c r="D33" s="1035">
        <v>1460</v>
      </c>
      <c r="E33" s="1036">
        <v>987.69000000000233</v>
      </c>
      <c r="F33" s="1037">
        <v>3394.7700000000186</v>
      </c>
      <c r="G33" s="1037">
        <v>0</v>
      </c>
      <c r="H33" s="1037">
        <v>0</v>
      </c>
      <c r="I33" s="1037">
        <v>0</v>
      </c>
      <c r="J33" s="1037">
        <f t="shared" si="2"/>
        <v>-947.0800000000163</v>
      </c>
      <c r="K33" s="1039">
        <v>0</v>
      </c>
      <c r="L33" s="1037">
        <f t="shared" si="0"/>
        <v>-947.0800000000163</v>
      </c>
      <c r="M33" s="1038">
        <v>-947.08</v>
      </c>
      <c r="N33" s="1029">
        <f t="shared" si="1"/>
        <v>1.6257217794191092E-11</v>
      </c>
      <c r="O33" s="1030"/>
      <c r="P33" s="1013"/>
      <c r="Q33" s="1013"/>
      <c r="R33" s="1013"/>
      <c r="S33" s="1013"/>
      <c r="T33" s="1013"/>
      <c r="U33" s="1013"/>
      <c r="V33" s="1013"/>
      <c r="W33" s="1013"/>
      <c r="X33" s="1013"/>
      <c r="Y33" s="1013"/>
      <c r="Z33" s="1013"/>
      <c r="AA33" s="1013"/>
      <c r="AB33" s="1013"/>
      <c r="AC33" s="1013"/>
      <c r="AD33" s="1013"/>
      <c r="AE33" s="1013"/>
      <c r="AF33" s="1013"/>
      <c r="AG33" s="1013"/>
      <c r="AH33" s="1013"/>
      <c r="AI33" s="1013"/>
      <c r="AJ33" s="1013"/>
      <c r="AK33" s="1013"/>
      <c r="AL33" s="1013"/>
      <c r="AM33" s="1013"/>
      <c r="AN33" s="1013"/>
      <c r="AO33" s="1013"/>
      <c r="AP33" s="1013"/>
      <c r="AQ33" s="1013"/>
      <c r="AR33" s="1013"/>
      <c r="AS33" s="1013"/>
      <c r="AT33" s="1013"/>
      <c r="AU33" s="1013"/>
      <c r="AV33" s="1013"/>
      <c r="AW33" s="1013"/>
      <c r="AX33" s="1013"/>
      <c r="AY33" s="1013"/>
      <c r="AZ33" s="1013"/>
      <c r="BA33" s="1013"/>
      <c r="BB33" s="1013"/>
      <c r="BC33" s="1013"/>
      <c r="BD33" s="1013"/>
      <c r="BE33" s="1013"/>
      <c r="BF33" s="1013"/>
      <c r="BG33" s="1013"/>
      <c r="BH33" s="1013"/>
      <c r="BI33" s="1013"/>
      <c r="BJ33" s="1013"/>
      <c r="BK33" s="1013"/>
      <c r="BL33" s="1013"/>
      <c r="BM33" s="1013"/>
      <c r="BN33" s="1013"/>
      <c r="BO33" s="1013"/>
      <c r="BP33" s="1013"/>
      <c r="BQ33" s="1013"/>
      <c r="BR33" s="1013"/>
      <c r="BS33" s="1013"/>
      <c r="BT33" s="1013"/>
      <c r="BU33" s="1013"/>
      <c r="BV33" s="1013"/>
      <c r="BW33" s="1013"/>
      <c r="BX33" s="1013"/>
      <c r="BY33" s="1013"/>
      <c r="BZ33" s="1013"/>
      <c r="CA33" s="1013"/>
      <c r="CB33" s="1013"/>
      <c r="CC33" s="1013"/>
      <c r="CD33" s="1013"/>
      <c r="CE33" s="1013"/>
      <c r="CF33" s="1013"/>
      <c r="CG33" s="1013"/>
      <c r="CH33" s="1013"/>
      <c r="CI33" s="1013"/>
      <c r="CJ33" s="1013"/>
      <c r="CK33" s="1013"/>
      <c r="CL33" s="1013"/>
      <c r="CM33" s="1013"/>
      <c r="CN33" s="1013"/>
      <c r="CO33" s="1013"/>
      <c r="CP33" s="1013"/>
      <c r="CQ33" s="1013"/>
      <c r="CR33" s="1013"/>
      <c r="CS33" s="1013"/>
      <c r="CT33" s="1013"/>
      <c r="CU33" s="1013"/>
      <c r="CV33" s="1013"/>
      <c r="CW33" s="1013"/>
      <c r="CX33" s="1013"/>
      <c r="CY33" s="1013"/>
      <c r="CZ33" s="1013"/>
      <c r="DA33" s="1013"/>
      <c r="DB33" s="1013"/>
      <c r="DC33" s="1013"/>
      <c r="DD33" s="1013"/>
      <c r="DE33" s="1013"/>
      <c r="DF33" s="1013"/>
      <c r="DG33" s="1013"/>
      <c r="DH33" s="1013"/>
      <c r="DI33" s="1013"/>
      <c r="DJ33" s="1013"/>
      <c r="DK33" s="1013"/>
      <c r="DL33" s="1013"/>
      <c r="DM33" s="1013"/>
      <c r="DN33" s="1013"/>
      <c r="DO33" s="1013"/>
      <c r="DP33" s="1013"/>
      <c r="DQ33" s="1013"/>
      <c r="DR33" s="1013"/>
      <c r="DS33" s="1013"/>
      <c r="DT33" s="1013"/>
      <c r="DU33" s="1013"/>
      <c r="DV33" s="1013"/>
      <c r="DW33" s="1013"/>
      <c r="DX33" s="1013"/>
      <c r="DY33" s="1013"/>
      <c r="DZ33" s="1013"/>
      <c r="EA33" s="1013"/>
      <c r="EB33" s="1013"/>
      <c r="EC33" s="1013"/>
      <c r="ED33" s="1013"/>
      <c r="EE33" s="1013"/>
      <c r="EF33" s="1013"/>
      <c r="EG33" s="1013"/>
      <c r="EH33" s="1013"/>
      <c r="EI33" s="1013"/>
      <c r="EJ33" s="1013"/>
      <c r="EK33" s="1013"/>
      <c r="EL33" s="1013"/>
      <c r="EM33" s="1013"/>
      <c r="EN33" s="1013"/>
      <c r="EO33" s="1013"/>
      <c r="EP33" s="1013"/>
      <c r="EQ33" s="1013"/>
      <c r="ER33" s="1013"/>
      <c r="ES33" s="1013"/>
      <c r="ET33" s="1013"/>
      <c r="EU33" s="1013"/>
      <c r="EV33" s="1013"/>
      <c r="EW33" s="1013"/>
      <c r="EX33" s="1013"/>
      <c r="EY33" s="1013"/>
      <c r="EZ33" s="1013"/>
      <c r="FA33" s="1013"/>
      <c r="FB33" s="1013"/>
      <c r="FC33" s="1013"/>
      <c r="FD33" s="1013"/>
      <c r="FE33" s="1013"/>
      <c r="FF33" s="1013"/>
      <c r="FG33" s="1013"/>
      <c r="FH33" s="1013"/>
      <c r="FI33" s="1013"/>
      <c r="FJ33" s="1013"/>
      <c r="FK33" s="1013"/>
      <c r="FL33" s="1013"/>
      <c r="FM33" s="1013"/>
      <c r="FN33" s="1013"/>
      <c r="FO33" s="1013"/>
      <c r="FP33" s="1013"/>
      <c r="FQ33" s="1013"/>
      <c r="FR33" s="1013"/>
      <c r="FS33" s="1013"/>
      <c r="FT33" s="1013"/>
      <c r="FU33" s="1013"/>
      <c r="FV33" s="1013"/>
      <c r="FW33" s="1013"/>
      <c r="FX33" s="1013"/>
      <c r="FY33" s="1013"/>
      <c r="FZ33" s="1013"/>
      <c r="GA33" s="1013"/>
      <c r="GB33" s="1013"/>
      <c r="GC33" s="1013"/>
      <c r="GD33" s="1013"/>
      <c r="GE33" s="1013"/>
      <c r="GF33" s="1013"/>
      <c r="GG33" s="1013"/>
      <c r="GH33" s="1013"/>
      <c r="GI33" s="1013"/>
      <c r="GJ33" s="1013"/>
      <c r="GK33" s="1013"/>
      <c r="GL33" s="1013"/>
      <c r="GM33" s="1013"/>
      <c r="GN33" s="1013"/>
      <c r="GO33" s="1013"/>
      <c r="GP33" s="1013"/>
      <c r="GQ33" s="1013"/>
      <c r="GR33" s="1013"/>
      <c r="GS33" s="1013"/>
      <c r="GT33" s="1013"/>
      <c r="GU33" s="1013"/>
      <c r="GV33" s="1013"/>
      <c r="GW33" s="1013"/>
      <c r="GX33" s="1013"/>
      <c r="GY33" s="1013"/>
      <c r="GZ33" s="1013"/>
      <c r="HA33" s="1013"/>
      <c r="HB33" s="1013"/>
      <c r="HC33" s="1013"/>
      <c r="HD33" s="1013"/>
      <c r="HE33" s="1013"/>
      <c r="HF33" s="1013"/>
      <c r="HG33" s="1013"/>
      <c r="HH33" s="1013"/>
      <c r="HI33" s="1013"/>
      <c r="HJ33" s="1013"/>
      <c r="HK33" s="1013"/>
      <c r="HL33" s="1013"/>
      <c r="HM33" s="1013"/>
      <c r="HN33" s="1013"/>
      <c r="HO33" s="1013"/>
      <c r="HP33" s="1013"/>
      <c r="HQ33" s="1013"/>
      <c r="HR33" s="1013"/>
      <c r="HS33" s="1013"/>
      <c r="HT33" s="1013"/>
      <c r="HU33" s="1013"/>
      <c r="HV33" s="1013"/>
      <c r="HW33" s="1013"/>
      <c r="HX33" s="1013"/>
      <c r="HY33" s="1013"/>
      <c r="HZ33" s="1013"/>
      <c r="IA33" s="1013"/>
      <c r="IB33" s="1013"/>
      <c r="IC33" s="1013"/>
      <c r="ID33" s="1013"/>
      <c r="IE33" s="1013"/>
      <c r="IF33" s="1013"/>
      <c r="IG33" s="1013"/>
      <c r="IH33" s="1013"/>
      <c r="II33" s="1013"/>
      <c r="IJ33" s="1013"/>
      <c r="IK33" s="1013"/>
      <c r="IL33" s="1013"/>
      <c r="IM33" s="1013"/>
      <c r="IN33" s="1013"/>
      <c r="IO33" s="1013"/>
      <c r="IP33" s="1013"/>
      <c r="IQ33" s="1013"/>
      <c r="IR33" s="1013"/>
      <c r="IS33" s="1013"/>
      <c r="IT33" s="1013"/>
      <c r="IU33" s="1013"/>
    </row>
    <row r="34" spans="1:255" s="1031" customFormat="1" ht="21" customHeight="1">
      <c r="A34" s="1032" t="s">
        <v>70</v>
      </c>
      <c r="B34" s="1033" t="s">
        <v>829</v>
      </c>
      <c r="C34" s="1034">
        <v>95</v>
      </c>
      <c r="D34" s="1035">
        <v>60</v>
      </c>
      <c r="E34" s="1036">
        <v>271.72999999999593</v>
      </c>
      <c r="F34" s="1037">
        <v>271.42999999999302</v>
      </c>
      <c r="G34" s="1037">
        <v>0</v>
      </c>
      <c r="H34" s="1037">
        <v>0</v>
      </c>
      <c r="I34" s="1037">
        <v>0</v>
      </c>
      <c r="J34" s="1037">
        <f t="shared" si="2"/>
        <v>60.30000000000291</v>
      </c>
      <c r="K34" s="1039">
        <v>0</v>
      </c>
      <c r="L34" s="1037">
        <f t="shared" si="0"/>
        <v>60.30000000000291</v>
      </c>
      <c r="M34" s="1038">
        <v>60.3</v>
      </c>
      <c r="N34" s="1029">
        <f t="shared" si="1"/>
        <v>-2.9132252166164108E-12</v>
      </c>
      <c r="O34" s="1030"/>
      <c r="P34" s="1013"/>
      <c r="Q34" s="1013"/>
      <c r="R34" s="1013"/>
      <c r="S34" s="1013"/>
      <c r="T34" s="1013"/>
      <c r="U34" s="1013"/>
      <c r="V34" s="1013"/>
      <c r="W34" s="1013"/>
      <c r="X34" s="1013"/>
      <c r="Y34" s="1013"/>
      <c r="Z34" s="1013"/>
      <c r="AA34" s="1013"/>
      <c r="AB34" s="1013"/>
      <c r="AC34" s="1013"/>
      <c r="AD34" s="1013"/>
      <c r="AE34" s="1013"/>
      <c r="AF34" s="1013"/>
      <c r="AG34" s="1013"/>
      <c r="AH34" s="1013"/>
      <c r="AI34" s="1013"/>
      <c r="AJ34" s="1013"/>
      <c r="AK34" s="1013"/>
      <c r="AL34" s="1013"/>
      <c r="AM34" s="1013"/>
      <c r="AN34" s="1013"/>
      <c r="AO34" s="1013"/>
      <c r="AP34" s="1013"/>
      <c r="AQ34" s="1013"/>
      <c r="AR34" s="1013"/>
      <c r="AS34" s="1013"/>
      <c r="AT34" s="1013"/>
      <c r="AU34" s="1013"/>
      <c r="AV34" s="1013"/>
      <c r="AW34" s="1013"/>
      <c r="AX34" s="1013"/>
      <c r="AY34" s="1013"/>
      <c r="AZ34" s="1013"/>
      <c r="BA34" s="1013"/>
      <c r="BB34" s="1013"/>
      <c r="BC34" s="1013"/>
      <c r="BD34" s="1013"/>
      <c r="BE34" s="1013"/>
      <c r="BF34" s="1013"/>
      <c r="BG34" s="1013"/>
      <c r="BH34" s="1013"/>
      <c r="BI34" s="1013"/>
      <c r="BJ34" s="1013"/>
      <c r="BK34" s="1013"/>
      <c r="BL34" s="1013"/>
      <c r="BM34" s="1013"/>
      <c r="BN34" s="1013"/>
      <c r="BO34" s="1013"/>
      <c r="BP34" s="1013"/>
      <c r="BQ34" s="1013"/>
      <c r="BR34" s="1013"/>
      <c r="BS34" s="1013"/>
      <c r="BT34" s="1013"/>
      <c r="BU34" s="1013"/>
      <c r="BV34" s="1013"/>
      <c r="BW34" s="1013"/>
      <c r="BX34" s="1013"/>
      <c r="BY34" s="1013"/>
      <c r="BZ34" s="1013"/>
      <c r="CA34" s="1013"/>
      <c r="CB34" s="1013"/>
      <c r="CC34" s="1013"/>
      <c r="CD34" s="1013"/>
      <c r="CE34" s="1013"/>
      <c r="CF34" s="1013"/>
      <c r="CG34" s="1013"/>
      <c r="CH34" s="1013"/>
      <c r="CI34" s="1013"/>
      <c r="CJ34" s="1013"/>
      <c r="CK34" s="1013"/>
      <c r="CL34" s="1013"/>
      <c r="CM34" s="1013"/>
      <c r="CN34" s="1013"/>
      <c r="CO34" s="1013"/>
      <c r="CP34" s="1013"/>
      <c r="CQ34" s="1013"/>
      <c r="CR34" s="1013"/>
      <c r="CS34" s="1013"/>
      <c r="CT34" s="1013"/>
      <c r="CU34" s="1013"/>
      <c r="CV34" s="1013"/>
      <c r="CW34" s="1013"/>
      <c r="CX34" s="1013"/>
      <c r="CY34" s="1013"/>
      <c r="CZ34" s="1013"/>
      <c r="DA34" s="1013"/>
      <c r="DB34" s="1013"/>
      <c r="DC34" s="1013"/>
      <c r="DD34" s="1013"/>
      <c r="DE34" s="1013"/>
      <c r="DF34" s="1013"/>
      <c r="DG34" s="1013"/>
      <c r="DH34" s="1013"/>
      <c r="DI34" s="1013"/>
      <c r="DJ34" s="1013"/>
      <c r="DK34" s="1013"/>
      <c r="DL34" s="1013"/>
      <c r="DM34" s="1013"/>
      <c r="DN34" s="1013"/>
      <c r="DO34" s="1013"/>
      <c r="DP34" s="1013"/>
      <c r="DQ34" s="1013"/>
      <c r="DR34" s="1013"/>
      <c r="DS34" s="1013"/>
      <c r="DT34" s="1013"/>
      <c r="DU34" s="1013"/>
      <c r="DV34" s="1013"/>
      <c r="DW34" s="1013"/>
      <c r="DX34" s="1013"/>
      <c r="DY34" s="1013"/>
      <c r="DZ34" s="1013"/>
      <c r="EA34" s="1013"/>
      <c r="EB34" s="1013"/>
      <c r="EC34" s="1013"/>
      <c r="ED34" s="1013"/>
      <c r="EE34" s="1013"/>
      <c r="EF34" s="1013"/>
      <c r="EG34" s="1013"/>
      <c r="EH34" s="1013"/>
      <c r="EI34" s="1013"/>
      <c r="EJ34" s="1013"/>
      <c r="EK34" s="1013"/>
      <c r="EL34" s="1013"/>
      <c r="EM34" s="1013"/>
      <c r="EN34" s="1013"/>
      <c r="EO34" s="1013"/>
      <c r="EP34" s="1013"/>
      <c r="EQ34" s="1013"/>
      <c r="ER34" s="1013"/>
      <c r="ES34" s="1013"/>
      <c r="ET34" s="1013"/>
      <c r="EU34" s="1013"/>
      <c r="EV34" s="1013"/>
      <c r="EW34" s="1013"/>
      <c r="EX34" s="1013"/>
      <c r="EY34" s="1013"/>
      <c r="EZ34" s="1013"/>
      <c r="FA34" s="1013"/>
      <c r="FB34" s="1013"/>
      <c r="FC34" s="1013"/>
      <c r="FD34" s="1013"/>
      <c r="FE34" s="1013"/>
      <c r="FF34" s="1013"/>
      <c r="FG34" s="1013"/>
      <c r="FH34" s="1013"/>
      <c r="FI34" s="1013"/>
      <c r="FJ34" s="1013"/>
      <c r="FK34" s="1013"/>
      <c r="FL34" s="1013"/>
      <c r="FM34" s="1013"/>
      <c r="FN34" s="1013"/>
      <c r="FO34" s="1013"/>
      <c r="FP34" s="1013"/>
      <c r="FQ34" s="1013"/>
      <c r="FR34" s="1013"/>
      <c r="FS34" s="1013"/>
      <c r="FT34" s="1013"/>
      <c r="FU34" s="1013"/>
      <c r="FV34" s="1013"/>
      <c r="FW34" s="1013"/>
      <c r="FX34" s="1013"/>
      <c r="FY34" s="1013"/>
      <c r="FZ34" s="1013"/>
      <c r="GA34" s="1013"/>
      <c r="GB34" s="1013"/>
      <c r="GC34" s="1013"/>
      <c r="GD34" s="1013"/>
      <c r="GE34" s="1013"/>
      <c r="GF34" s="1013"/>
      <c r="GG34" s="1013"/>
      <c r="GH34" s="1013"/>
      <c r="GI34" s="1013"/>
      <c r="GJ34" s="1013"/>
      <c r="GK34" s="1013"/>
      <c r="GL34" s="1013"/>
      <c r="GM34" s="1013"/>
      <c r="GN34" s="1013"/>
      <c r="GO34" s="1013"/>
      <c r="GP34" s="1013"/>
      <c r="GQ34" s="1013"/>
      <c r="GR34" s="1013"/>
      <c r="GS34" s="1013"/>
      <c r="GT34" s="1013"/>
      <c r="GU34" s="1013"/>
      <c r="GV34" s="1013"/>
      <c r="GW34" s="1013"/>
      <c r="GX34" s="1013"/>
      <c r="GY34" s="1013"/>
      <c r="GZ34" s="1013"/>
      <c r="HA34" s="1013"/>
      <c r="HB34" s="1013"/>
      <c r="HC34" s="1013"/>
      <c r="HD34" s="1013"/>
      <c r="HE34" s="1013"/>
      <c r="HF34" s="1013"/>
      <c r="HG34" s="1013"/>
      <c r="HH34" s="1013"/>
      <c r="HI34" s="1013"/>
      <c r="HJ34" s="1013"/>
      <c r="HK34" s="1013"/>
      <c r="HL34" s="1013"/>
      <c r="HM34" s="1013"/>
      <c r="HN34" s="1013"/>
      <c r="HO34" s="1013"/>
      <c r="HP34" s="1013"/>
      <c r="HQ34" s="1013"/>
      <c r="HR34" s="1013"/>
      <c r="HS34" s="1013"/>
      <c r="HT34" s="1013"/>
      <c r="HU34" s="1013"/>
      <c r="HV34" s="1013"/>
      <c r="HW34" s="1013"/>
      <c r="HX34" s="1013"/>
      <c r="HY34" s="1013"/>
      <c r="HZ34" s="1013"/>
      <c r="IA34" s="1013"/>
      <c r="IB34" s="1013"/>
      <c r="IC34" s="1013"/>
      <c r="ID34" s="1013"/>
      <c r="IE34" s="1013"/>
      <c r="IF34" s="1013"/>
      <c r="IG34" s="1013"/>
      <c r="IH34" s="1013"/>
      <c r="II34" s="1013"/>
      <c r="IJ34" s="1013"/>
      <c r="IK34" s="1013"/>
      <c r="IL34" s="1013"/>
      <c r="IM34" s="1013"/>
      <c r="IN34" s="1013"/>
      <c r="IO34" s="1013"/>
      <c r="IP34" s="1013"/>
      <c r="IQ34" s="1013"/>
      <c r="IR34" s="1013"/>
      <c r="IS34" s="1013"/>
      <c r="IT34" s="1013"/>
      <c r="IU34" s="1013"/>
    </row>
    <row r="35" spans="1:255" s="1031" customFormat="1" ht="21" customHeight="1">
      <c r="A35" s="1032" t="s">
        <v>838</v>
      </c>
      <c r="B35" s="1033" t="s">
        <v>111</v>
      </c>
      <c r="C35" s="1034">
        <v>35</v>
      </c>
      <c r="D35" s="1035">
        <v>0</v>
      </c>
      <c r="E35" s="1036">
        <v>326</v>
      </c>
      <c r="F35" s="1037">
        <v>126</v>
      </c>
      <c r="G35" s="1037">
        <v>0</v>
      </c>
      <c r="H35" s="1037">
        <v>0</v>
      </c>
      <c r="I35" s="1037">
        <v>0</v>
      </c>
      <c r="J35" s="1037">
        <f t="shared" si="2"/>
        <v>200</v>
      </c>
      <c r="K35" s="1039">
        <v>0</v>
      </c>
      <c r="L35" s="1037">
        <f t="shared" si="0"/>
        <v>200</v>
      </c>
      <c r="M35" s="1038">
        <v>200</v>
      </c>
      <c r="N35" s="1029">
        <f t="shared" si="1"/>
        <v>0</v>
      </c>
      <c r="O35" s="1030"/>
      <c r="P35" s="1013"/>
      <c r="Q35" s="1013"/>
      <c r="R35" s="1013"/>
      <c r="S35" s="1013"/>
      <c r="T35" s="1013"/>
      <c r="U35" s="1013"/>
      <c r="V35" s="1013"/>
      <c r="W35" s="1013"/>
      <c r="X35" s="1013"/>
      <c r="Y35" s="1013"/>
      <c r="Z35" s="1013"/>
      <c r="AA35" s="1013"/>
      <c r="AB35" s="1013"/>
      <c r="AC35" s="1013"/>
      <c r="AD35" s="1013"/>
      <c r="AE35" s="1013"/>
      <c r="AF35" s="1013"/>
      <c r="AG35" s="1013"/>
      <c r="AH35" s="1013"/>
      <c r="AI35" s="1013"/>
      <c r="AJ35" s="1013"/>
      <c r="AK35" s="1013"/>
      <c r="AL35" s="1013"/>
      <c r="AM35" s="1013"/>
      <c r="AN35" s="1013"/>
      <c r="AO35" s="1013"/>
      <c r="AP35" s="1013"/>
      <c r="AQ35" s="1013"/>
      <c r="AR35" s="1013"/>
      <c r="AS35" s="1013"/>
      <c r="AT35" s="1013"/>
      <c r="AU35" s="1013"/>
      <c r="AV35" s="1013"/>
      <c r="AW35" s="1013"/>
      <c r="AX35" s="1013"/>
      <c r="AY35" s="1013"/>
      <c r="AZ35" s="1013"/>
      <c r="BA35" s="1013"/>
      <c r="BB35" s="1013"/>
      <c r="BC35" s="1013"/>
      <c r="BD35" s="1013"/>
      <c r="BE35" s="1013"/>
      <c r="BF35" s="1013"/>
      <c r="BG35" s="1013"/>
      <c r="BH35" s="1013"/>
      <c r="BI35" s="1013"/>
      <c r="BJ35" s="1013"/>
      <c r="BK35" s="1013"/>
      <c r="BL35" s="1013"/>
      <c r="BM35" s="1013"/>
      <c r="BN35" s="1013"/>
      <c r="BO35" s="1013"/>
      <c r="BP35" s="1013"/>
      <c r="BQ35" s="1013"/>
      <c r="BR35" s="1013"/>
      <c r="BS35" s="1013"/>
      <c r="BT35" s="1013"/>
      <c r="BU35" s="1013"/>
      <c r="BV35" s="1013"/>
      <c r="BW35" s="1013"/>
      <c r="BX35" s="1013"/>
      <c r="BY35" s="1013"/>
      <c r="BZ35" s="1013"/>
      <c r="CA35" s="1013"/>
      <c r="CB35" s="1013"/>
      <c r="CC35" s="1013"/>
      <c r="CD35" s="1013"/>
      <c r="CE35" s="1013"/>
      <c r="CF35" s="1013"/>
      <c r="CG35" s="1013"/>
      <c r="CH35" s="1013"/>
      <c r="CI35" s="1013"/>
      <c r="CJ35" s="1013"/>
      <c r="CK35" s="1013"/>
      <c r="CL35" s="1013"/>
      <c r="CM35" s="1013"/>
      <c r="CN35" s="1013"/>
      <c r="CO35" s="1013"/>
      <c r="CP35" s="1013"/>
      <c r="CQ35" s="1013"/>
      <c r="CR35" s="1013"/>
      <c r="CS35" s="1013"/>
      <c r="CT35" s="1013"/>
      <c r="CU35" s="1013"/>
      <c r="CV35" s="1013"/>
      <c r="CW35" s="1013"/>
      <c r="CX35" s="1013"/>
      <c r="CY35" s="1013"/>
      <c r="CZ35" s="1013"/>
      <c r="DA35" s="1013"/>
      <c r="DB35" s="1013"/>
      <c r="DC35" s="1013"/>
      <c r="DD35" s="1013"/>
      <c r="DE35" s="1013"/>
      <c r="DF35" s="1013"/>
      <c r="DG35" s="1013"/>
      <c r="DH35" s="1013"/>
      <c r="DI35" s="1013"/>
      <c r="DJ35" s="1013"/>
      <c r="DK35" s="1013"/>
      <c r="DL35" s="1013"/>
      <c r="DM35" s="1013"/>
      <c r="DN35" s="1013"/>
      <c r="DO35" s="1013"/>
      <c r="DP35" s="1013"/>
      <c r="DQ35" s="1013"/>
      <c r="DR35" s="1013"/>
      <c r="DS35" s="1013"/>
      <c r="DT35" s="1013"/>
      <c r="DU35" s="1013"/>
      <c r="DV35" s="1013"/>
      <c r="DW35" s="1013"/>
      <c r="DX35" s="1013"/>
      <c r="DY35" s="1013"/>
      <c r="DZ35" s="1013"/>
      <c r="EA35" s="1013"/>
      <c r="EB35" s="1013"/>
      <c r="EC35" s="1013"/>
      <c r="ED35" s="1013"/>
      <c r="EE35" s="1013"/>
      <c r="EF35" s="1013"/>
      <c r="EG35" s="1013"/>
      <c r="EH35" s="1013"/>
      <c r="EI35" s="1013"/>
      <c r="EJ35" s="1013"/>
      <c r="EK35" s="1013"/>
      <c r="EL35" s="1013"/>
      <c r="EM35" s="1013"/>
      <c r="EN35" s="1013"/>
      <c r="EO35" s="1013"/>
      <c r="EP35" s="1013"/>
      <c r="EQ35" s="1013"/>
      <c r="ER35" s="1013"/>
      <c r="ES35" s="1013"/>
      <c r="ET35" s="1013"/>
      <c r="EU35" s="1013"/>
      <c r="EV35" s="1013"/>
      <c r="EW35" s="1013"/>
      <c r="EX35" s="1013"/>
      <c r="EY35" s="1013"/>
      <c r="EZ35" s="1013"/>
      <c r="FA35" s="1013"/>
      <c r="FB35" s="1013"/>
      <c r="FC35" s="1013"/>
      <c r="FD35" s="1013"/>
      <c r="FE35" s="1013"/>
      <c r="FF35" s="1013"/>
      <c r="FG35" s="1013"/>
      <c r="FH35" s="1013"/>
      <c r="FI35" s="1013"/>
      <c r="FJ35" s="1013"/>
      <c r="FK35" s="1013"/>
      <c r="FL35" s="1013"/>
      <c r="FM35" s="1013"/>
      <c r="FN35" s="1013"/>
      <c r="FO35" s="1013"/>
      <c r="FP35" s="1013"/>
      <c r="FQ35" s="1013"/>
      <c r="FR35" s="1013"/>
      <c r="FS35" s="1013"/>
      <c r="FT35" s="1013"/>
      <c r="FU35" s="1013"/>
      <c r="FV35" s="1013"/>
      <c r="FW35" s="1013"/>
      <c r="FX35" s="1013"/>
      <c r="FY35" s="1013"/>
      <c r="FZ35" s="1013"/>
      <c r="GA35" s="1013"/>
      <c r="GB35" s="1013"/>
      <c r="GC35" s="1013"/>
      <c r="GD35" s="1013"/>
      <c r="GE35" s="1013"/>
      <c r="GF35" s="1013"/>
      <c r="GG35" s="1013"/>
      <c r="GH35" s="1013"/>
      <c r="GI35" s="1013"/>
      <c r="GJ35" s="1013"/>
      <c r="GK35" s="1013"/>
      <c r="GL35" s="1013"/>
      <c r="GM35" s="1013"/>
      <c r="GN35" s="1013"/>
      <c r="GO35" s="1013"/>
      <c r="GP35" s="1013"/>
      <c r="GQ35" s="1013"/>
      <c r="GR35" s="1013"/>
      <c r="GS35" s="1013"/>
      <c r="GT35" s="1013"/>
      <c r="GU35" s="1013"/>
      <c r="GV35" s="1013"/>
      <c r="GW35" s="1013"/>
      <c r="GX35" s="1013"/>
      <c r="GY35" s="1013"/>
      <c r="GZ35" s="1013"/>
      <c r="HA35" s="1013"/>
      <c r="HB35" s="1013"/>
      <c r="HC35" s="1013"/>
      <c r="HD35" s="1013"/>
      <c r="HE35" s="1013"/>
      <c r="HF35" s="1013"/>
      <c r="HG35" s="1013"/>
      <c r="HH35" s="1013"/>
      <c r="HI35" s="1013"/>
      <c r="HJ35" s="1013"/>
      <c r="HK35" s="1013"/>
      <c r="HL35" s="1013"/>
      <c r="HM35" s="1013"/>
      <c r="HN35" s="1013"/>
      <c r="HO35" s="1013"/>
      <c r="HP35" s="1013"/>
      <c r="HQ35" s="1013"/>
      <c r="HR35" s="1013"/>
      <c r="HS35" s="1013"/>
      <c r="HT35" s="1013"/>
      <c r="HU35" s="1013"/>
      <c r="HV35" s="1013"/>
      <c r="HW35" s="1013"/>
      <c r="HX35" s="1013"/>
      <c r="HY35" s="1013"/>
      <c r="HZ35" s="1013"/>
      <c r="IA35" s="1013"/>
      <c r="IB35" s="1013"/>
      <c r="IC35" s="1013"/>
      <c r="ID35" s="1013"/>
      <c r="IE35" s="1013"/>
      <c r="IF35" s="1013"/>
      <c r="IG35" s="1013"/>
      <c r="IH35" s="1013"/>
      <c r="II35" s="1013"/>
      <c r="IJ35" s="1013"/>
      <c r="IK35" s="1013"/>
      <c r="IL35" s="1013"/>
      <c r="IM35" s="1013"/>
      <c r="IN35" s="1013"/>
      <c r="IO35" s="1013"/>
      <c r="IP35" s="1013"/>
      <c r="IQ35" s="1013"/>
      <c r="IR35" s="1013"/>
      <c r="IS35" s="1013"/>
      <c r="IT35" s="1013"/>
      <c r="IU35" s="1013"/>
    </row>
    <row r="36" spans="1:255" s="1031" customFormat="1" ht="21" customHeight="1">
      <c r="A36" s="1032" t="s">
        <v>863</v>
      </c>
      <c r="B36" s="1033" t="s">
        <v>864</v>
      </c>
      <c r="C36" s="1034">
        <v>113</v>
      </c>
      <c r="D36" s="1035">
        <v>770</v>
      </c>
      <c r="E36" s="1036">
        <v>407.46999999997206</v>
      </c>
      <c r="F36" s="1037">
        <v>1473.1599999999162</v>
      </c>
      <c r="G36" s="1037">
        <v>0</v>
      </c>
      <c r="H36" s="1037">
        <v>0</v>
      </c>
      <c r="I36" s="1037">
        <v>0</v>
      </c>
      <c r="J36" s="1037">
        <f t="shared" si="2"/>
        <v>-295.68999999994412</v>
      </c>
      <c r="K36" s="1039">
        <v>0</v>
      </c>
      <c r="L36" s="1037">
        <f t="shared" si="0"/>
        <v>-295.68999999994412</v>
      </c>
      <c r="M36" s="1041">
        <v>-295.69</v>
      </c>
      <c r="N36" s="1029">
        <f t="shared" si="1"/>
        <v>-5.5877080740174279E-11</v>
      </c>
      <c r="O36" s="1030"/>
      <c r="P36" s="1013"/>
      <c r="Q36" s="1013"/>
      <c r="R36" s="1013"/>
      <c r="S36" s="1013"/>
      <c r="T36" s="1013"/>
      <c r="U36" s="1013"/>
      <c r="V36" s="1013"/>
      <c r="W36" s="1013"/>
      <c r="X36" s="1013"/>
      <c r="Y36" s="1013"/>
      <c r="Z36" s="1013"/>
      <c r="AA36" s="1013"/>
      <c r="AB36" s="1013"/>
      <c r="AC36" s="1013"/>
      <c r="AD36" s="1013"/>
      <c r="AE36" s="1013"/>
      <c r="AF36" s="1013"/>
      <c r="AG36" s="1013"/>
      <c r="AH36" s="1013"/>
      <c r="AI36" s="1013"/>
      <c r="AJ36" s="1013"/>
      <c r="AK36" s="1013"/>
      <c r="AL36" s="1013"/>
      <c r="AM36" s="1013"/>
      <c r="AN36" s="1013"/>
      <c r="AO36" s="1013"/>
      <c r="AP36" s="1013"/>
      <c r="AQ36" s="1013"/>
      <c r="AR36" s="1013"/>
      <c r="AS36" s="1013"/>
      <c r="AT36" s="1013"/>
      <c r="AU36" s="1013"/>
      <c r="AV36" s="1013"/>
      <c r="AW36" s="1013"/>
      <c r="AX36" s="1013"/>
      <c r="AY36" s="1013"/>
      <c r="AZ36" s="1013"/>
      <c r="BA36" s="1013"/>
      <c r="BB36" s="1013"/>
      <c r="BC36" s="1013"/>
      <c r="BD36" s="1013"/>
      <c r="BE36" s="1013"/>
      <c r="BF36" s="1013"/>
      <c r="BG36" s="1013"/>
      <c r="BH36" s="1013"/>
      <c r="BI36" s="1013"/>
      <c r="BJ36" s="1013"/>
      <c r="BK36" s="1013"/>
      <c r="BL36" s="1013"/>
      <c r="BM36" s="1013"/>
      <c r="BN36" s="1013"/>
      <c r="BO36" s="1013"/>
      <c r="BP36" s="1013"/>
      <c r="BQ36" s="1013"/>
      <c r="BR36" s="1013"/>
      <c r="BS36" s="1013"/>
      <c r="BT36" s="1013"/>
      <c r="BU36" s="1013"/>
      <c r="BV36" s="1013"/>
      <c r="BW36" s="1013"/>
      <c r="BX36" s="1013"/>
      <c r="BY36" s="1013"/>
      <c r="BZ36" s="1013"/>
      <c r="CA36" s="1013"/>
      <c r="CB36" s="1013"/>
      <c r="CC36" s="1013"/>
      <c r="CD36" s="1013"/>
      <c r="CE36" s="1013"/>
      <c r="CF36" s="1013"/>
      <c r="CG36" s="1013"/>
      <c r="CH36" s="1013"/>
      <c r="CI36" s="1013"/>
      <c r="CJ36" s="1013"/>
      <c r="CK36" s="1013"/>
      <c r="CL36" s="1013"/>
      <c r="CM36" s="1013"/>
      <c r="CN36" s="1013"/>
      <c r="CO36" s="1013"/>
      <c r="CP36" s="1013"/>
      <c r="CQ36" s="1013"/>
      <c r="CR36" s="1013"/>
      <c r="CS36" s="1013"/>
      <c r="CT36" s="1013"/>
      <c r="CU36" s="1013"/>
      <c r="CV36" s="1013"/>
      <c r="CW36" s="1013"/>
      <c r="CX36" s="1013"/>
      <c r="CY36" s="1013"/>
      <c r="CZ36" s="1013"/>
      <c r="DA36" s="1013"/>
      <c r="DB36" s="1013"/>
      <c r="DC36" s="1013"/>
      <c r="DD36" s="1013"/>
      <c r="DE36" s="1013"/>
      <c r="DF36" s="1013"/>
      <c r="DG36" s="1013"/>
      <c r="DH36" s="1013"/>
      <c r="DI36" s="1013"/>
      <c r="DJ36" s="1013"/>
      <c r="DK36" s="1013"/>
      <c r="DL36" s="1013"/>
      <c r="DM36" s="1013"/>
      <c r="DN36" s="1013"/>
      <c r="DO36" s="1013"/>
      <c r="DP36" s="1013"/>
      <c r="DQ36" s="1013"/>
      <c r="DR36" s="1013"/>
      <c r="DS36" s="1013"/>
      <c r="DT36" s="1013"/>
      <c r="DU36" s="1013"/>
      <c r="DV36" s="1013"/>
      <c r="DW36" s="1013"/>
      <c r="DX36" s="1013"/>
      <c r="DY36" s="1013"/>
      <c r="DZ36" s="1013"/>
      <c r="EA36" s="1013"/>
      <c r="EB36" s="1013"/>
      <c r="EC36" s="1013"/>
      <c r="ED36" s="1013"/>
      <c r="EE36" s="1013"/>
      <c r="EF36" s="1013"/>
      <c r="EG36" s="1013"/>
      <c r="EH36" s="1013"/>
      <c r="EI36" s="1013"/>
      <c r="EJ36" s="1013"/>
      <c r="EK36" s="1013"/>
      <c r="EL36" s="1013"/>
      <c r="EM36" s="1013"/>
      <c r="EN36" s="1013"/>
      <c r="EO36" s="1013"/>
      <c r="EP36" s="1013"/>
      <c r="EQ36" s="1013"/>
      <c r="ER36" s="1013"/>
      <c r="ES36" s="1013"/>
      <c r="ET36" s="1013"/>
      <c r="EU36" s="1013"/>
      <c r="EV36" s="1013"/>
      <c r="EW36" s="1013"/>
      <c r="EX36" s="1013"/>
      <c r="EY36" s="1013"/>
      <c r="EZ36" s="1013"/>
      <c r="FA36" s="1013"/>
      <c r="FB36" s="1013"/>
      <c r="FC36" s="1013"/>
      <c r="FD36" s="1013"/>
      <c r="FE36" s="1013"/>
      <c r="FF36" s="1013"/>
      <c r="FG36" s="1013"/>
      <c r="FH36" s="1013"/>
      <c r="FI36" s="1013"/>
      <c r="FJ36" s="1013"/>
      <c r="FK36" s="1013"/>
      <c r="FL36" s="1013"/>
      <c r="FM36" s="1013"/>
      <c r="FN36" s="1013"/>
      <c r="FO36" s="1013"/>
      <c r="FP36" s="1013"/>
      <c r="FQ36" s="1013"/>
      <c r="FR36" s="1013"/>
      <c r="FS36" s="1013"/>
      <c r="FT36" s="1013"/>
      <c r="FU36" s="1013"/>
      <c r="FV36" s="1013"/>
      <c r="FW36" s="1013"/>
      <c r="FX36" s="1013"/>
      <c r="FY36" s="1013"/>
      <c r="FZ36" s="1013"/>
      <c r="GA36" s="1013"/>
      <c r="GB36" s="1013"/>
      <c r="GC36" s="1013"/>
      <c r="GD36" s="1013"/>
      <c r="GE36" s="1013"/>
      <c r="GF36" s="1013"/>
      <c r="GG36" s="1013"/>
      <c r="GH36" s="1013"/>
      <c r="GI36" s="1013"/>
      <c r="GJ36" s="1013"/>
      <c r="GK36" s="1013"/>
      <c r="GL36" s="1013"/>
      <c r="GM36" s="1013"/>
      <c r="GN36" s="1013"/>
      <c r="GO36" s="1013"/>
      <c r="GP36" s="1013"/>
      <c r="GQ36" s="1013"/>
      <c r="GR36" s="1013"/>
      <c r="GS36" s="1013"/>
      <c r="GT36" s="1013"/>
      <c r="GU36" s="1013"/>
      <c r="GV36" s="1013"/>
      <c r="GW36" s="1013"/>
      <c r="GX36" s="1013"/>
      <c r="GY36" s="1013"/>
      <c r="GZ36" s="1013"/>
      <c r="HA36" s="1013"/>
      <c r="HB36" s="1013"/>
      <c r="HC36" s="1013"/>
      <c r="HD36" s="1013"/>
      <c r="HE36" s="1013"/>
      <c r="HF36" s="1013"/>
      <c r="HG36" s="1013"/>
      <c r="HH36" s="1013"/>
      <c r="HI36" s="1013"/>
      <c r="HJ36" s="1013"/>
      <c r="HK36" s="1013"/>
      <c r="HL36" s="1013"/>
      <c r="HM36" s="1013"/>
      <c r="HN36" s="1013"/>
      <c r="HO36" s="1013"/>
      <c r="HP36" s="1013"/>
      <c r="HQ36" s="1013"/>
      <c r="HR36" s="1013"/>
      <c r="HS36" s="1013"/>
      <c r="HT36" s="1013"/>
      <c r="HU36" s="1013"/>
      <c r="HV36" s="1013"/>
      <c r="HW36" s="1013"/>
      <c r="HX36" s="1013"/>
      <c r="HY36" s="1013"/>
      <c r="HZ36" s="1013"/>
      <c r="IA36" s="1013"/>
      <c r="IB36" s="1013"/>
      <c r="IC36" s="1013"/>
      <c r="ID36" s="1013"/>
      <c r="IE36" s="1013"/>
      <c r="IF36" s="1013"/>
      <c r="IG36" s="1013"/>
      <c r="IH36" s="1013"/>
      <c r="II36" s="1013"/>
      <c r="IJ36" s="1013"/>
      <c r="IK36" s="1013"/>
      <c r="IL36" s="1013"/>
      <c r="IM36" s="1013"/>
      <c r="IN36" s="1013"/>
      <c r="IO36" s="1013"/>
      <c r="IP36" s="1013"/>
      <c r="IQ36" s="1013"/>
      <c r="IR36" s="1013"/>
      <c r="IS36" s="1013"/>
      <c r="IT36" s="1013"/>
      <c r="IU36" s="1013"/>
    </row>
    <row r="37" spans="1:255" s="1031" customFormat="1" ht="21" customHeight="1">
      <c r="A37" s="1032" t="s">
        <v>460</v>
      </c>
      <c r="B37" s="1033" t="s">
        <v>111</v>
      </c>
      <c r="C37" s="1034">
        <v>26</v>
      </c>
      <c r="D37" s="1035">
        <v>0</v>
      </c>
      <c r="E37" s="1036">
        <v>0</v>
      </c>
      <c r="F37" s="1037">
        <v>0</v>
      </c>
      <c r="G37" s="1037">
        <v>0</v>
      </c>
      <c r="H37" s="1037">
        <v>0</v>
      </c>
      <c r="I37" s="1037">
        <v>0</v>
      </c>
      <c r="J37" s="1037">
        <f t="shared" si="2"/>
        <v>0</v>
      </c>
      <c r="K37" s="1039">
        <v>0</v>
      </c>
      <c r="L37" s="1037">
        <f t="shared" si="0"/>
        <v>0</v>
      </c>
      <c r="M37" s="1038">
        <v>0</v>
      </c>
      <c r="N37" s="1029">
        <f t="shared" si="1"/>
        <v>0</v>
      </c>
      <c r="O37" s="1030"/>
      <c r="P37" s="1013"/>
      <c r="Q37" s="1013"/>
      <c r="R37" s="1013"/>
      <c r="S37" s="1013"/>
      <c r="T37" s="1013"/>
      <c r="U37" s="1013"/>
      <c r="V37" s="1013"/>
      <c r="W37" s="1013"/>
      <c r="X37" s="1013"/>
      <c r="Y37" s="1013"/>
      <c r="Z37" s="1013"/>
      <c r="AA37" s="1013"/>
      <c r="AB37" s="1013"/>
      <c r="AC37" s="1013"/>
      <c r="AD37" s="1013"/>
      <c r="AE37" s="1013"/>
      <c r="AF37" s="1013"/>
      <c r="AG37" s="1013"/>
      <c r="AH37" s="1013"/>
      <c r="AI37" s="1013"/>
      <c r="AJ37" s="1013"/>
      <c r="AK37" s="1013"/>
      <c r="AL37" s="1013"/>
      <c r="AM37" s="1013"/>
      <c r="AN37" s="1013"/>
      <c r="AO37" s="1013"/>
      <c r="AP37" s="1013"/>
      <c r="AQ37" s="1013"/>
      <c r="AR37" s="1013"/>
      <c r="AS37" s="1013"/>
      <c r="AT37" s="1013"/>
      <c r="AU37" s="1013"/>
      <c r="AV37" s="1013"/>
      <c r="AW37" s="1013"/>
      <c r="AX37" s="1013"/>
      <c r="AY37" s="1013"/>
      <c r="AZ37" s="1013"/>
      <c r="BA37" s="1013"/>
      <c r="BB37" s="1013"/>
      <c r="BC37" s="1013"/>
      <c r="BD37" s="1013"/>
      <c r="BE37" s="1013"/>
      <c r="BF37" s="1013"/>
      <c r="BG37" s="1013"/>
      <c r="BH37" s="1013"/>
      <c r="BI37" s="1013"/>
      <c r="BJ37" s="1013"/>
      <c r="BK37" s="1013"/>
      <c r="BL37" s="1013"/>
      <c r="BM37" s="1013"/>
      <c r="BN37" s="1013"/>
      <c r="BO37" s="1013"/>
      <c r="BP37" s="1013"/>
      <c r="BQ37" s="1013"/>
      <c r="BR37" s="1013"/>
      <c r="BS37" s="1013"/>
      <c r="BT37" s="1013"/>
      <c r="BU37" s="1013"/>
      <c r="BV37" s="1013"/>
      <c r="BW37" s="1013"/>
      <c r="BX37" s="1013"/>
      <c r="BY37" s="1013"/>
      <c r="BZ37" s="1013"/>
      <c r="CA37" s="1013"/>
      <c r="CB37" s="1013"/>
      <c r="CC37" s="1013"/>
      <c r="CD37" s="1013"/>
      <c r="CE37" s="1013"/>
      <c r="CF37" s="1013"/>
      <c r="CG37" s="1013"/>
      <c r="CH37" s="1013"/>
      <c r="CI37" s="1013"/>
      <c r="CJ37" s="1013"/>
      <c r="CK37" s="1013"/>
      <c r="CL37" s="1013"/>
      <c r="CM37" s="1013"/>
      <c r="CN37" s="1013"/>
      <c r="CO37" s="1013"/>
      <c r="CP37" s="1013"/>
      <c r="CQ37" s="1013"/>
      <c r="CR37" s="1013"/>
      <c r="CS37" s="1013"/>
      <c r="CT37" s="1013"/>
      <c r="CU37" s="1013"/>
      <c r="CV37" s="1013"/>
      <c r="CW37" s="1013"/>
      <c r="CX37" s="1013"/>
      <c r="CY37" s="1013"/>
      <c r="CZ37" s="1013"/>
      <c r="DA37" s="1013"/>
      <c r="DB37" s="1013"/>
      <c r="DC37" s="1013"/>
      <c r="DD37" s="1013"/>
      <c r="DE37" s="1013"/>
      <c r="DF37" s="1013"/>
      <c r="DG37" s="1013"/>
      <c r="DH37" s="1013"/>
      <c r="DI37" s="1013"/>
      <c r="DJ37" s="1013"/>
      <c r="DK37" s="1013"/>
      <c r="DL37" s="1013"/>
      <c r="DM37" s="1013"/>
      <c r="DN37" s="1013"/>
      <c r="DO37" s="1013"/>
      <c r="DP37" s="1013"/>
      <c r="DQ37" s="1013"/>
      <c r="DR37" s="1013"/>
      <c r="DS37" s="1013"/>
      <c r="DT37" s="1013"/>
      <c r="DU37" s="1013"/>
      <c r="DV37" s="1013"/>
      <c r="DW37" s="1013"/>
      <c r="DX37" s="1013"/>
      <c r="DY37" s="1013"/>
      <c r="DZ37" s="1013"/>
      <c r="EA37" s="1013"/>
      <c r="EB37" s="1013"/>
      <c r="EC37" s="1013"/>
      <c r="ED37" s="1013"/>
      <c r="EE37" s="1013"/>
      <c r="EF37" s="1013"/>
      <c r="EG37" s="1013"/>
      <c r="EH37" s="1013"/>
      <c r="EI37" s="1013"/>
      <c r="EJ37" s="1013"/>
      <c r="EK37" s="1013"/>
      <c r="EL37" s="1013"/>
      <c r="EM37" s="1013"/>
      <c r="EN37" s="1013"/>
      <c r="EO37" s="1013"/>
      <c r="EP37" s="1013"/>
      <c r="EQ37" s="1013"/>
      <c r="ER37" s="1013"/>
      <c r="ES37" s="1013"/>
      <c r="ET37" s="1013"/>
      <c r="EU37" s="1013"/>
      <c r="EV37" s="1013"/>
      <c r="EW37" s="1013"/>
      <c r="EX37" s="1013"/>
      <c r="EY37" s="1013"/>
      <c r="EZ37" s="1013"/>
      <c r="FA37" s="1013"/>
      <c r="FB37" s="1013"/>
      <c r="FC37" s="1013"/>
      <c r="FD37" s="1013"/>
      <c r="FE37" s="1013"/>
      <c r="FF37" s="1013"/>
      <c r="FG37" s="1013"/>
      <c r="FH37" s="1013"/>
      <c r="FI37" s="1013"/>
      <c r="FJ37" s="1013"/>
      <c r="FK37" s="1013"/>
      <c r="FL37" s="1013"/>
      <c r="FM37" s="1013"/>
      <c r="FN37" s="1013"/>
      <c r="FO37" s="1013"/>
      <c r="FP37" s="1013"/>
      <c r="FQ37" s="1013"/>
      <c r="FR37" s="1013"/>
      <c r="FS37" s="1013"/>
      <c r="FT37" s="1013"/>
      <c r="FU37" s="1013"/>
      <c r="FV37" s="1013"/>
      <c r="FW37" s="1013"/>
      <c r="FX37" s="1013"/>
      <c r="FY37" s="1013"/>
      <c r="FZ37" s="1013"/>
      <c r="GA37" s="1013"/>
      <c r="GB37" s="1013"/>
      <c r="GC37" s="1013"/>
      <c r="GD37" s="1013"/>
      <c r="GE37" s="1013"/>
      <c r="GF37" s="1013"/>
      <c r="GG37" s="1013"/>
      <c r="GH37" s="1013"/>
      <c r="GI37" s="1013"/>
      <c r="GJ37" s="1013"/>
      <c r="GK37" s="1013"/>
      <c r="GL37" s="1013"/>
      <c r="GM37" s="1013"/>
      <c r="GN37" s="1013"/>
      <c r="GO37" s="1013"/>
      <c r="GP37" s="1013"/>
      <c r="GQ37" s="1013"/>
      <c r="GR37" s="1013"/>
      <c r="GS37" s="1013"/>
      <c r="GT37" s="1013"/>
      <c r="GU37" s="1013"/>
      <c r="GV37" s="1013"/>
      <c r="GW37" s="1013"/>
      <c r="GX37" s="1013"/>
      <c r="GY37" s="1013"/>
      <c r="GZ37" s="1013"/>
      <c r="HA37" s="1013"/>
      <c r="HB37" s="1013"/>
      <c r="HC37" s="1013"/>
      <c r="HD37" s="1013"/>
      <c r="HE37" s="1013"/>
      <c r="HF37" s="1013"/>
      <c r="HG37" s="1013"/>
      <c r="HH37" s="1013"/>
      <c r="HI37" s="1013"/>
      <c r="HJ37" s="1013"/>
      <c r="HK37" s="1013"/>
      <c r="HL37" s="1013"/>
      <c r="HM37" s="1013"/>
      <c r="HN37" s="1013"/>
      <c r="HO37" s="1013"/>
      <c r="HP37" s="1013"/>
      <c r="HQ37" s="1013"/>
      <c r="HR37" s="1013"/>
      <c r="HS37" s="1013"/>
      <c r="HT37" s="1013"/>
      <c r="HU37" s="1013"/>
      <c r="HV37" s="1013"/>
      <c r="HW37" s="1013"/>
      <c r="HX37" s="1013"/>
      <c r="HY37" s="1013"/>
      <c r="HZ37" s="1013"/>
      <c r="IA37" s="1013"/>
      <c r="IB37" s="1013"/>
      <c r="IC37" s="1013"/>
      <c r="ID37" s="1013"/>
      <c r="IE37" s="1013"/>
      <c r="IF37" s="1013"/>
      <c r="IG37" s="1013"/>
      <c r="IH37" s="1013"/>
      <c r="II37" s="1013"/>
      <c r="IJ37" s="1013"/>
      <c r="IK37" s="1013"/>
      <c r="IL37" s="1013"/>
      <c r="IM37" s="1013"/>
      <c r="IN37" s="1013"/>
      <c r="IO37" s="1013"/>
      <c r="IP37" s="1013"/>
      <c r="IQ37" s="1013"/>
      <c r="IR37" s="1013"/>
      <c r="IS37" s="1013"/>
      <c r="IT37" s="1013"/>
      <c r="IU37" s="1013"/>
    </row>
    <row r="38" spans="1:255" s="1031" customFormat="1" ht="21" customHeight="1">
      <c r="A38" s="1032" t="s">
        <v>605</v>
      </c>
      <c r="B38" s="1033" t="s">
        <v>111</v>
      </c>
      <c r="C38" s="1034">
        <v>27</v>
      </c>
      <c r="D38" s="1035">
        <v>140</v>
      </c>
      <c r="E38" s="1036">
        <v>49.77</v>
      </c>
      <c r="F38" s="1037">
        <v>322.34000000000003</v>
      </c>
      <c r="G38" s="1037">
        <v>0</v>
      </c>
      <c r="H38" s="1037">
        <v>0</v>
      </c>
      <c r="I38" s="1037">
        <v>0</v>
      </c>
      <c r="J38" s="1037">
        <f t="shared" si="2"/>
        <v>-132.57000000000002</v>
      </c>
      <c r="K38" s="1037">
        <v>0</v>
      </c>
      <c r="L38" s="1037">
        <f t="shared" si="0"/>
        <v>-132.57000000000002</v>
      </c>
      <c r="M38" s="1041">
        <v>-132.57</v>
      </c>
      <c r="N38" s="1029">
        <f t="shared" si="1"/>
        <v>0</v>
      </c>
      <c r="O38" s="1030"/>
      <c r="P38" s="1013"/>
      <c r="Q38" s="1013"/>
      <c r="R38" s="1013"/>
      <c r="S38" s="1013"/>
      <c r="T38" s="1013"/>
      <c r="U38" s="1013"/>
      <c r="V38" s="1013"/>
      <c r="W38" s="1013"/>
      <c r="X38" s="1013"/>
      <c r="Y38" s="1013"/>
      <c r="Z38" s="1013"/>
      <c r="AA38" s="1013"/>
      <c r="AB38" s="1013"/>
      <c r="AC38" s="1013"/>
      <c r="AD38" s="1013"/>
      <c r="AE38" s="1013"/>
      <c r="AF38" s="1013"/>
      <c r="AG38" s="1013"/>
      <c r="AH38" s="1013"/>
      <c r="AI38" s="1013"/>
      <c r="AJ38" s="1013"/>
      <c r="AK38" s="1013"/>
      <c r="AL38" s="1013"/>
      <c r="AM38" s="1013"/>
      <c r="AN38" s="1013"/>
      <c r="AO38" s="1013"/>
      <c r="AP38" s="1013"/>
      <c r="AQ38" s="1013"/>
      <c r="AR38" s="1013"/>
      <c r="AS38" s="1013"/>
      <c r="AT38" s="1013"/>
      <c r="AU38" s="1013"/>
      <c r="AV38" s="1013"/>
      <c r="AW38" s="1013"/>
      <c r="AX38" s="1013"/>
      <c r="AY38" s="1013"/>
      <c r="AZ38" s="1013"/>
      <c r="BA38" s="1013"/>
      <c r="BB38" s="1013"/>
      <c r="BC38" s="1013"/>
      <c r="BD38" s="1013"/>
      <c r="BE38" s="1013"/>
      <c r="BF38" s="1013"/>
      <c r="BG38" s="1013"/>
      <c r="BH38" s="1013"/>
      <c r="BI38" s="1013"/>
      <c r="BJ38" s="1013"/>
      <c r="BK38" s="1013"/>
      <c r="BL38" s="1013"/>
      <c r="BM38" s="1013"/>
      <c r="BN38" s="1013"/>
      <c r="BO38" s="1013"/>
      <c r="BP38" s="1013"/>
      <c r="BQ38" s="1013"/>
      <c r="BR38" s="1013"/>
      <c r="BS38" s="1013"/>
      <c r="BT38" s="1013"/>
      <c r="BU38" s="1013"/>
      <c r="BV38" s="1013"/>
      <c r="BW38" s="1013"/>
      <c r="BX38" s="1013"/>
      <c r="BY38" s="1013"/>
      <c r="BZ38" s="1013"/>
      <c r="CA38" s="1013"/>
      <c r="CB38" s="1013"/>
      <c r="CC38" s="1013"/>
      <c r="CD38" s="1013"/>
      <c r="CE38" s="1013"/>
      <c r="CF38" s="1013"/>
      <c r="CG38" s="1013"/>
      <c r="CH38" s="1013"/>
      <c r="CI38" s="1013"/>
      <c r="CJ38" s="1013"/>
      <c r="CK38" s="1013"/>
      <c r="CL38" s="1013"/>
      <c r="CM38" s="1013"/>
      <c r="CN38" s="1013"/>
      <c r="CO38" s="1013"/>
      <c r="CP38" s="1013"/>
      <c r="CQ38" s="1013"/>
      <c r="CR38" s="1013"/>
      <c r="CS38" s="1013"/>
      <c r="CT38" s="1013"/>
      <c r="CU38" s="1013"/>
      <c r="CV38" s="1013"/>
      <c r="CW38" s="1013"/>
      <c r="CX38" s="1013"/>
      <c r="CY38" s="1013"/>
      <c r="CZ38" s="1013"/>
      <c r="DA38" s="1013"/>
      <c r="DB38" s="1013"/>
      <c r="DC38" s="1013"/>
      <c r="DD38" s="1013"/>
      <c r="DE38" s="1013"/>
      <c r="DF38" s="1013"/>
      <c r="DG38" s="1013"/>
      <c r="DH38" s="1013"/>
      <c r="DI38" s="1013"/>
      <c r="DJ38" s="1013"/>
      <c r="DK38" s="1013"/>
      <c r="DL38" s="1013"/>
      <c r="DM38" s="1013"/>
      <c r="DN38" s="1013"/>
      <c r="DO38" s="1013"/>
      <c r="DP38" s="1013"/>
      <c r="DQ38" s="1013"/>
      <c r="DR38" s="1013"/>
      <c r="DS38" s="1013"/>
      <c r="DT38" s="1013"/>
      <c r="DU38" s="1013"/>
      <c r="DV38" s="1013"/>
      <c r="DW38" s="1013"/>
      <c r="DX38" s="1013"/>
      <c r="DY38" s="1013"/>
      <c r="DZ38" s="1013"/>
      <c r="EA38" s="1013"/>
      <c r="EB38" s="1013"/>
      <c r="EC38" s="1013"/>
      <c r="ED38" s="1013"/>
      <c r="EE38" s="1013"/>
      <c r="EF38" s="1013"/>
      <c r="EG38" s="1013"/>
      <c r="EH38" s="1013"/>
      <c r="EI38" s="1013"/>
      <c r="EJ38" s="1013"/>
      <c r="EK38" s="1013"/>
      <c r="EL38" s="1013"/>
      <c r="EM38" s="1013"/>
      <c r="EN38" s="1013"/>
      <c r="EO38" s="1013"/>
      <c r="EP38" s="1013"/>
      <c r="EQ38" s="1013"/>
      <c r="ER38" s="1013"/>
      <c r="ES38" s="1013"/>
      <c r="ET38" s="1013"/>
      <c r="EU38" s="1013"/>
      <c r="EV38" s="1013"/>
      <c r="EW38" s="1013"/>
      <c r="EX38" s="1013"/>
      <c r="EY38" s="1013"/>
      <c r="EZ38" s="1013"/>
      <c r="FA38" s="1013"/>
      <c r="FB38" s="1013"/>
      <c r="FC38" s="1013"/>
      <c r="FD38" s="1013"/>
      <c r="FE38" s="1013"/>
      <c r="FF38" s="1013"/>
      <c r="FG38" s="1013"/>
      <c r="FH38" s="1013"/>
      <c r="FI38" s="1013"/>
      <c r="FJ38" s="1013"/>
      <c r="FK38" s="1013"/>
      <c r="FL38" s="1013"/>
      <c r="FM38" s="1013"/>
      <c r="FN38" s="1013"/>
      <c r="FO38" s="1013"/>
      <c r="FP38" s="1013"/>
      <c r="FQ38" s="1013"/>
      <c r="FR38" s="1013"/>
      <c r="FS38" s="1013"/>
      <c r="FT38" s="1013"/>
      <c r="FU38" s="1013"/>
      <c r="FV38" s="1013"/>
      <c r="FW38" s="1013"/>
      <c r="FX38" s="1013"/>
      <c r="FY38" s="1013"/>
      <c r="FZ38" s="1013"/>
      <c r="GA38" s="1013"/>
      <c r="GB38" s="1013"/>
      <c r="GC38" s="1013"/>
      <c r="GD38" s="1013"/>
      <c r="GE38" s="1013"/>
      <c r="GF38" s="1013"/>
      <c r="GG38" s="1013"/>
      <c r="GH38" s="1013"/>
      <c r="GI38" s="1013"/>
      <c r="GJ38" s="1013"/>
      <c r="GK38" s="1013"/>
      <c r="GL38" s="1013"/>
      <c r="GM38" s="1013"/>
      <c r="GN38" s="1013"/>
      <c r="GO38" s="1013"/>
      <c r="GP38" s="1013"/>
      <c r="GQ38" s="1013"/>
      <c r="GR38" s="1013"/>
      <c r="GS38" s="1013"/>
      <c r="GT38" s="1013"/>
      <c r="GU38" s="1013"/>
      <c r="GV38" s="1013"/>
      <c r="GW38" s="1013"/>
      <c r="GX38" s="1013"/>
      <c r="GY38" s="1013"/>
      <c r="GZ38" s="1013"/>
      <c r="HA38" s="1013"/>
      <c r="HB38" s="1013"/>
      <c r="HC38" s="1013"/>
      <c r="HD38" s="1013"/>
      <c r="HE38" s="1013"/>
      <c r="HF38" s="1013"/>
      <c r="HG38" s="1013"/>
      <c r="HH38" s="1013"/>
      <c r="HI38" s="1013"/>
      <c r="HJ38" s="1013"/>
      <c r="HK38" s="1013"/>
      <c r="HL38" s="1013"/>
      <c r="HM38" s="1013"/>
      <c r="HN38" s="1013"/>
      <c r="HO38" s="1013"/>
      <c r="HP38" s="1013"/>
      <c r="HQ38" s="1013"/>
      <c r="HR38" s="1013"/>
      <c r="HS38" s="1013"/>
      <c r="HT38" s="1013"/>
      <c r="HU38" s="1013"/>
      <c r="HV38" s="1013"/>
      <c r="HW38" s="1013"/>
      <c r="HX38" s="1013"/>
      <c r="HY38" s="1013"/>
      <c r="HZ38" s="1013"/>
      <c r="IA38" s="1013"/>
      <c r="IB38" s="1013"/>
      <c r="IC38" s="1013"/>
      <c r="ID38" s="1013"/>
      <c r="IE38" s="1013"/>
      <c r="IF38" s="1013"/>
      <c r="IG38" s="1013"/>
      <c r="IH38" s="1013"/>
      <c r="II38" s="1013"/>
      <c r="IJ38" s="1013"/>
      <c r="IK38" s="1013"/>
      <c r="IL38" s="1013"/>
      <c r="IM38" s="1013"/>
      <c r="IN38" s="1013"/>
      <c r="IO38" s="1013"/>
      <c r="IP38" s="1013"/>
      <c r="IQ38" s="1013"/>
      <c r="IR38" s="1013"/>
      <c r="IS38" s="1013"/>
      <c r="IT38" s="1013"/>
      <c r="IU38" s="1013"/>
    </row>
    <row r="39" spans="1:255" s="1031" customFormat="1" ht="21" customHeight="1">
      <c r="A39" s="1032" t="s">
        <v>223</v>
      </c>
      <c r="B39" s="1033" t="s">
        <v>111</v>
      </c>
      <c r="C39" s="1034">
        <v>15</v>
      </c>
      <c r="D39" s="1035">
        <v>10</v>
      </c>
      <c r="E39" s="1036">
        <v>0</v>
      </c>
      <c r="F39" s="1037">
        <v>10</v>
      </c>
      <c r="G39" s="1037">
        <v>0</v>
      </c>
      <c r="H39" s="1037">
        <v>0</v>
      </c>
      <c r="I39" s="1037">
        <v>0</v>
      </c>
      <c r="J39" s="1037">
        <f t="shared" si="2"/>
        <v>0</v>
      </c>
      <c r="K39" s="1046">
        <v>0</v>
      </c>
      <c r="L39" s="1037">
        <f t="shared" si="0"/>
        <v>0</v>
      </c>
      <c r="M39" s="1038"/>
      <c r="N39" s="1029">
        <f t="shared" si="1"/>
        <v>0</v>
      </c>
      <c r="O39" s="1030"/>
      <c r="P39" s="1013"/>
      <c r="Q39" s="1013"/>
      <c r="R39" s="1013"/>
      <c r="S39" s="1013"/>
      <c r="T39" s="1013"/>
      <c r="U39" s="1013"/>
      <c r="V39" s="1013"/>
      <c r="W39" s="1013"/>
      <c r="X39" s="1013"/>
      <c r="Y39" s="1013"/>
      <c r="Z39" s="1013"/>
      <c r="AA39" s="1013"/>
      <c r="AB39" s="1013"/>
      <c r="AC39" s="1013"/>
      <c r="AD39" s="1013"/>
      <c r="AE39" s="1013"/>
      <c r="AF39" s="1013"/>
      <c r="AG39" s="1013"/>
      <c r="AH39" s="1013"/>
      <c r="AI39" s="1013"/>
      <c r="AJ39" s="1013"/>
      <c r="AK39" s="1013"/>
      <c r="AL39" s="1013"/>
      <c r="AM39" s="1013"/>
      <c r="AN39" s="1013"/>
      <c r="AO39" s="1013"/>
      <c r="AP39" s="1013"/>
      <c r="AQ39" s="1013"/>
      <c r="AR39" s="1013"/>
      <c r="AS39" s="1013"/>
      <c r="AT39" s="1013"/>
      <c r="AU39" s="1013"/>
      <c r="AV39" s="1013"/>
      <c r="AW39" s="1013"/>
      <c r="AX39" s="1013"/>
      <c r="AY39" s="1013"/>
      <c r="AZ39" s="1013"/>
      <c r="BA39" s="1013"/>
      <c r="BB39" s="1013"/>
      <c r="BC39" s="1013"/>
      <c r="BD39" s="1013"/>
      <c r="BE39" s="1013"/>
      <c r="BF39" s="1013"/>
      <c r="BG39" s="1013"/>
      <c r="BH39" s="1013"/>
      <c r="BI39" s="1013"/>
      <c r="BJ39" s="1013"/>
      <c r="BK39" s="1013"/>
      <c r="BL39" s="1013"/>
      <c r="BM39" s="1013"/>
      <c r="BN39" s="1013"/>
      <c r="BO39" s="1013"/>
      <c r="BP39" s="1013"/>
      <c r="BQ39" s="1013"/>
      <c r="BR39" s="1013"/>
      <c r="BS39" s="1013"/>
      <c r="BT39" s="1013"/>
      <c r="BU39" s="1013"/>
      <c r="BV39" s="1013"/>
      <c r="BW39" s="1013"/>
      <c r="BX39" s="1013"/>
      <c r="BY39" s="1013"/>
      <c r="BZ39" s="1013"/>
      <c r="CA39" s="1013"/>
      <c r="CB39" s="1013"/>
      <c r="CC39" s="1013"/>
      <c r="CD39" s="1013"/>
      <c r="CE39" s="1013"/>
      <c r="CF39" s="1013"/>
      <c r="CG39" s="1013"/>
      <c r="CH39" s="1013"/>
      <c r="CI39" s="1013"/>
      <c r="CJ39" s="1013"/>
      <c r="CK39" s="1013"/>
      <c r="CL39" s="1013"/>
      <c r="CM39" s="1013"/>
      <c r="CN39" s="1013"/>
      <c r="CO39" s="1013"/>
      <c r="CP39" s="1013"/>
      <c r="CQ39" s="1013"/>
      <c r="CR39" s="1013"/>
      <c r="CS39" s="1013"/>
      <c r="CT39" s="1013"/>
      <c r="CU39" s="1013"/>
      <c r="CV39" s="1013"/>
      <c r="CW39" s="1013"/>
      <c r="CX39" s="1013"/>
      <c r="CY39" s="1013"/>
      <c r="CZ39" s="1013"/>
      <c r="DA39" s="1013"/>
      <c r="DB39" s="1013"/>
      <c r="DC39" s="1013"/>
      <c r="DD39" s="1013"/>
      <c r="DE39" s="1013"/>
      <c r="DF39" s="1013"/>
      <c r="DG39" s="1013"/>
      <c r="DH39" s="1013"/>
      <c r="DI39" s="1013"/>
      <c r="DJ39" s="1013"/>
      <c r="DK39" s="1013"/>
      <c r="DL39" s="1013"/>
      <c r="DM39" s="1013"/>
      <c r="DN39" s="1013"/>
      <c r="DO39" s="1013"/>
      <c r="DP39" s="1013"/>
      <c r="DQ39" s="1013"/>
      <c r="DR39" s="1013"/>
      <c r="DS39" s="1013"/>
      <c r="DT39" s="1013"/>
      <c r="DU39" s="1013"/>
      <c r="DV39" s="1013"/>
      <c r="DW39" s="1013"/>
      <c r="DX39" s="1013"/>
      <c r="DY39" s="1013"/>
      <c r="DZ39" s="1013"/>
      <c r="EA39" s="1013"/>
      <c r="EB39" s="1013"/>
      <c r="EC39" s="1013"/>
      <c r="ED39" s="1013"/>
      <c r="EE39" s="1013"/>
      <c r="EF39" s="1013"/>
      <c r="EG39" s="1013"/>
      <c r="EH39" s="1013"/>
      <c r="EI39" s="1013"/>
      <c r="EJ39" s="1013"/>
      <c r="EK39" s="1013"/>
      <c r="EL39" s="1013"/>
      <c r="EM39" s="1013"/>
      <c r="EN39" s="1013"/>
      <c r="EO39" s="1013"/>
      <c r="EP39" s="1013"/>
      <c r="EQ39" s="1013"/>
      <c r="ER39" s="1013"/>
      <c r="ES39" s="1013"/>
      <c r="ET39" s="1013"/>
      <c r="EU39" s="1013"/>
      <c r="EV39" s="1013"/>
      <c r="EW39" s="1013"/>
      <c r="EX39" s="1013"/>
      <c r="EY39" s="1013"/>
      <c r="EZ39" s="1013"/>
      <c r="FA39" s="1013"/>
      <c r="FB39" s="1013"/>
      <c r="FC39" s="1013"/>
      <c r="FD39" s="1013"/>
      <c r="FE39" s="1013"/>
      <c r="FF39" s="1013"/>
      <c r="FG39" s="1013"/>
      <c r="FH39" s="1013"/>
      <c r="FI39" s="1013"/>
      <c r="FJ39" s="1013"/>
      <c r="FK39" s="1013"/>
      <c r="FL39" s="1013"/>
      <c r="FM39" s="1013"/>
      <c r="FN39" s="1013"/>
      <c r="FO39" s="1013"/>
      <c r="FP39" s="1013"/>
      <c r="FQ39" s="1013"/>
      <c r="FR39" s="1013"/>
      <c r="FS39" s="1013"/>
      <c r="FT39" s="1013"/>
      <c r="FU39" s="1013"/>
      <c r="FV39" s="1013"/>
      <c r="FW39" s="1013"/>
      <c r="FX39" s="1013"/>
      <c r="FY39" s="1013"/>
      <c r="FZ39" s="1013"/>
      <c r="GA39" s="1013"/>
      <c r="GB39" s="1013"/>
      <c r="GC39" s="1013"/>
      <c r="GD39" s="1013"/>
      <c r="GE39" s="1013"/>
      <c r="GF39" s="1013"/>
      <c r="GG39" s="1013"/>
      <c r="GH39" s="1013"/>
      <c r="GI39" s="1013"/>
      <c r="GJ39" s="1013"/>
      <c r="GK39" s="1013"/>
      <c r="GL39" s="1013"/>
      <c r="GM39" s="1013"/>
      <c r="GN39" s="1013"/>
      <c r="GO39" s="1013"/>
      <c r="GP39" s="1013"/>
      <c r="GQ39" s="1013"/>
      <c r="GR39" s="1013"/>
      <c r="GS39" s="1013"/>
      <c r="GT39" s="1013"/>
      <c r="GU39" s="1013"/>
      <c r="GV39" s="1013"/>
      <c r="GW39" s="1013"/>
      <c r="GX39" s="1013"/>
      <c r="GY39" s="1013"/>
      <c r="GZ39" s="1013"/>
      <c r="HA39" s="1013"/>
      <c r="HB39" s="1013"/>
      <c r="HC39" s="1013"/>
      <c r="HD39" s="1013"/>
      <c r="HE39" s="1013"/>
      <c r="HF39" s="1013"/>
      <c r="HG39" s="1013"/>
      <c r="HH39" s="1013"/>
      <c r="HI39" s="1013"/>
      <c r="HJ39" s="1013"/>
      <c r="HK39" s="1013"/>
      <c r="HL39" s="1013"/>
      <c r="HM39" s="1013"/>
      <c r="HN39" s="1013"/>
      <c r="HO39" s="1013"/>
      <c r="HP39" s="1013"/>
      <c r="HQ39" s="1013"/>
      <c r="HR39" s="1013"/>
      <c r="HS39" s="1013"/>
      <c r="HT39" s="1013"/>
      <c r="HU39" s="1013"/>
      <c r="HV39" s="1013"/>
      <c r="HW39" s="1013"/>
      <c r="HX39" s="1013"/>
      <c r="HY39" s="1013"/>
      <c r="HZ39" s="1013"/>
      <c r="IA39" s="1013"/>
      <c r="IB39" s="1013"/>
      <c r="IC39" s="1013"/>
      <c r="ID39" s="1013"/>
      <c r="IE39" s="1013"/>
      <c r="IF39" s="1013"/>
      <c r="IG39" s="1013"/>
      <c r="IH39" s="1013"/>
      <c r="II39" s="1013"/>
      <c r="IJ39" s="1013"/>
      <c r="IK39" s="1013"/>
      <c r="IL39" s="1013"/>
      <c r="IM39" s="1013"/>
      <c r="IN39" s="1013"/>
      <c r="IO39" s="1013"/>
      <c r="IP39" s="1013"/>
      <c r="IQ39" s="1013"/>
      <c r="IR39" s="1013"/>
      <c r="IS39" s="1013"/>
      <c r="IT39" s="1013"/>
      <c r="IU39" s="1013"/>
    </row>
    <row r="40" spans="1:255" s="1031" customFormat="1" ht="21" customHeight="1">
      <c r="A40" s="1032" t="s">
        <v>252</v>
      </c>
      <c r="B40" s="1033" t="s">
        <v>111</v>
      </c>
      <c r="C40" s="1034">
        <v>12</v>
      </c>
      <c r="D40" s="1042">
        <v>0</v>
      </c>
      <c r="E40" s="1037">
        <v>50.18</v>
      </c>
      <c r="F40" s="1037">
        <v>20.580000000000002</v>
      </c>
      <c r="G40" s="1037">
        <v>0</v>
      </c>
      <c r="H40" s="1037">
        <v>0</v>
      </c>
      <c r="I40" s="1037">
        <v>0</v>
      </c>
      <c r="J40" s="1037">
        <f t="shared" si="2"/>
        <v>29.599999999999998</v>
      </c>
      <c r="K40" s="1039">
        <v>0</v>
      </c>
      <c r="L40" s="1037">
        <f t="shared" si="0"/>
        <v>29.599999999999998</v>
      </c>
      <c r="M40" s="1038">
        <v>29.6</v>
      </c>
      <c r="N40" s="1029">
        <f t="shared" si="1"/>
        <v>0</v>
      </c>
      <c r="O40" s="1030"/>
      <c r="P40" s="1013"/>
      <c r="Q40" s="1013"/>
      <c r="R40" s="1013"/>
      <c r="S40" s="1013"/>
      <c r="T40" s="1013"/>
      <c r="U40" s="1013"/>
      <c r="V40" s="1013"/>
      <c r="W40" s="1013"/>
      <c r="X40" s="1013"/>
      <c r="Y40" s="1013"/>
      <c r="Z40" s="1013"/>
      <c r="AA40" s="1013"/>
      <c r="AB40" s="1013"/>
      <c r="AC40" s="1013"/>
      <c r="AD40" s="1013"/>
      <c r="AE40" s="1013"/>
      <c r="AF40" s="1013"/>
      <c r="AG40" s="1013"/>
      <c r="AH40" s="1013"/>
      <c r="AI40" s="1013"/>
      <c r="AJ40" s="1013"/>
      <c r="AK40" s="1013"/>
      <c r="AL40" s="1013"/>
      <c r="AM40" s="1013"/>
      <c r="AN40" s="1013"/>
      <c r="AO40" s="1013"/>
      <c r="AP40" s="1013"/>
      <c r="AQ40" s="1013"/>
      <c r="AR40" s="1013"/>
      <c r="AS40" s="1013"/>
      <c r="AT40" s="1013"/>
      <c r="AU40" s="1013"/>
      <c r="AV40" s="1013"/>
      <c r="AW40" s="1013"/>
      <c r="AX40" s="1013"/>
      <c r="AY40" s="1013"/>
      <c r="AZ40" s="1013"/>
      <c r="BA40" s="1013"/>
      <c r="BB40" s="1013"/>
      <c r="BC40" s="1013"/>
      <c r="BD40" s="1013"/>
      <c r="BE40" s="1013"/>
      <c r="BF40" s="1013"/>
      <c r="BG40" s="1013"/>
      <c r="BH40" s="1013"/>
      <c r="BI40" s="1013"/>
      <c r="BJ40" s="1013"/>
      <c r="BK40" s="1013"/>
      <c r="BL40" s="1013"/>
      <c r="BM40" s="1013"/>
      <c r="BN40" s="1013"/>
      <c r="BO40" s="1013"/>
      <c r="BP40" s="1013"/>
      <c r="BQ40" s="1013"/>
      <c r="BR40" s="1013"/>
      <c r="BS40" s="1013"/>
      <c r="BT40" s="1013"/>
      <c r="BU40" s="1013"/>
      <c r="BV40" s="1013"/>
      <c r="BW40" s="1013"/>
      <c r="BX40" s="1013"/>
      <c r="BY40" s="1013"/>
      <c r="BZ40" s="1013"/>
      <c r="CA40" s="1013"/>
      <c r="CB40" s="1013"/>
      <c r="CC40" s="1013"/>
      <c r="CD40" s="1013"/>
      <c r="CE40" s="1013"/>
      <c r="CF40" s="1013"/>
      <c r="CG40" s="1013"/>
      <c r="CH40" s="1013"/>
      <c r="CI40" s="1013"/>
      <c r="CJ40" s="1013"/>
      <c r="CK40" s="1013"/>
      <c r="CL40" s="1013"/>
      <c r="CM40" s="1013"/>
      <c r="CN40" s="1013"/>
      <c r="CO40" s="1013"/>
      <c r="CP40" s="1013"/>
      <c r="CQ40" s="1013"/>
      <c r="CR40" s="1013"/>
      <c r="CS40" s="1013"/>
      <c r="CT40" s="1013"/>
      <c r="CU40" s="1013"/>
      <c r="CV40" s="1013"/>
      <c r="CW40" s="1013"/>
      <c r="CX40" s="1013"/>
      <c r="CY40" s="1013"/>
      <c r="CZ40" s="1013"/>
      <c r="DA40" s="1013"/>
      <c r="DB40" s="1013"/>
      <c r="DC40" s="1013"/>
      <c r="DD40" s="1013"/>
      <c r="DE40" s="1013"/>
      <c r="DF40" s="1013"/>
      <c r="DG40" s="1013"/>
      <c r="DH40" s="1013"/>
      <c r="DI40" s="1013"/>
      <c r="DJ40" s="1013"/>
      <c r="DK40" s="1013"/>
      <c r="DL40" s="1013"/>
      <c r="DM40" s="1013"/>
      <c r="DN40" s="1013"/>
      <c r="DO40" s="1013"/>
      <c r="DP40" s="1013"/>
      <c r="DQ40" s="1013"/>
      <c r="DR40" s="1013"/>
      <c r="DS40" s="1013"/>
      <c r="DT40" s="1013"/>
      <c r="DU40" s="1013"/>
      <c r="DV40" s="1013"/>
      <c r="DW40" s="1013"/>
      <c r="DX40" s="1013"/>
      <c r="DY40" s="1013"/>
      <c r="DZ40" s="1013"/>
      <c r="EA40" s="1013"/>
      <c r="EB40" s="1013"/>
      <c r="EC40" s="1013"/>
      <c r="ED40" s="1013"/>
      <c r="EE40" s="1013"/>
      <c r="EF40" s="1013"/>
      <c r="EG40" s="1013"/>
      <c r="EH40" s="1013"/>
      <c r="EI40" s="1013"/>
      <c r="EJ40" s="1013"/>
      <c r="EK40" s="1013"/>
      <c r="EL40" s="1013"/>
      <c r="EM40" s="1013"/>
      <c r="EN40" s="1013"/>
      <c r="EO40" s="1013"/>
      <c r="EP40" s="1013"/>
      <c r="EQ40" s="1013"/>
      <c r="ER40" s="1013"/>
      <c r="ES40" s="1013"/>
      <c r="ET40" s="1013"/>
      <c r="EU40" s="1013"/>
      <c r="EV40" s="1013"/>
      <c r="EW40" s="1013"/>
      <c r="EX40" s="1013"/>
      <c r="EY40" s="1013"/>
      <c r="EZ40" s="1013"/>
      <c r="FA40" s="1013"/>
      <c r="FB40" s="1013"/>
      <c r="FC40" s="1013"/>
      <c r="FD40" s="1013"/>
      <c r="FE40" s="1013"/>
      <c r="FF40" s="1013"/>
      <c r="FG40" s="1013"/>
      <c r="FH40" s="1013"/>
      <c r="FI40" s="1013"/>
      <c r="FJ40" s="1013"/>
      <c r="FK40" s="1013"/>
      <c r="FL40" s="1013"/>
      <c r="FM40" s="1013"/>
      <c r="FN40" s="1013"/>
      <c r="FO40" s="1013"/>
      <c r="FP40" s="1013"/>
      <c r="FQ40" s="1013"/>
      <c r="FR40" s="1013"/>
      <c r="FS40" s="1013"/>
      <c r="FT40" s="1013"/>
      <c r="FU40" s="1013"/>
      <c r="FV40" s="1013"/>
      <c r="FW40" s="1013"/>
      <c r="FX40" s="1013"/>
      <c r="FY40" s="1013"/>
      <c r="FZ40" s="1013"/>
      <c r="GA40" s="1013"/>
      <c r="GB40" s="1013"/>
      <c r="GC40" s="1013"/>
      <c r="GD40" s="1013"/>
      <c r="GE40" s="1013"/>
      <c r="GF40" s="1013"/>
      <c r="GG40" s="1013"/>
      <c r="GH40" s="1013"/>
      <c r="GI40" s="1013"/>
      <c r="GJ40" s="1013"/>
      <c r="GK40" s="1013"/>
      <c r="GL40" s="1013"/>
      <c r="GM40" s="1013"/>
      <c r="GN40" s="1013"/>
      <c r="GO40" s="1013"/>
      <c r="GP40" s="1013"/>
      <c r="GQ40" s="1013"/>
      <c r="GR40" s="1013"/>
      <c r="GS40" s="1013"/>
      <c r="GT40" s="1013"/>
      <c r="GU40" s="1013"/>
      <c r="GV40" s="1013"/>
      <c r="GW40" s="1013"/>
      <c r="GX40" s="1013"/>
      <c r="GY40" s="1013"/>
      <c r="GZ40" s="1013"/>
      <c r="HA40" s="1013"/>
      <c r="HB40" s="1013"/>
      <c r="HC40" s="1013"/>
      <c r="HD40" s="1013"/>
      <c r="HE40" s="1013"/>
      <c r="HF40" s="1013"/>
      <c r="HG40" s="1013"/>
      <c r="HH40" s="1013"/>
      <c r="HI40" s="1013"/>
      <c r="HJ40" s="1013"/>
      <c r="HK40" s="1013"/>
      <c r="HL40" s="1013"/>
      <c r="HM40" s="1013"/>
      <c r="HN40" s="1013"/>
      <c r="HO40" s="1013"/>
      <c r="HP40" s="1013"/>
      <c r="HQ40" s="1013"/>
      <c r="HR40" s="1013"/>
      <c r="HS40" s="1013"/>
      <c r="HT40" s="1013"/>
      <c r="HU40" s="1013"/>
      <c r="HV40" s="1013"/>
      <c r="HW40" s="1013"/>
      <c r="HX40" s="1013"/>
      <c r="HY40" s="1013"/>
      <c r="HZ40" s="1013"/>
      <c r="IA40" s="1013"/>
      <c r="IB40" s="1013"/>
      <c r="IC40" s="1013"/>
      <c r="ID40" s="1013"/>
      <c r="IE40" s="1013"/>
      <c r="IF40" s="1013"/>
      <c r="IG40" s="1013"/>
      <c r="IH40" s="1013"/>
      <c r="II40" s="1013"/>
      <c r="IJ40" s="1013"/>
      <c r="IK40" s="1013"/>
      <c r="IL40" s="1013"/>
      <c r="IM40" s="1013"/>
      <c r="IN40" s="1013"/>
      <c r="IO40" s="1013"/>
      <c r="IP40" s="1013"/>
      <c r="IQ40" s="1013"/>
      <c r="IR40" s="1013"/>
      <c r="IS40" s="1013"/>
      <c r="IT40" s="1013"/>
      <c r="IU40" s="1013"/>
    </row>
    <row r="41" spans="1:255" s="1031" customFormat="1" ht="21" customHeight="1">
      <c r="A41" s="1032" t="s">
        <v>600</v>
      </c>
      <c r="B41" s="1033" t="s">
        <v>111</v>
      </c>
      <c r="C41" s="1034">
        <v>13</v>
      </c>
      <c r="D41" s="1042">
        <v>0</v>
      </c>
      <c r="E41" s="1037">
        <v>0</v>
      </c>
      <c r="F41" s="1037">
        <v>0</v>
      </c>
      <c r="G41" s="1037">
        <v>0</v>
      </c>
      <c r="H41" s="1037">
        <v>0</v>
      </c>
      <c r="I41" s="1037">
        <v>0</v>
      </c>
      <c r="J41" s="1037">
        <f t="shared" si="2"/>
        <v>0</v>
      </c>
      <c r="K41" s="1039">
        <v>0</v>
      </c>
      <c r="L41" s="1037">
        <f t="shared" si="0"/>
        <v>0</v>
      </c>
      <c r="M41" s="1038"/>
      <c r="N41" s="1029">
        <f t="shared" si="1"/>
        <v>0</v>
      </c>
      <c r="O41" s="1030"/>
      <c r="P41" s="1013"/>
      <c r="Q41" s="1013"/>
      <c r="R41" s="1013"/>
      <c r="S41" s="1013"/>
      <c r="T41" s="1013"/>
      <c r="U41" s="1013"/>
      <c r="V41" s="1013"/>
      <c r="W41" s="1013"/>
      <c r="X41" s="1013"/>
      <c r="Y41" s="1013"/>
      <c r="Z41" s="1013"/>
      <c r="AA41" s="1013"/>
      <c r="AB41" s="1013"/>
      <c r="AC41" s="1013"/>
      <c r="AD41" s="1013"/>
      <c r="AE41" s="1013"/>
      <c r="AF41" s="1013"/>
      <c r="AG41" s="1013"/>
      <c r="AH41" s="1013"/>
      <c r="AI41" s="1013"/>
      <c r="AJ41" s="1013"/>
      <c r="AK41" s="1013"/>
      <c r="AL41" s="1013"/>
      <c r="AM41" s="1013"/>
      <c r="AN41" s="1013"/>
      <c r="AO41" s="1013"/>
      <c r="AP41" s="1013"/>
      <c r="AQ41" s="1013"/>
      <c r="AR41" s="1013"/>
      <c r="AS41" s="1013"/>
      <c r="AT41" s="1013"/>
      <c r="AU41" s="1013"/>
      <c r="AV41" s="1013"/>
      <c r="AW41" s="1013"/>
      <c r="AX41" s="1013"/>
      <c r="AY41" s="1013"/>
      <c r="AZ41" s="1013"/>
      <c r="BA41" s="1013"/>
      <c r="BB41" s="1013"/>
      <c r="BC41" s="1013"/>
      <c r="BD41" s="1013"/>
      <c r="BE41" s="1013"/>
      <c r="BF41" s="1013"/>
      <c r="BG41" s="1013"/>
      <c r="BH41" s="1013"/>
      <c r="BI41" s="1013"/>
      <c r="BJ41" s="1013"/>
      <c r="BK41" s="1013"/>
      <c r="BL41" s="1013"/>
      <c r="BM41" s="1013"/>
      <c r="BN41" s="1013"/>
      <c r="BO41" s="1013"/>
      <c r="BP41" s="1013"/>
      <c r="BQ41" s="1013"/>
      <c r="BR41" s="1013"/>
      <c r="BS41" s="1013"/>
      <c r="BT41" s="1013"/>
      <c r="BU41" s="1013"/>
      <c r="BV41" s="1013"/>
      <c r="BW41" s="1013"/>
      <c r="BX41" s="1013"/>
      <c r="BY41" s="1013"/>
      <c r="BZ41" s="1013"/>
      <c r="CA41" s="1013"/>
      <c r="CB41" s="1013"/>
      <c r="CC41" s="1013"/>
      <c r="CD41" s="1013"/>
      <c r="CE41" s="1013"/>
      <c r="CF41" s="1013"/>
      <c r="CG41" s="1013"/>
      <c r="CH41" s="1013"/>
      <c r="CI41" s="1013"/>
      <c r="CJ41" s="1013"/>
      <c r="CK41" s="1013"/>
      <c r="CL41" s="1013"/>
      <c r="CM41" s="1013"/>
      <c r="CN41" s="1013"/>
      <c r="CO41" s="1013"/>
      <c r="CP41" s="1013"/>
      <c r="CQ41" s="1013"/>
      <c r="CR41" s="1013"/>
      <c r="CS41" s="1013"/>
      <c r="CT41" s="1013"/>
      <c r="CU41" s="1013"/>
      <c r="CV41" s="1013"/>
      <c r="CW41" s="1013"/>
      <c r="CX41" s="1013"/>
      <c r="CY41" s="1013"/>
      <c r="CZ41" s="1013"/>
      <c r="DA41" s="1013"/>
      <c r="DB41" s="1013"/>
      <c r="DC41" s="1013"/>
      <c r="DD41" s="1013"/>
      <c r="DE41" s="1013"/>
      <c r="DF41" s="1013"/>
      <c r="DG41" s="1013"/>
      <c r="DH41" s="1013"/>
      <c r="DI41" s="1013"/>
      <c r="DJ41" s="1013"/>
      <c r="DK41" s="1013"/>
      <c r="DL41" s="1013"/>
      <c r="DM41" s="1013"/>
      <c r="DN41" s="1013"/>
      <c r="DO41" s="1013"/>
      <c r="DP41" s="1013"/>
      <c r="DQ41" s="1013"/>
      <c r="DR41" s="1013"/>
      <c r="DS41" s="1013"/>
      <c r="DT41" s="1013"/>
      <c r="DU41" s="1013"/>
      <c r="DV41" s="1013"/>
      <c r="DW41" s="1013"/>
      <c r="DX41" s="1013"/>
      <c r="DY41" s="1013"/>
      <c r="DZ41" s="1013"/>
      <c r="EA41" s="1013"/>
      <c r="EB41" s="1013"/>
      <c r="EC41" s="1013"/>
      <c r="ED41" s="1013"/>
      <c r="EE41" s="1013"/>
      <c r="EF41" s="1013"/>
      <c r="EG41" s="1013"/>
      <c r="EH41" s="1013"/>
      <c r="EI41" s="1013"/>
      <c r="EJ41" s="1013"/>
      <c r="EK41" s="1013"/>
      <c r="EL41" s="1013"/>
      <c r="EM41" s="1013"/>
      <c r="EN41" s="1013"/>
      <c r="EO41" s="1013"/>
      <c r="EP41" s="1013"/>
      <c r="EQ41" s="1013"/>
      <c r="ER41" s="1013"/>
      <c r="ES41" s="1013"/>
      <c r="ET41" s="1013"/>
      <c r="EU41" s="1013"/>
      <c r="EV41" s="1013"/>
      <c r="EW41" s="1013"/>
      <c r="EX41" s="1013"/>
      <c r="EY41" s="1013"/>
      <c r="EZ41" s="1013"/>
      <c r="FA41" s="1013"/>
      <c r="FB41" s="1013"/>
      <c r="FC41" s="1013"/>
      <c r="FD41" s="1013"/>
      <c r="FE41" s="1013"/>
      <c r="FF41" s="1013"/>
      <c r="FG41" s="1013"/>
      <c r="FH41" s="1013"/>
      <c r="FI41" s="1013"/>
      <c r="FJ41" s="1013"/>
      <c r="FK41" s="1013"/>
      <c r="FL41" s="1013"/>
      <c r="FM41" s="1013"/>
      <c r="FN41" s="1013"/>
      <c r="FO41" s="1013"/>
      <c r="FP41" s="1013"/>
      <c r="FQ41" s="1013"/>
      <c r="FR41" s="1013"/>
      <c r="FS41" s="1013"/>
      <c r="FT41" s="1013"/>
      <c r="FU41" s="1013"/>
      <c r="FV41" s="1013"/>
      <c r="FW41" s="1013"/>
      <c r="FX41" s="1013"/>
      <c r="FY41" s="1013"/>
      <c r="FZ41" s="1013"/>
      <c r="GA41" s="1013"/>
      <c r="GB41" s="1013"/>
      <c r="GC41" s="1013"/>
      <c r="GD41" s="1013"/>
      <c r="GE41" s="1013"/>
      <c r="GF41" s="1013"/>
      <c r="GG41" s="1013"/>
      <c r="GH41" s="1013"/>
      <c r="GI41" s="1013"/>
      <c r="GJ41" s="1013"/>
      <c r="GK41" s="1013"/>
      <c r="GL41" s="1013"/>
      <c r="GM41" s="1013"/>
      <c r="GN41" s="1013"/>
      <c r="GO41" s="1013"/>
      <c r="GP41" s="1013"/>
      <c r="GQ41" s="1013"/>
      <c r="GR41" s="1013"/>
      <c r="GS41" s="1013"/>
      <c r="GT41" s="1013"/>
      <c r="GU41" s="1013"/>
      <c r="GV41" s="1013"/>
      <c r="GW41" s="1013"/>
      <c r="GX41" s="1013"/>
      <c r="GY41" s="1013"/>
      <c r="GZ41" s="1013"/>
      <c r="HA41" s="1013"/>
      <c r="HB41" s="1013"/>
      <c r="HC41" s="1013"/>
      <c r="HD41" s="1013"/>
      <c r="HE41" s="1013"/>
      <c r="HF41" s="1013"/>
      <c r="HG41" s="1013"/>
      <c r="HH41" s="1013"/>
      <c r="HI41" s="1013"/>
      <c r="HJ41" s="1013"/>
      <c r="HK41" s="1013"/>
      <c r="HL41" s="1013"/>
      <c r="HM41" s="1013"/>
      <c r="HN41" s="1013"/>
      <c r="HO41" s="1013"/>
      <c r="HP41" s="1013"/>
      <c r="HQ41" s="1013"/>
      <c r="HR41" s="1013"/>
      <c r="HS41" s="1013"/>
      <c r="HT41" s="1013"/>
      <c r="HU41" s="1013"/>
      <c r="HV41" s="1013"/>
      <c r="HW41" s="1013"/>
      <c r="HX41" s="1013"/>
      <c r="HY41" s="1013"/>
      <c r="HZ41" s="1013"/>
      <c r="IA41" s="1013"/>
      <c r="IB41" s="1013"/>
      <c r="IC41" s="1013"/>
      <c r="ID41" s="1013"/>
      <c r="IE41" s="1013"/>
      <c r="IF41" s="1013"/>
      <c r="IG41" s="1013"/>
      <c r="IH41" s="1013"/>
      <c r="II41" s="1013"/>
      <c r="IJ41" s="1013"/>
      <c r="IK41" s="1013"/>
      <c r="IL41" s="1013"/>
      <c r="IM41" s="1013"/>
      <c r="IN41" s="1013"/>
      <c r="IO41" s="1013"/>
      <c r="IP41" s="1013"/>
      <c r="IQ41" s="1013"/>
      <c r="IR41" s="1013"/>
      <c r="IS41" s="1013"/>
      <c r="IT41" s="1013"/>
      <c r="IU41" s="1013"/>
    </row>
    <row r="42" spans="1:255" s="1031" customFormat="1" ht="21" customHeight="1">
      <c r="A42" s="1032" t="s">
        <v>601</v>
      </c>
      <c r="B42" s="1033" t="s">
        <v>111</v>
      </c>
      <c r="C42" s="1034">
        <v>16</v>
      </c>
      <c r="D42" s="1035">
        <v>0</v>
      </c>
      <c r="E42" s="1036">
        <v>0</v>
      </c>
      <c r="F42" s="1037">
        <v>0</v>
      </c>
      <c r="G42" s="1037">
        <v>0</v>
      </c>
      <c r="H42" s="1037">
        <v>0</v>
      </c>
      <c r="I42" s="1037">
        <v>0</v>
      </c>
      <c r="J42" s="1037">
        <f t="shared" si="2"/>
        <v>0</v>
      </c>
      <c r="K42" s="1039">
        <v>0</v>
      </c>
      <c r="L42" s="1037">
        <f t="shared" si="0"/>
        <v>0</v>
      </c>
      <c r="M42" s="1038"/>
      <c r="N42" s="1029">
        <f t="shared" si="1"/>
        <v>0</v>
      </c>
      <c r="O42" s="1030"/>
      <c r="P42" s="1013"/>
      <c r="Q42" s="1013"/>
      <c r="R42" s="1013"/>
      <c r="S42" s="1013"/>
      <c r="T42" s="1013"/>
      <c r="U42" s="1013"/>
      <c r="V42" s="1013"/>
      <c r="W42" s="1013"/>
      <c r="X42" s="1013"/>
      <c r="Y42" s="1013"/>
      <c r="Z42" s="1013"/>
      <c r="AA42" s="1013"/>
      <c r="AB42" s="1013"/>
      <c r="AC42" s="1013"/>
      <c r="AD42" s="1013"/>
      <c r="AE42" s="1013"/>
      <c r="AF42" s="1013"/>
      <c r="AG42" s="1013"/>
      <c r="AH42" s="1013"/>
      <c r="AI42" s="1013"/>
      <c r="AJ42" s="1013"/>
      <c r="AK42" s="1013"/>
      <c r="AL42" s="1013"/>
      <c r="AM42" s="1013"/>
      <c r="AN42" s="1013"/>
      <c r="AO42" s="1013"/>
      <c r="AP42" s="1013"/>
      <c r="AQ42" s="1013"/>
      <c r="AR42" s="1013"/>
      <c r="AS42" s="1013"/>
      <c r="AT42" s="1013"/>
      <c r="AU42" s="1013"/>
      <c r="AV42" s="1013"/>
      <c r="AW42" s="1013"/>
      <c r="AX42" s="1013"/>
      <c r="AY42" s="1013"/>
      <c r="AZ42" s="1013"/>
      <c r="BA42" s="1013"/>
      <c r="BB42" s="1013"/>
      <c r="BC42" s="1013"/>
      <c r="BD42" s="1013"/>
      <c r="BE42" s="1013"/>
      <c r="BF42" s="1013"/>
      <c r="BG42" s="1013"/>
      <c r="BH42" s="1013"/>
      <c r="BI42" s="1013"/>
      <c r="BJ42" s="1013"/>
      <c r="BK42" s="1013"/>
      <c r="BL42" s="1013"/>
      <c r="BM42" s="1013"/>
      <c r="BN42" s="1013"/>
      <c r="BO42" s="1013"/>
      <c r="BP42" s="1013"/>
      <c r="BQ42" s="1013"/>
      <c r="BR42" s="1013"/>
      <c r="BS42" s="1013"/>
      <c r="BT42" s="1013"/>
      <c r="BU42" s="1013"/>
      <c r="BV42" s="1013"/>
      <c r="BW42" s="1013"/>
      <c r="BX42" s="1013"/>
      <c r="BY42" s="1013"/>
      <c r="BZ42" s="1013"/>
      <c r="CA42" s="1013"/>
      <c r="CB42" s="1013"/>
      <c r="CC42" s="1013"/>
      <c r="CD42" s="1013"/>
      <c r="CE42" s="1013"/>
      <c r="CF42" s="1013"/>
      <c r="CG42" s="1013"/>
      <c r="CH42" s="1013"/>
      <c r="CI42" s="1013"/>
      <c r="CJ42" s="1013"/>
      <c r="CK42" s="1013"/>
      <c r="CL42" s="1013"/>
      <c r="CM42" s="1013"/>
      <c r="CN42" s="1013"/>
      <c r="CO42" s="1013"/>
      <c r="CP42" s="1013"/>
      <c r="CQ42" s="1013"/>
      <c r="CR42" s="1013"/>
      <c r="CS42" s="1013"/>
      <c r="CT42" s="1013"/>
      <c r="CU42" s="1013"/>
      <c r="CV42" s="1013"/>
      <c r="CW42" s="1013"/>
      <c r="CX42" s="1013"/>
      <c r="CY42" s="1013"/>
      <c r="CZ42" s="1013"/>
      <c r="DA42" s="1013"/>
      <c r="DB42" s="1013"/>
      <c r="DC42" s="1013"/>
      <c r="DD42" s="1013"/>
      <c r="DE42" s="1013"/>
      <c r="DF42" s="1013"/>
      <c r="DG42" s="1013"/>
      <c r="DH42" s="1013"/>
      <c r="DI42" s="1013"/>
      <c r="DJ42" s="1013"/>
      <c r="DK42" s="1013"/>
      <c r="DL42" s="1013"/>
      <c r="DM42" s="1013"/>
      <c r="DN42" s="1013"/>
      <c r="DO42" s="1013"/>
      <c r="DP42" s="1013"/>
      <c r="DQ42" s="1013"/>
      <c r="DR42" s="1013"/>
      <c r="DS42" s="1013"/>
      <c r="DT42" s="1013"/>
      <c r="DU42" s="1013"/>
      <c r="DV42" s="1013"/>
      <c r="DW42" s="1013"/>
      <c r="DX42" s="1013"/>
      <c r="DY42" s="1013"/>
      <c r="DZ42" s="1013"/>
      <c r="EA42" s="1013"/>
      <c r="EB42" s="1013"/>
      <c r="EC42" s="1013"/>
      <c r="ED42" s="1013"/>
      <c r="EE42" s="1013"/>
      <c r="EF42" s="1013"/>
      <c r="EG42" s="1013"/>
      <c r="EH42" s="1013"/>
      <c r="EI42" s="1013"/>
      <c r="EJ42" s="1013"/>
      <c r="EK42" s="1013"/>
      <c r="EL42" s="1013"/>
      <c r="EM42" s="1013"/>
      <c r="EN42" s="1013"/>
      <c r="EO42" s="1013"/>
      <c r="EP42" s="1013"/>
      <c r="EQ42" s="1013"/>
      <c r="ER42" s="1013"/>
      <c r="ES42" s="1013"/>
      <c r="ET42" s="1013"/>
      <c r="EU42" s="1013"/>
      <c r="EV42" s="1013"/>
      <c r="EW42" s="1013"/>
      <c r="EX42" s="1013"/>
      <c r="EY42" s="1013"/>
      <c r="EZ42" s="1013"/>
      <c r="FA42" s="1013"/>
      <c r="FB42" s="1013"/>
      <c r="FC42" s="1013"/>
      <c r="FD42" s="1013"/>
      <c r="FE42" s="1013"/>
      <c r="FF42" s="1013"/>
      <c r="FG42" s="1013"/>
      <c r="FH42" s="1013"/>
      <c r="FI42" s="1013"/>
      <c r="FJ42" s="1013"/>
      <c r="FK42" s="1013"/>
      <c r="FL42" s="1013"/>
      <c r="FM42" s="1013"/>
      <c r="FN42" s="1013"/>
      <c r="FO42" s="1013"/>
      <c r="FP42" s="1013"/>
      <c r="FQ42" s="1013"/>
      <c r="FR42" s="1013"/>
      <c r="FS42" s="1013"/>
      <c r="FT42" s="1013"/>
      <c r="FU42" s="1013"/>
      <c r="FV42" s="1013"/>
      <c r="FW42" s="1013"/>
      <c r="FX42" s="1013"/>
      <c r="FY42" s="1013"/>
      <c r="FZ42" s="1013"/>
      <c r="GA42" s="1013"/>
      <c r="GB42" s="1013"/>
      <c r="GC42" s="1013"/>
      <c r="GD42" s="1013"/>
      <c r="GE42" s="1013"/>
      <c r="GF42" s="1013"/>
      <c r="GG42" s="1013"/>
      <c r="GH42" s="1013"/>
      <c r="GI42" s="1013"/>
      <c r="GJ42" s="1013"/>
      <c r="GK42" s="1013"/>
      <c r="GL42" s="1013"/>
      <c r="GM42" s="1013"/>
      <c r="GN42" s="1013"/>
      <c r="GO42" s="1013"/>
      <c r="GP42" s="1013"/>
      <c r="GQ42" s="1013"/>
      <c r="GR42" s="1013"/>
      <c r="GS42" s="1013"/>
      <c r="GT42" s="1013"/>
      <c r="GU42" s="1013"/>
      <c r="GV42" s="1013"/>
      <c r="GW42" s="1013"/>
      <c r="GX42" s="1013"/>
      <c r="GY42" s="1013"/>
      <c r="GZ42" s="1013"/>
      <c r="HA42" s="1013"/>
      <c r="HB42" s="1013"/>
      <c r="HC42" s="1013"/>
      <c r="HD42" s="1013"/>
      <c r="HE42" s="1013"/>
      <c r="HF42" s="1013"/>
      <c r="HG42" s="1013"/>
      <c r="HH42" s="1013"/>
      <c r="HI42" s="1013"/>
      <c r="HJ42" s="1013"/>
      <c r="HK42" s="1013"/>
      <c r="HL42" s="1013"/>
      <c r="HM42" s="1013"/>
      <c r="HN42" s="1013"/>
      <c r="HO42" s="1013"/>
      <c r="HP42" s="1013"/>
      <c r="HQ42" s="1013"/>
      <c r="HR42" s="1013"/>
      <c r="HS42" s="1013"/>
      <c r="HT42" s="1013"/>
      <c r="HU42" s="1013"/>
      <c r="HV42" s="1013"/>
      <c r="HW42" s="1013"/>
      <c r="HX42" s="1013"/>
      <c r="HY42" s="1013"/>
      <c r="HZ42" s="1013"/>
      <c r="IA42" s="1013"/>
      <c r="IB42" s="1013"/>
      <c r="IC42" s="1013"/>
      <c r="ID42" s="1013"/>
      <c r="IE42" s="1013"/>
      <c r="IF42" s="1013"/>
      <c r="IG42" s="1013"/>
      <c r="IH42" s="1013"/>
      <c r="II42" s="1013"/>
      <c r="IJ42" s="1013"/>
      <c r="IK42" s="1013"/>
      <c r="IL42" s="1013"/>
      <c r="IM42" s="1013"/>
      <c r="IN42" s="1013"/>
      <c r="IO42" s="1013"/>
      <c r="IP42" s="1013"/>
      <c r="IQ42" s="1013"/>
      <c r="IR42" s="1013"/>
      <c r="IS42" s="1013"/>
      <c r="IT42" s="1013"/>
      <c r="IU42" s="1013"/>
    </row>
    <row r="43" spans="1:255" s="1031" customFormat="1" ht="21" customHeight="1">
      <c r="A43" s="1032" t="s">
        <v>602</v>
      </c>
      <c r="B43" s="1033" t="s">
        <v>111</v>
      </c>
      <c r="C43" s="1034">
        <v>17</v>
      </c>
      <c r="D43" s="1035">
        <v>0</v>
      </c>
      <c r="E43" s="1036">
        <v>0</v>
      </c>
      <c r="F43" s="1037">
        <v>0</v>
      </c>
      <c r="G43" s="1037">
        <v>0</v>
      </c>
      <c r="H43" s="1037">
        <v>0</v>
      </c>
      <c r="I43" s="1037">
        <v>0</v>
      </c>
      <c r="J43" s="1037">
        <f t="shared" si="2"/>
        <v>0</v>
      </c>
      <c r="K43" s="1039">
        <v>0</v>
      </c>
      <c r="L43" s="1037">
        <f t="shared" si="0"/>
        <v>0</v>
      </c>
      <c r="M43" s="1038"/>
      <c r="N43" s="1029">
        <f t="shared" si="1"/>
        <v>0</v>
      </c>
      <c r="O43" s="1030"/>
      <c r="P43" s="1013"/>
      <c r="Q43" s="1013"/>
      <c r="R43" s="1013"/>
      <c r="S43" s="1013"/>
      <c r="T43" s="1013"/>
      <c r="U43" s="1013"/>
      <c r="V43" s="1013"/>
      <c r="W43" s="1013"/>
      <c r="X43" s="1013"/>
      <c r="Y43" s="1013"/>
      <c r="Z43" s="1013"/>
      <c r="AA43" s="1013"/>
      <c r="AB43" s="1013"/>
      <c r="AC43" s="1013"/>
      <c r="AD43" s="1013"/>
      <c r="AE43" s="1013"/>
      <c r="AF43" s="1013"/>
      <c r="AG43" s="1013"/>
      <c r="AH43" s="1013"/>
      <c r="AI43" s="1013"/>
      <c r="AJ43" s="1013"/>
      <c r="AK43" s="1013"/>
      <c r="AL43" s="1013"/>
      <c r="AM43" s="1013"/>
      <c r="AN43" s="1013"/>
      <c r="AO43" s="1013"/>
      <c r="AP43" s="1013"/>
      <c r="AQ43" s="1013"/>
      <c r="AR43" s="1013"/>
      <c r="AS43" s="1013"/>
      <c r="AT43" s="1013"/>
      <c r="AU43" s="1013"/>
      <c r="AV43" s="1013"/>
      <c r="AW43" s="1013"/>
      <c r="AX43" s="1013"/>
      <c r="AY43" s="1013"/>
      <c r="AZ43" s="1013"/>
      <c r="BA43" s="1013"/>
      <c r="BB43" s="1013"/>
      <c r="BC43" s="1013"/>
      <c r="BD43" s="1013"/>
      <c r="BE43" s="1013"/>
      <c r="BF43" s="1013"/>
      <c r="BG43" s="1013"/>
      <c r="BH43" s="1013"/>
      <c r="BI43" s="1013"/>
      <c r="BJ43" s="1013"/>
      <c r="BK43" s="1013"/>
      <c r="BL43" s="1013"/>
      <c r="BM43" s="1013"/>
      <c r="BN43" s="1013"/>
      <c r="BO43" s="1013"/>
      <c r="BP43" s="1013"/>
      <c r="BQ43" s="1013"/>
      <c r="BR43" s="1013"/>
      <c r="BS43" s="1013"/>
      <c r="BT43" s="1013"/>
      <c r="BU43" s="1013"/>
      <c r="BV43" s="1013"/>
      <c r="BW43" s="1013"/>
      <c r="BX43" s="1013"/>
      <c r="BY43" s="1013"/>
      <c r="BZ43" s="1013"/>
      <c r="CA43" s="1013"/>
      <c r="CB43" s="1013"/>
      <c r="CC43" s="1013"/>
      <c r="CD43" s="1013"/>
      <c r="CE43" s="1013"/>
      <c r="CF43" s="1013"/>
      <c r="CG43" s="1013"/>
      <c r="CH43" s="1013"/>
      <c r="CI43" s="1013"/>
      <c r="CJ43" s="1013"/>
      <c r="CK43" s="1013"/>
      <c r="CL43" s="1013"/>
      <c r="CM43" s="1013"/>
      <c r="CN43" s="1013"/>
      <c r="CO43" s="1013"/>
      <c r="CP43" s="1013"/>
      <c r="CQ43" s="1013"/>
      <c r="CR43" s="1013"/>
      <c r="CS43" s="1013"/>
      <c r="CT43" s="1013"/>
      <c r="CU43" s="1013"/>
      <c r="CV43" s="1013"/>
      <c r="CW43" s="1013"/>
      <c r="CX43" s="1013"/>
      <c r="CY43" s="1013"/>
      <c r="CZ43" s="1013"/>
      <c r="DA43" s="1013"/>
      <c r="DB43" s="1013"/>
      <c r="DC43" s="1013"/>
      <c r="DD43" s="1013"/>
      <c r="DE43" s="1013"/>
      <c r="DF43" s="1013"/>
      <c r="DG43" s="1013"/>
      <c r="DH43" s="1013"/>
      <c r="DI43" s="1013"/>
      <c r="DJ43" s="1013"/>
      <c r="DK43" s="1013"/>
      <c r="DL43" s="1013"/>
      <c r="DM43" s="1013"/>
      <c r="DN43" s="1013"/>
      <c r="DO43" s="1013"/>
      <c r="DP43" s="1013"/>
      <c r="DQ43" s="1013"/>
      <c r="DR43" s="1013"/>
      <c r="DS43" s="1013"/>
      <c r="DT43" s="1013"/>
      <c r="DU43" s="1013"/>
      <c r="DV43" s="1013"/>
      <c r="DW43" s="1013"/>
      <c r="DX43" s="1013"/>
      <c r="DY43" s="1013"/>
      <c r="DZ43" s="1013"/>
      <c r="EA43" s="1013"/>
      <c r="EB43" s="1013"/>
      <c r="EC43" s="1013"/>
      <c r="ED43" s="1013"/>
      <c r="EE43" s="1013"/>
      <c r="EF43" s="1013"/>
      <c r="EG43" s="1013"/>
      <c r="EH43" s="1013"/>
      <c r="EI43" s="1013"/>
      <c r="EJ43" s="1013"/>
      <c r="EK43" s="1013"/>
      <c r="EL43" s="1013"/>
      <c r="EM43" s="1013"/>
      <c r="EN43" s="1013"/>
      <c r="EO43" s="1013"/>
      <c r="EP43" s="1013"/>
      <c r="EQ43" s="1013"/>
      <c r="ER43" s="1013"/>
      <c r="ES43" s="1013"/>
      <c r="ET43" s="1013"/>
      <c r="EU43" s="1013"/>
      <c r="EV43" s="1013"/>
      <c r="EW43" s="1013"/>
      <c r="EX43" s="1013"/>
      <c r="EY43" s="1013"/>
      <c r="EZ43" s="1013"/>
      <c r="FA43" s="1013"/>
      <c r="FB43" s="1013"/>
      <c r="FC43" s="1013"/>
      <c r="FD43" s="1013"/>
      <c r="FE43" s="1013"/>
      <c r="FF43" s="1013"/>
      <c r="FG43" s="1013"/>
      <c r="FH43" s="1013"/>
      <c r="FI43" s="1013"/>
      <c r="FJ43" s="1013"/>
      <c r="FK43" s="1013"/>
      <c r="FL43" s="1013"/>
      <c r="FM43" s="1013"/>
      <c r="FN43" s="1013"/>
      <c r="FO43" s="1013"/>
      <c r="FP43" s="1013"/>
      <c r="FQ43" s="1013"/>
      <c r="FR43" s="1013"/>
      <c r="FS43" s="1013"/>
      <c r="FT43" s="1013"/>
      <c r="FU43" s="1013"/>
      <c r="FV43" s="1013"/>
      <c r="FW43" s="1013"/>
      <c r="FX43" s="1013"/>
      <c r="FY43" s="1013"/>
      <c r="FZ43" s="1013"/>
      <c r="GA43" s="1013"/>
      <c r="GB43" s="1013"/>
      <c r="GC43" s="1013"/>
      <c r="GD43" s="1013"/>
      <c r="GE43" s="1013"/>
      <c r="GF43" s="1013"/>
      <c r="GG43" s="1013"/>
      <c r="GH43" s="1013"/>
      <c r="GI43" s="1013"/>
      <c r="GJ43" s="1013"/>
      <c r="GK43" s="1013"/>
      <c r="GL43" s="1013"/>
      <c r="GM43" s="1013"/>
      <c r="GN43" s="1013"/>
      <c r="GO43" s="1013"/>
      <c r="GP43" s="1013"/>
      <c r="GQ43" s="1013"/>
      <c r="GR43" s="1013"/>
      <c r="GS43" s="1013"/>
      <c r="GT43" s="1013"/>
      <c r="GU43" s="1013"/>
      <c r="GV43" s="1013"/>
      <c r="GW43" s="1013"/>
      <c r="GX43" s="1013"/>
      <c r="GY43" s="1013"/>
      <c r="GZ43" s="1013"/>
      <c r="HA43" s="1013"/>
      <c r="HB43" s="1013"/>
      <c r="HC43" s="1013"/>
      <c r="HD43" s="1013"/>
      <c r="HE43" s="1013"/>
      <c r="HF43" s="1013"/>
      <c r="HG43" s="1013"/>
      <c r="HH43" s="1013"/>
      <c r="HI43" s="1013"/>
      <c r="HJ43" s="1013"/>
      <c r="HK43" s="1013"/>
      <c r="HL43" s="1013"/>
      <c r="HM43" s="1013"/>
      <c r="HN43" s="1013"/>
      <c r="HO43" s="1013"/>
      <c r="HP43" s="1013"/>
      <c r="HQ43" s="1013"/>
      <c r="HR43" s="1013"/>
      <c r="HS43" s="1013"/>
      <c r="HT43" s="1013"/>
      <c r="HU43" s="1013"/>
      <c r="HV43" s="1013"/>
      <c r="HW43" s="1013"/>
      <c r="HX43" s="1013"/>
      <c r="HY43" s="1013"/>
      <c r="HZ43" s="1013"/>
      <c r="IA43" s="1013"/>
      <c r="IB43" s="1013"/>
      <c r="IC43" s="1013"/>
      <c r="ID43" s="1013"/>
      <c r="IE43" s="1013"/>
      <c r="IF43" s="1013"/>
      <c r="IG43" s="1013"/>
      <c r="IH43" s="1013"/>
      <c r="II43" s="1013"/>
      <c r="IJ43" s="1013"/>
      <c r="IK43" s="1013"/>
      <c r="IL43" s="1013"/>
      <c r="IM43" s="1013"/>
      <c r="IN43" s="1013"/>
      <c r="IO43" s="1013"/>
      <c r="IP43" s="1013"/>
      <c r="IQ43" s="1013"/>
      <c r="IR43" s="1013"/>
      <c r="IS43" s="1013"/>
      <c r="IT43" s="1013"/>
      <c r="IU43" s="1013"/>
    </row>
    <row r="44" spans="1:255" s="1031" customFormat="1" ht="21" customHeight="1">
      <c r="A44" s="1032" t="s">
        <v>441</v>
      </c>
      <c r="B44" s="1033" t="s">
        <v>111</v>
      </c>
      <c r="C44" s="1034">
        <v>18</v>
      </c>
      <c r="D44" s="1035">
        <v>0</v>
      </c>
      <c r="E44" s="1036">
        <v>0</v>
      </c>
      <c r="F44" s="1037">
        <v>0</v>
      </c>
      <c r="G44" s="1037">
        <v>0</v>
      </c>
      <c r="H44" s="1037">
        <v>0</v>
      </c>
      <c r="I44" s="1037">
        <v>0</v>
      </c>
      <c r="J44" s="1037">
        <f t="shared" si="2"/>
        <v>0</v>
      </c>
      <c r="K44" s="1039">
        <v>0</v>
      </c>
      <c r="L44" s="1037">
        <f t="shared" si="0"/>
        <v>0</v>
      </c>
      <c r="M44" s="1038"/>
      <c r="N44" s="1029">
        <f t="shared" si="1"/>
        <v>0</v>
      </c>
      <c r="O44" s="1030"/>
      <c r="P44" s="1013"/>
      <c r="Q44" s="1013"/>
      <c r="R44" s="1013"/>
      <c r="S44" s="1013"/>
      <c r="T44" s="1013"/>
      <c r="U44" s="1013"/>
      <c r="V44" s="1013"/>
      <c r="W44" s="1013"/>
      <c r="X44" s="1013"/>
      <c r="Y44" s="1013"/>
      <c r="Z44" s="1013"/>
      <c r="AA44" s="1013"/>
      <c r="AB44" s="1013"/>
      <c r="AC44" s="1013"/>
      <c r="AD44" s="1013"/>
      <c r="AE44" s="1013"/>
      <c r="AF44" s="1013"/>
      <c r="AG44" s="1013"/>
      <c r="AH44" s="1013"/>
      <c r="AI44" s="1013"/>
      <c r="AJ44" s="1013"/>
      <c r="AK44" s="1013"/>
      <c r="AL44" s="1013"/>
      <c r="AM44" s="1013"/>
      <c r="AN44" s="1013"/>
      <c r="AO44" s="1013"/>
      <c r="AP44" s="1013"/>
      <c r="AQ44" s="1013"/>
      <c r="AR44" s="1013"/>
      <c r="AS44" s="1013"/>
      <c r="AT44" s="1013"/>
      <c r="AU44" s="1013"/>
      <c r="AV44" s="1013"/>
      <c r="AW44" s="1013"/>
      <c r="AX44" s="1013"/>
      <c r="AY44" s="1013"/>
      <c r="AZ44" s="1013"/>
      <c r="BA44" s="1013"/>
      <c r="BB44" s="1013"/>
      <c r="BC44" s="1013"/>
      <c r="BD44" s="1013"/>
      <c r="BE44" s="1013"/>
      <c r="BF44" s="1013"/>
      <c r="BG44" s="1013"/>
      <c r="BH44" s="1013"/>
      <c r="BI44" s="1013"/>
      <c r="BJ44" s="1013"/>
      <c r="BK44" s="1013"/>
      <c r="BL44" s="1013"/>
      <c r="BM44" s="1013"/>
      <c r="BN44" s="1013"/>
      <c r="BO44" s="1013"/>
      <c r="BP44" s="1013"/>
      <c r="BQ44" s="1013"/>
      <c r="BR44" s="1013"/>
      <c r="BS44" s="1013"/>
      <c r="BT44" s="1013"/>
      <c r="BU44" s="1013"/>
      <c r="BV44" s="1013"/>
      <c r="BW44" s="1013"/>
      <c r="BX44" s="1013"/>
      <c r="BY44" s="1013"/>
      <c r="BZ44" s="1013"/>
      <c r="CA44" s="1013"/>
      <c r="CB44" s="1013"/>
      <c r="CC44" s="1013"/>
      <c r="CD44" s="1013"/>
      <c r="CE44" s="1013"/>
      <c r="CF44" s="1013"/>
      <c r="CG44" s="1013"/>
      <c r="CH44" s="1013"/>
      <c r="CI44" s="1013"/>
      <c r="CJ44" s="1013"/>
      <c r="CK44" s="1013"/>
      <c r="CL44" s="1013"/>
      <c r="CM44" s="1013"/>
      <c r="CN44" s="1013"/>
      <c r="CO44" s="1013"/>
      <c r="CP44" s="1013"/>
      <c r="CQ44" s="1013"/>
      <c r="CR44" s="1013"/>
      <c r="CS44" s="1013"/>
      <c r="CT44" s="1013"/>
      <c r="CU44" s="1013"/>
      <c r="CV44" s="1013"/>
      <c r="CW44" s="1013"/>
      <c r="CX44" s="1013"/>
      <c r="CY44" s="1013"/>
      <c r="CZ44" s="1013"/>
      <c r="DA44" s="1013"/>
      <c r="DB44" s="1013"/>
      <c r="DC44" s="1013"/>
      <c r="DD44" s="1013"/>
      <c r="DE44" s="1013"/>
      <c r="DF44" s="1013"/>
      <c r="DG44" s="1013"/>
      <c r="DH44" s="1013"/>
      <c r="DI44" s="1013"/>
      <c r="DJ44" s="1013"/>
      <c r="DK44" s="1013"/>
      <c r="DL44" s="1013"/>
      <c r="DM44" s="1013"/>
      <c r="DN44" s="1013"/>
      <c r="DO44" s="1013"/>
      <c r="DP44" s="1013"/>
      <c r="DQ44" s="1013"/>
      <c r="DR44" s="1013"/>
      <c r="DS44" s="1013"/>
      <c r="DT44" s="1013"/>
      <c r="DU44" s="1013"/>
      <c r="DV44" s="1013"/>
      <c r="DW44" s="1013"/>
      <c r="DX44" s="1013"/>
      <c r="DY44" s="1013"/>
      <c r="DZ44" s="1013"/>
      <c r="EA44" s="1013"/>
      <c r="EB44" s="1013"/>
      <c r="EC44" s="1013"/>
      <c r="ED44" s="1013"/>
      <c r="EE44" s="1013"/>
      <c r="EF44" s="1013"/>
      <c r="EG44" s="1013"/>
      <c r="EH44" s="1013"/>
      <c r="EI44" s="1013"/>
      <c r="EJ44" s="1013"/>
      <c r="EK44" s="1013"/>
      <c r="EL44" s="1013"/>
      <c r="EM44" s="1013"/>
      <c r="EN44" s="1013"/>
      <c r="EO44" s="1013"/>
      <c r="EP44" s="1013"/>
      <c r="EQ44" s="1013"/>
      <c r="ER44" s="1013"/>
      <c r="ES44" s="1013"/>
      <c r="ET44" s="1013"/>
      <c r="EU44" s="1013"/>
      <c r="EV44" s="1013"/>
      <c r="EW44" s="1013"/>
      <c r="EX44" s="1013"/>
      <c r="EY44" s="1013"/>
      <c r="EZ44" s="1013"/>
      <c r="FA44" s="1013"/>
      <c r="FB44" s="1013"/>
      <c r="FC44" s="1013"/>
      <c r="FD44" s="1013"/>
      <c r="FE44" s="1013"/>
      <c r="FF44" s="1013"/>
      <c r="FG44" s="1013"/>
      <c r="FH44" s="1013"/>
      <c r="FI44" s="1013"/>
      <c r="FJ44" s="1013"/>
      <c r="FK44" s="1013"/>
      <c r="FL44" s="1013"/>
      <c r="FM44" s="1013"/>
      <c r="FN44" s="1013"/>
      <c r="FO44" s="1013"/>
      <c r="FP44" s="1013"/>
      <c r="FQ44" s="1013"/>
      <c r="FR44" s="1013"/>
      <c r="FS44" s="1013"/>
      <c r="FT44" s="1013"/>
      <c r="FU44" s="1013"/>
      <c r="FV44" s="1013"/>
      <c r="FW44" s="1013"/>
      <c r="FX44" s="1013"/>
      <c r="FY44" s="1013"/>
      <c r="FZ44" s="1013"/>
      <c r="GA44" s="1013"/>
      <c r="GB44" s="1013"/>
      <c r="GC44" s="1013"/>
      <c r="GD44" s="1013"/>
      <c r="GE44" s="1013"/>
      <c r="GF44" s="1013"/>
      <c r="GG44" s="1013"/>
      <c r="GH44" s="1013"/>
      <c r="GI44" s="1013"/>
      <c r="GJ44" s="1013"/>
      <c r="GK44" s="1013"/>
      <c r="GL44" s="1013"/>
      <c r="GM44" s="1013"/>
      <c r="GN44" s="1013"/>
      <c r="GO44" s="1013"/>
      <c r="GP44" s="1013"/>
      <c r="GQ44" s="1013"/>
      <c r="GR44" s="1013"/>
      <c r="GS44" s="1013"/>
      <c r="GT44" s="1013"/>
      <c r="GU44" s="1013"/>
      <c r="GV44" s="1013"/>
      <c r="GW44" s="1013"/>
      <c r="GX44" s="1013"/>
      <c r="GY44" s="1013"/>
      <c r="GZ44" s="1013"/>
      <c r="HA44" s="1013"/>
      <c r="HB44" s="1013"/>
      <c r="HC44" s="1013"/>
      <c r="HD44" s="1013"/>
      <c r="HE44" s="1013"/>
      <c r="HF44" s="1013"/>
      <c r="HG44" s="1013"/>
      <c r="HH44" s="1013"/>
      <c r="HI44" s="1013"/>
      <c r="HJ44" s="1013"/>
      <c r="HK44" s="1013"/>
      <c r="HL44" s="1013"/>
      <c r="HM44" s="1013"/>
      <c r="HN44" s="1013"/>
      <c r="HO44" s="1013"/>
      <c r="HP44" s="1013"/>
      <c r="HQ44" s="1013"/>
      <c r="HR44" s="1013"/>
      <c r="HS44" s="1013"/>
      <c r="HT44" s="1013"/>
      <c r="HU44" s="1013"/>
      <c r="HV44" s="1013"/>
      <c r="HW44" s="1013"/>
      <c r="HX44" s="1013"/>
      <c r="HY44" s="1013"/>
      <c r="HZ44" s="1013"/>
      <c r="IA44" s="1013"/>
      <c r="IB44" s="1013"/>
      <c r="IC44" s="1013"/>
      <c r="ID44" s="1013"/>
      <c r="IE44" s="1013"/>
      <c r="IF44" s="1013"/>
      <c r="IG44" s="1013"/>
      <c r="IH44" s="1013"/>
      <c r="II44" s="1013"/>
      <c r="IJ44" s="1013"/>
      <c r="IK44" s="1013"/>
      <c r="IL44" s="1013"/>
      <c r="IM44" s="1013"/>
      <c r="IN44" s="1013"/>
      <c r="IO44" s="1013"/>
      <c r="IP44" s="1013"/>
      <c r="IQ44" s="1013"/>
      <c r="IR44" s="1013"/>
      <c r="IS44" s="1013"/>
      <c r="IT44" s="1013"/>
      <c r="IU44" s="1013"/>
    </row>
    <row r="45" spans="1:255" s="1031" customFormat="1" ht="21" customHeight="1">
      <c r="A45" s="1032" t="s">
        <v>869</v>
      </c>
      <c r="B45" s="1033" t="s">
        <v>829</v>
      </c>
      <c r="C45" s="1034">
        <v>94</v>
      </c>
      <c r="D45" s="1035">
        <v>50</v>
      </c>
      <c r="E45" s="1036">
        <v>2.0000000000436557E-2</v>
      </c>
      <c r="F45" s="1037">
        <v>1.9999999996798579E-2</v>
      </c>
      <c r="G45" s="1037">
        <v>0</v>
      </c>
      <c r="H45" s="1037">
        <v>0</v>
      </c>
      <c r="I45" s="1037">
        <v>0</v>
      </c>
      <c r="J45" s="1037">
        <f>D45+E45-F45-G45-H45-I45</f>
        <v>50.000000000003638</v>
      </c>
      <c r="K45" s="1039">
        <v>0</v>
      </c>
      <c r="L45" s="1037">
        <f t="shared" si="0"/>
        <v>50.000000000003638</v>
      </c>
      <c r="M45" s="1038">
        <v>50</v>
      </c>
      <c r="N45" s="1029">
        <f>M45-L45</f>
        <v>-3.637978807091713E-12</v>
      </c>
      <c r="O45" s="1030"/>
      <c r="P45" s="1013"/>
      <c r="Q45" s="1013"/>
      <c r="R45" s="1013"/>
      <c r="S45" s="1013"/>
      <c r="T45" s="1013"/>
      <c r="U45" s="1013"/>
      <c r="V45" s="1013"/>
      <c r="W45" s="1013"/>
      <c r="X45" s="1013"/>
      <c r="Y45" s="1013"/>
      <c r="Z45" s="1013"/>
      <c r="AA45" s="1013"/>
      <c r="AB45" s="1013"/>
      <c r="AC45" s="1013"/>
      <c r="AD45" s="1013"/>
      <c r="AE45" s="1013"/>
      <c r="AF45" s="1013"/>
      <c r="AG45" s="1013"/>
      <c r="AH45" s="1013"/>
      <c r="AI45" s="1013"/>
      <c r="AJ45" s="1013"/>
      <c r="AK45" s="1013"/>
      <c r="AL45" s="1013"/>
      <c r="AM45" s="1013"/>
      <c r="AN45" s="1013"/>
      <c r="AO45" s="1013"/>
      <c r="AP45" s="1013"/>
      <c r="AQ45" s="1013"/>
      <c r="AR45" s="1013"/>
      <c r="AS45" s="1013"/>
      <c r="AT45" s="1013"/>
      <c r="AU45" s="1013"/>
      <c r="AV45" s="1013"/>
      <c r="AW45" s="1013"/>
      <c r="AX45" s="1013"/>
      <c r="AY45" s="1013"/>
      <c r="AZ45" s="1013"/>
      <c r="BA45" s="1013"/>
      <c r="BB45" s="1013"/>
      <c r="BC45" s="1013"/>
      <c r="BD45" s="1013"/>
      <c r="BE45" s="1013"/>
      <c r="BF45" s="1013"/>
      <c r="BG45" s="1013"/>
      <c r="BH45" s="1013"/>
      <c r="BI45" s="1013"/>
      <c r="BJ45" s="1013"/>
      <c r="BK45" s="1013"/>
      <c r="BL45" s="1013"/>
      <c r="BM45" s="1013"/>
      <c r="BN45" s="1013"/>
      <c r="BO45" s="1013"/>
      <c r="BP45" s="1013"/>
      <c r="BQ45" s="1013"/>
      <c r="BR45" s="1013"/>
      <c r="BS45" s="1013"/>
      <c r="BT45" s="1013"/>
      <c r="BU45" s="1013"/>
      <c r="BV45" s="1013"/>
      <c r="BW45" s="1013"/>
      <c r="BX45" s="1013"/>
      <c r="BY45" s="1013"/>
      <c r="BZ45" s="1013"/>
      <c r="CA45" s="1013"/>
      <c r="CB45" s="1013"/>
      <c r="CC45" s="1013"/>
      <c r="CD45" s="1013"/>
      <c r="CE45" s="1013"/>
      <c r="CF45" s="1013"/>
      <c r="CG45" s="1013"/>
      <c r="CH45" s="1013"/>
      <c r="CI45" s="1013"/>
      <c r="CJ45" s="1013"/>
      <c r="CK45" s="1013"/>
      <c r="CL45" s="1013"/>
      <c r="CM45" s="1013"/>
      <c r="CN45" s="1013"/>
      <c r="CO45" s="1013"/>
      <c r="CP45" s="1013"/>
      <c r="CQ45" s="1013"/>
      <c r="CR45" s="1013"/>
      <c r="CS45" s="1013"/>
      <c r="CT45" s="1013"/>
      <c r="CU45" s="1013"/>
      <c r="CV45" s="1013"/>
      <c r="CW45" s="1013"/>
      <c r="CX45" s="1013"/>
      <c r="CY45" s="1013"/>
      <c r="CZ45" s="1013"/>
      <c r="DA45" s="1013"/>
      <c r="DB45" s="1013"/>
      <c r="DC45" s="1013"/>
      <c r="DD45" s="1013"/>
      <c r="DE45" s="1013"/>
      <c r="DF45" s="1013"/>
      <c r="DG45" s="1013"/>
      <c r="DH45" s="1013"/>
      <c r="DI45" s="1013"/>
      <c r="DJ45" s="1013"/>
      <c r="DK45" s="1013"/>
      <c r="DL45" s="1013"/>
      <c r="DM45" s="1013"/>
      <c r="DN45" s="1013"/>
      <c r="DO45" s="1013"/>
      <c r="DP45" s="1013"/>
      <c r="DQ45" s="1013"/>
      <c r="DR45" s="1013"/>
      <c r="DS45" s="1013"/>
      <c r="DT45" s="1013"/>
      <c r="DU45" s="1013"/>
      <c r="DV45" s="1013"/>
      <c r="DW45" s="1013"/>
      <c r="DX45" s="1013"/>
      <c r="DY45" s="1013"/>
      <c r="DZ45" s="1013"/>
      <c r="EA45" s="1013"/>
      <c r="EB45" s="1013"/>
      <c r="EC45" s="1013"/>
      <c r="ED45" s="1013"/>
      <c r="EE45" s="1013"/>
      <c r="EF45" s="1013"/>
      <c r="EG45" s="1013"/>
      <c r="EH45" s="1013"/>
      <c r="EI45" s="1013"/>
      <c r="EJ45" s="1013"/>
      <c r="EK45" s="1013"/>
      <c r="EL45" s="1013"/>
      <c r="EM45" s="1013"/>
      <c r="EN45" s="1013"/>
      <c r="EO45" s="1013"/>
      <c r="EP45" s="1013"/>
      <c r="EQ45" s="1013"/>
      <c r="ER45" s="1013"/>
      <c r="ES45" s="1013"/>
      <c r="ET45" s="1013"/>
      <c r="EU45" s="1013"/>
      <c r="EV45" s="1013"/>
      <c r="EW45" s="1013"/>
      <c r="EX45" s="1013"/>
      <c r="EY45" s="1013"/>
      <c r="EZ45" s="1013"/>
      <c r="FA45" s="1013"/>
      <c r="FB45" s="1013"/>
      <c r="FC45" s="1013"/>
      <c r="FD45" s="1013"/>
      <c r="FE45" s="1013"/>
      <c r="FF45" s="1013"/>
      <c r="FG45" s="1013"/>
      <c r="FH45" s="1013"/>
      <c r="FI45" s="1013"/>
      <c r="FJ45" s="1013"/>
      <c r="FK45" s="1013"/>
      <c r="FL45" s="1013"/>
      <c r="FM45" s="1013"/>
      <c r="FN45" s="1013"/>
      <c r="FO45" s="1013"/>
      <c r="FP45" s="1013"/>
      <c r="FQ45" s="1013"/>
      <c r="FR45" s="1013"/>
      <c r="FS45" s="1013"/>
      <c r="FT45" s="1013"/>
      <c r="FU45" s="1013"/>
      <c r="FV45" s="1013"/>
      <c r="FW45" s="1013"/>
      <c r="FX45" s="1013"/>
      <c r="FY45" s="1013"/>
      <c r="FZ45" s="1013"/>
      <c r="GA45" s="1013"/>
      <c r="GB45" s="1013"/>
      <c r="GC45" s="1013"/>
      <c r="GD45" s="1013"/>
      <c r="GE45" s="1013"/>
      <c r="GF45" s="1013"/>
      <c r="GG45" s="1013"/>
      <c r="GH45" s="1013"/>
      <c r="GI45" s="1013"/>
      <c r="GJ45" s="1013"/>
      <c r="GK45" s="1013"/>
      <c r="GL45" s="1013"/>
      <c r="GM45" s="1013"/>
      <c r="GN45" s="1013"/>
      <c r="GO45" s="1013"/>
      <c r="GP45" s="1013"/>
      <c r="GQ45" s="1013"/>
      <c r="GR45" s="1013"/>
      <c r="GS45" s="1013"/>
      <c r="GT45" s="1013"/>
      <c r="GU45" s="1013"/>
      <c r="GV45" s="1013"/>
      <c r="GW45" s="1013"/>
      <c r="GX45" s="1013"/>
      <c r="GY45" s="1013"/>
      <c r="GZ45" s="1013"/>
      <c r="HA45" s="1013"/>
      <c r="HB45" s="1013"/>
      <c r="HC45" s="1013"/>
      <c r="HD45" s="1013"/>
      <c r="HE45" s="1013"/>
      <c r="HF45" s="1013"/>
      <c r="HG45" s="1013"/>
      <c r="HH45" s="1013"/>
      <c r="HI45" s="1013"/>
      <c r="HJ45" s="1013"/>
      <c r="HK45" s="1013"/>
      <c r="HL45" s="1013"/>
      <c r="HM45" s="1013"/>
      <c r="HN45" s="1013"/>
      <c r="HO45" s="1013"/>
      <c r="HP45" s="1013"/>
      <c r="HQ45" s="1013"/>
      <c r="HR45" s="1013"/>
      <c r="HS45" s="1013"/>
      <c r="HT45" s="1013"/>
      <c r="HU45" s="1013"/>
      <c r="HV45" s="1013"/>
      <c r="HW45" s="1013"/>
      <c r="HX45" s="1013"/>
      <c r="HY45" s="1013"/>
      <c r="HZ45" s="1013"/>
      <c r="IA45" s="1013"/>
      <c r="IB45" s="1013"/>
      <c r="IC45" s="1013"/>
      <c r="ID45" s="1013"/>
      <c r="IE45" s="1013"/>
      <c r="IF45" s="1013"/>
      <c r="IG45" s="1013"/>
      <c r="IH45" s="1013"/>
      <c r="II45" s="1013"/>
      <c r="IJ45" s="1013"/>
      <c r="IK45" s="1013"/>
      <c r="IL45" s="1013"/>
      <c r="IM45" s="1013"/>
      <c r="IN45" s="1013"/>
      <c r="IO45" s="1013"/>
      <c r="IP45" s="1013"/>
      <c r="IQ45" s="1013"/>
      <c r="IR45" s="1013"/>
      <c r="IS45" s="1013"/>
      <c r="IT45" s="1013"/>
      <c r="IU45" s="1013"/>
    </row>
    <row r="46" spans="1:255" s="1031" customFormat="1" ht="21" customHeight="1">
      <c r="A46" s="1032" t="s">
        <v>838</v>
      </c>
      <c r="B46" s="1033" t="s">
        <v>111</v>
      </c>
      <c r="C46" s="1034">
        <v>34</v>
      </c>
      <c r="D46" s="1035">
        <v>0</v>
      </c>
      <c r="E46" s="1036">
        <v>0</v>
      </c>
      <c r="F46" s="1037">
        <v>0</v>
      </c>
      <c r="G46" s="1037">
        <v>0</v>
      </c>
      <c r="H46" s="1037">
        <v>0</v>
      </c>
      <c r="I46" s="1037">
        <v>0</v>
      </c>
      <c r="J46" s="1037">
        <f t="shared" si="2"/>
        <v>0</v>
      </c>
      <c r="K46" s="1039">
        <v>0</v>
      </c>
      <c r="L46" s="1037">
        <f t="shared" si="0"/>
        <v>0</v>
      </c>
      <c r="M46" s="1038">
        <v>0</v>
      </c>
      <c r="N46" s="1029">
        <f t="shared" si="1"/>
        <v>0</v>
      </c>
      <c r="O46" s="1030"/>
      <c r="P46" s="1013"/>
      <c r="Q46" s="1013"/>
      <c r="R46" s="1013"/>
      <c r="S46" s="1013"/>
      <c r="T46" s="1013"/>
      <c r="U46" s="1013"/>
      <c r="V46" s="1013"/>
      <c r="W46" s="1013"/>
      <c r="X46" s="1013"/>
      <c r="Y46" s="1013"/>
      <c r="Z46" s="1013"/>
      <c r="AA46" s="1013"/>
      <c r="AB46" s="1013"/>
      <c r="AC46" s="1013"/>
      <c r="AD46" s="1013"/>
      <c r="AE46" s="1013"/>
      <c r="AF46" s="1013"/>
      <c r="AG46" s="1013"/>
      <c r="AH46" s="1013"/>
      <c r="AI46" s="1013"/>
      <c r="AJ46" s="1013"/>
      <c r="AK46" s="1013"/>
      <c r="AL46" s="1013"/>
      <c r="AM46" s="1013"/>
      <c r="AN46" s="1013"/>
      <c r="AO46" s="1013"/>
      <c r="AP46" s="1013"/>
      <c r="AQ46" s="1013"/>
      <c r="AR46" s="1013"/>
      <c r="AS46" s="1013"/>
      <c r="AT46" s="1013"/>
      <c r="AU46" s="1013"/>
      <c r="AV46" s="1013"/>
      <c r="AW46" s="1013"/>
      <c r="AX46" s="1013"/>
      <c r="AY46" s="1013"/>
      <c r="AZ46" s="1013"/>
      <c r="BA46" s="1013"/>
      <c r="BB46" s="1013"/>
      <c r="BC46" s="1013"/>
      <c r="BD46" s="1013"/>
      <c r="BE46" s="1013"/>
      <c r="BF46" s="1013"/>
      <c r="BG46" s="1013"/>
      <c r="BH46" s="1013"/>
      <c r="BI46" s="1013"/>
      <c r="BJ46" s="1013"/>
      <c r="BK46" s="1013"/>
      <c r="BL46" s="1013"/>
      <c r="BM46" s="1013"/>
      <c r="BN46" s="1013"/>
      <c r="BO46" s="1013"/>
      <c r="BP46" s="1013"/>
      <c r="BQ46" s="1013"/>
      <c r="BR46" s="1013"/>
      <c r="BS46" s="1013"/>
      <c r="BT46" s="1013"/>
      <c r="BU46" s="1013"/>
      <c r="BV46" s="1013"/>
      <c r="BW46" s="1013"/>
      <c r="BX46" s="1013"/>
      <c r="BY46" s="1013"/>
      <c r="BZ46" s="1013"/>
      <c r="CA46" s="1013"/>
      <c r="CB46" s="1013"/>
      <c r="CC46" s="1013"/>
      <c r="CD46" s="1013"/>
      <c r="CE46" s="1013"/>
      <c r="CF46" s="1013"/>
      <c r="CG46" s="1013"/>
      <c r="CH46" s="1013"/>
      <c r="CI46" s="1013"/>
      <c r="CJ46" s="1013"/>
      <c r="CK46" s="1013"/>
      <c r="CL46" s="1013"/>
      <c r="CM46" s="1013"/>
      <c r="CN46" s="1013"/>
      <c r="CO46" s="1013"/>
      <c r="CP46" s="1013"/>
      <c r="CQ46" s="1013"/>
      <c r="CR46" s="1013"/>
      <c r="CS46" s="1013"/>
      <c r="CT46" s="1013"/>
      <c r="CU46" s="1013"/>
      <c r="CV46" s="1013"/>
      <c r="CW46" s="1013"/>
      <c r="CX46" s="1013"/>
      <c r="CY46" s="1013"/>
      <c r="CZ46" s="1013"/>
      <c r="DA46" s="1013"/>
      <c r="DB46" s="1013"/>
      <c r="DC46" s="1013"/>
      <c r="DD46" s="1013"/>
      <c r="DE46" s="1013"/>
      <c r="DF46" s="1013"/>
      <c r="DG46" s="1013"/>
      <c r="DH46" s="1013"/>
      <c r="DI46" s="1013"/>
      <c r="DJ46" s="1013"/>
      <c r="DK46" s="1013"/>
      <c r="DL46" s="1013"/>
      <c r="DM46" s="1013"/>
      <c r="DN46" s="1013"/>
      <c r="DO46" s="1013"/>
      <c r="DP46" s="1013"/>
      <c r="DQ46" s="1013"/>
      <c r="DR46" s="1013"/>
      <c r="DS46" s="1013"/>
      <c r="DT46" s="1013"/>
      <c r="DU46" s="1013"/>
      <c r="DV46" s="1013"/>
      <c r="DW46" s="1013"/>
      <c r="DX46" s="1013"/>
      <c r="DY46" s="1013"/>
      <c r="DZ46" s="1013"/>
      <c r="EA46" s="1013"/>
      <c r="EB46" s="1013"/>
      <c r="EC46" s="1013"/>
      <c r="ED46" s="1013"/>
      <c r="EE46" s="1013"/>
      <c r="EF46" s="1013"/>
      <c r="EG46" s="1013"/>
      <c r="EH46" s="1013"/>
      <c r="EI46" s="1013"/>
      <c r="EJ46" s="1013"/>
      <c r="EK46" s="1013"/>
      <c r="EL46" s="1013"/>
      <c r="EM46" s="1013"/>
      <c r="EN46" s="1013"/>
      <c r="EO46" s="1013"/>
      <c r="EP46" s="1013"/>
      <c r="EQ46" s="1013"/>
      <c r="ER46" s="1013"/>
      <c r="ES46" s="1013"/>
      <c r="ET46" s="1013"/>
      <c r="EU46" s="1013"/>
      <c r="EV46" s="1013"/>
      <c r="EW46" s="1013"/>
      <c r="EX46" s="1013"/>
      <c r="EY46" s="1013"/>
      <c r="EZ46" s="1013"/>
      <c r="FA46" s="1013"/>
      <c r="FB46" s="1013"/>
      <c r="FC46" s="1013"/>
      <c r="FD46" s="1013"/>
      <c r="FE46" s="1013"/>
      <c r="FF46" s="1013"/>
      <c r="FG46" s="1013"/>
      <c r="FH46" s="1013"/>
      <c r="FI46" s="1013"/>
      <c r="FJ46" s="1013"/>
      <c r="FK46" s="1013"/>
      <c r="FL46" s="1013"/>
      <c r="FM46" s="1013"/>
      <c r="FN46" s="1013"/>
      <c r="FO46" s="1013"/>
      <c r="FP46" s="1013"/>
      <c r="FQ46" s="1013"/>
      <c r="FR46" s="1013"/>
      <c r="FS46" s="1013"/>
      <c r="FT46" s="1013"/>
      <c r="FU46" s="1013"/>
      <c r="FV46" s="1013"/>
      <c r="FW46" s="1013"/>
      <c r="FX46" s="1013"/>
      <c r="FY46" s="1013"/>
      <c r="FZ46" s="1013"/>
      <c r="GA46" s="1013"/>
      <c r="GB46" s="1013"/>
      <c r="GC46" s="1013"/>
      <c r="GD46" s="1013"/>
      <c r="GE46" s="1013"/>
      <c r="GF46" s="1013"/>
      <c r="GG46" s="1013"/>
      <c r="GH46" s="1013"/>
      <c r="GI46" s="1013"/>
      <c r="GJ46" s="1013"/>
      <c r="GK46" s="1013"/>
      <c r="GL46" s="1013"/>
      <c r="GM46" s="1013"/>
      <c r="GN46" s="1013"/>
      <c r="GO46" s="1013"/>
      <c r="GP46" s="1013"/>
      <c r="GQ46" s="1013"/>
      <c r="GR46" s="1013"/>
      <c r="GS46" s="1013"/>
      <c r="GT46" s="1013"/>
      <c r="GU46" s="1013"/>
      <c r="GV46" s="1013"/>
      <c r="GW46" s="1013"/>
      <c r="GX46" s="1013"/>
      <c r="GY46" s="1013"/>
      <c r="GZ46" s="1013"/>
      <c r="HA46" s="1013"/>
      <c r="HB46" s="1013"/>
      <c r="HC46" s="1013"/>
      <c r="HD46" s="1013"/>
      <c r="HE46" s="1013"/>
      <c r="HF46" s="1013"/>
      <c r="HG46" s="1013"/>
      <c r="HH46" s="1013"/>
      <c r="HI46" s="1013"/>
      <c r="HJ46" s="1013"/>
      <c r="HK46" s="1013"/>
      <c r="HL46" s="1013"/>
      <c r="HM46" s="1013"/>
      <c r="HN46" s="1013"/>
      <c r="HO46" s="1013"/>
      <c r="HP46" s="1013"/>
      <c r="HQ46" s="1013"/>
      <c r="HR46" s="1013"/>
      <c r="HS46" s="1013"/>
      <c r="HT46" s="1013"/>
      <c r="HU46" s="1013"/>
      <c r="HV46" s="1013"/>
      <c r="HW46" s="1013"/>
      <c r="HX46" s="1013"/>
      <c r="HY46" s="1013"/>
      <c r="HZ46" s="1013"/>
      <c r="IA46" s="1013"/>
      <c r="IB46" s="1013"/>
      <c r="IC46" s="1013"/>
      <c r="ID46" s="1013"/>
      <c r="IE46" s="1013"/>
      <c r="IF46" s="1013"/>
      <c r="IG46" s="1013"/>
      <c r="IH46" s="1013"/>
      <c r="II46" s="1013"/>
      <c r="IJ46" s="1013"/>
      <c r="IK46" s="1013"/>
      <c r="IL46" s="1013"/>
      <c r="IM46" s="1013"/>
      <c r="IN46" s="1013"/>
      <c r="IO46" s="1013"/>
      <c r="IP46" s="1013"/>
      <c r="IQ46" s="1013"/>
      <c r="IR46" s="1013"/>
      <c r="IS46" s="1013"/>
      <c r="IT46" s="1013"/>
      <c r="IU46" s="1013"/>
    </row>
    <row r="47" spans="1:255" s="1031" customFormat="1" ht="21" customHeight="1">
      <c r="A47" s="1032" t="s">
        <v>659</v>
      </c>
      <c r="B47" s="1033" t="s">
        <v>1</v>
      </c>
      <c r="C47" s="1034">
        <v>42</v>
      </c>
      <c r="D47" s="1035">
        <v>20</v>
      </c>
      <c r="E47" s="1036">
        <v>16.829999999841675</v>
      </c>
      <c r="F47" s="1037">
        <v>38.689999999944121</v>
      </c>
      <c r="G47" s="1037">
        <v>0</v>
      </c>
      <c r="H47" s="1037">
        <v>0</v>
      </c>
      <c r="I47" s="1037">
        <v>0</v>
      </c>
      <c r="J47" s="1037">
        <f>D47+E47-F47-G47-H47-I47</f>
        <v>-1.8600000001024455</v>
      </c>
      <c r="K47" s="1039">
        <v>0</v>
      </c>
      <c r="L47" s="1037">
        <f>J47-K47</f>
        <v>-1.8600000001024455</v>
      </c>
      <c r="M47" s="1038">
        <f>-2500+-1.86</f>
        <v>-2501.86</v>
      </c>
      <c r="N47" s="1029">
        <f>M47-L47</f>
        <v>-2499.9999999998977</v>
      </c>
      <c r="O47" s="1030"/>
      <c r="P47" s="1013"/>
      <c r="Q47" s="1013"/>
      <c r="R47" s="1013"/>
      <c r="S47" s="1013"/>
      <c r="T47" s="1013"/>
      <c r="U47" s="1013"/>
      <c r="V47" s="1013"/>
      <c r="W47" s="1013"/>
      <c r="X47" s="1013"/>
      <c r="Y47" s="1013"/>
      <c r="Z47" s="1013"/>
      <c r="AA47" s="1013"/>
      <c r="AB47" s="1013"/>
      <c r="AC47" s="1013"/>
      <c r="AD47" s="1013"/>
      <c r="AE47" s="1013"/>
      <c r="AF47" s="1013"/>
      <c r="AG47" s="1013"/>
      <c r="AH47" s="1013"/>
      <c r="AI47" s="1013"/>
      <c r="AJ47" s="1013"/>
      <c r="AK47" s="1013"/>
      <c r="AL47" s="1013"/>
      <c r="AM47" s="1013"/>
      <c r="AN47" s="1013"/>
      <c r="AO47" s="1013"/>
      <c r="AP47" s="1013"/>
      <c r="AQ47" s="1013"/>
      <c r="AR47" s="1013"/>
      <c r="AS47" s="1013"/>
      <c r="AT47" s="1013"/>
      <c r="AU47" s="1013"/>
      <c r="AV47" s="1013"/>
      <c r="AW47" s="1013"/>
      <c r="AX47" s="1013"/>
      <c r="AY47" s="1013"/>
      <c r="AZ47" s="1013"/>
      <c r="BA47" s="1013"/>
      <c r="BB47" s="1013"/>
      <c r="BC47" s="1013"/>
      <c r="BD47" s="1013"/>
      <c r="BE47" s="1013"/>
      <c r="BF47" s="1013"/>
      <c r="BG47" s="1013"/>
      <c r="BH47" s="1013"/>
      <c r="BI47" s="1013"/>
      <c r="BJ47" s="1013"/>
      <c r="BK47" s="1013"/>
      <c r="BL47" s="1013"/>
      <c r="BM47" s="1013"/>
      <c r="BN47" s="1013"/>
      <c r="BO47" s="1013"/>
      <c r="BP47" s="1013"/>
      <c r="BQ47" s="1013"/>
      <c r="BR47" s="1013"/>
      <c r="BS47" s="1013"/>
      <c r="BT47" s="1013"/>
      <c r="BU47" s="1013"/>
      <c r="BV47" s="1013"/>
      <c r="BW47" s="1013"/>
      <c r="BX47" s="1013"/>
      <c r="BY47" s="1013"/>
      <c r="BZ47" s="1013"/>
      <c r="CA47" s="1013"/>
      <c r="CB47" s="1013"/>
      <c r="CC47" s="1013"/>
      <c r="CD47" s="1013"/>
      <c r="CE47" s="1013"/>
      <c r="CF47" s="1013"/>
      <c r="CG47" s="1013"/>
      <c r="CH47" s="1013"/>
      <c r="CI47" s="1013"/>
      <c r="CJ47" s="1013"/>
      <c r="CK47" s="1013"/>
      <c r="CL47" s="1013"/>
      <c r="CM47" s="1013"/>
      <c r="CN47" s="1013"/>
      <c r="CO47" s="1013"/>
      <c r="CP47" s="1013"/>
      <c r="CQ47" s="1013"/>
      <c r="CR47" s="1013"/>
      <c r="CS47" s="1013"/>
      <c r="CT47" s="1013"/>
      <c r="CU47" s="1013"/>
      <c r="CV47" s="1013"/>
      <c r="CW47" s="1013"/>
      <c r="CX47" s="1013"/>
      <c r="CY47" s="1013"/>
      <c r="CZ47" s="1013"/>
      <c r="DA47" s="1013"/>
      <c r="DB47" s="1013"/>
      <c r="DC47" s="1013"/>
      <c r="DD47" s="1013"/>
      <c r="DE47" s="1013"/>
      <c r="DF47" s="1013"/>
      <c r="DG47" s="1013"/>
      <c r="DH47" s="1013"/>
      <c r="DI47" s="1013"/>
      <c r="DJ47" s="1013"/>
      <c r="DK47" s="1013"/>
      <c r="DL47" s="1013"/>
      <c r="DM47" s="1013"/>
      <c r="DN47" s="1013"/>
      <c r="DO47" s="1013"/>
      <c r="DP47" s="1013"/>
      <c r="DQ47" s="1013"/>
      <c r="DR47" s="1013"/>
      <c r="DS47" s="1013"/>
      <c r="DT47" s="1013"/>
      <c r="DU47" s="1013"/>
      <c r="DV47" s="1013"/>
      <c r="DW47" s="1013"/>
      <c r="DX47" s="1013"/>
      <c r="DY47" s="1013"/>
      <c r="DZ47" s="1013"/>
      <c r="EA47" s="1013"/>
      <c r="EB47" s="1013"/>
      <c r="EC47" s="1013"/>
      <c r="ED47" s="1013"/>
      <c r="EE47" s="1013"/>
      <c r="EF47" s="1013"/>
      <c r="EG47" s="1013"/>
      <c r="EH47" s="1013"/>
      <c r="EI47" s="1013"/>
      <c r="EJ47" s="1013"/>
      <c r="EK47" s="1013"/>
      <c r="EL47" s="1013"/>
      <c r="EM47" s="1013"/>
      <c r="EN47" s="1013"/>
      <c r="EO47" s="1013"/>
      <c r="EP47" s="1013"/>
      <c r="EQ47" s="1013"/>
      <c r="ER47" s="1013"/>
      <c r="ES47" s="1013"/>
      <c r="ET47" s="1013"/>
      <c r="EU47" s="1013"/>
      <c r="EV47" s="1013"/>
      <c r="EW47" s="1013"/>
      <c r="EX47" s="1013"/>
      <c r="EY47" s="1013"/>
      <c r="EZ47" s="1013"/>
      <c r="FA47" s="1013"/>
      <c r="FB47" s="1013"/>
      <c r="FC47" s="1013"/>
      <c r="FD47" s="1013"/>
      <c r="FE47" s="1013"/>
      <c r="FF47" s="1013"/>
      <c r="FG47" s="1013"/>
      <c r="FH47" s="1013"/>
      <c r="FI47" s="1013"/>
      <c r="FJ47" s="1013"/>
      <c r="FK47" s="1013"/>
      <c r="FL47" s="1013"/>
      <c r="FM47" s="1013"/>
      <c r="FN47" s="1013"/>
      <c r="FO47" s="1013"/>
      <c r="FP47" s="1013"/>
      <c r="FQ47" s="1013"/>
      <c r="FR47" s="1013"/>
      <c r="FS47" s="1013"/>
      <c r="FT47" s="1013"/>
      <c r="FU47" s="1013"/>
      <c r="FV47" s="1013"/>
      <c r="FW47" s="1013"/>
      <c r="FX47" s="1013"/>
      <c r="FY47" s="1013"/>
      <c r="FZ47" s="1013"/>
      <c r="GA47" s="1013"/>
      <c r="GB47" s="1013"/>
      <c r="GC47" s="1013"/>
      <c r="GD47" s="1013"/>
      <c r="GE47" s="1013"/>
      <c r="GF47" s="1013"/>
      <c r="GG47" s="1013"/>
      <c r="GH47" s="1013"/>
      <c r="GI47" s="1013"/>
      <c r="GJ47" s="1013"/>
      <c r="GK47" s="1013"/>
      <c r="GL47" s="1013"/>
      <c r="GM47" s="1013"/>
      <c r="GN47" s="1013"/>
      <c r="GO47" s="1013"/>
      <c r="GP47" s="1013"/>
      <c r="GQ47" s="1013"/>
      <c r="GR47" s="1013"/>
      <c r="GS47" s="1013"/>
      <c r="GT47" s="1013"/>
      <c r="GU47" s="1013"/>
      <c r="GV47" s="1013"/>
      <c r="GW47" s="1013"/>
      <c r="GX47" s="1013"/>
      <c r="GY47" s="1013"/>
      <c r="GZ47" s="1013"/>
      <c r="HA47" s="1013"/>
      <c r="HB47" s="1013"/>
      <c r="HC47" s="1013"/>
      <c r="HD47" s="1013"/>
      <c r="HE47" s="1013"/>
      <c r="HF47" s="1013"/>
      <c r="HG47" s="1013"/>
      <c r="HH47" s="1013"/>
      <c r="HI47" s="1013"/>
      <c r="HJ47" s="1013"/>
      <c r="HK47" s="1013"/>
      <c r="HL47" s="1013"/>
      <c r="HM47" s="1013"/>
      <c r="HN47" s="1013"/>
      <c r="HO47" s="1013"/>
      <c r="HP47" s="1013"/>
      <c r="HQ47" s="1013"/>
      <c r="HR47" s="1013"/>
      <c r="HS47" s="1013"/>
      <c r="HT47" s="1013"/>
      <c r="HU47" s="1013"/>
      <c r="HV47" s="1013"/>
      <c r="HW47" s="1013"/>
      <c r="HX47" s="1013"/>
      <c r="HY47" s="1013"/>
      <c r="HZ47" s="1013"/>
      <c r="IA47" s="1013"/>
      <c r="IB47" s="1013"/>
      <c r="IC47" s="1013"/>
      <c r="ID47" s="1013"/>
      <c r="IE47" s="1013"/>
      <c r="IF47" s="1013"/>
      <c r="IG47" s="1013"/>
      <c r="IH47" s="1013"/>
      <c r="II47" s="1013"/>
      <c r="IJ47" s="1013"/>
      <c r="IK47" s="1013"/>
      <c r="IL47" s="1013"/>
      <c r="IM47" s="1013"/>
      <c r="IN47" s="1013"/>
      <c r="IO47" s="1013"/>
      <c r="IP47" s="1013"/>
      <c r="IQ47" s="1013"/>
      <c r="IR47" s="1013"/>
      <c r="IS47" s="1013"/>
      <c r="IT47" s="1013"/>
      <c r="IU47" s="1013"/>
    </row>
    <row r="48" spans="1:255" s="1031" customFormat="1" ht="21" customHeight="1">
      <c r="A48" s="1032"/>
      <c r="B48" s="1033" t="s">
        <v>70</v>
      </c>
      <c r="C48" s="1034">
        <v>48</v>
      </c>
      <c r="D48" s="1035">
        <v>0</v>
      </c>
      <c r="E48" s="1036">
        <v>0</v>
      </c>
      <c r="F48" s="1037">
        <v>0</v>
      </c>
      <c r="G48" s="1037">
        <v>0</v>
      </c>
      <c r="H48" s="1037">
        <v>0</v>
      </c>
      <c r="I48" s="1037">
        <v>0</v>
      </c>
      <c r="J48" s="1037">
        <f t="shared" si="2"/>
        <v>0</v>
      </c>
      <c r="K48" s="1039">
        <v>0</v>
      </c>
      <c r="L48" s="1047">
        <f t="shared" si="0"/>
        <v>0</v>
      </c>
      <c r="M48" s="1038"/>
      <c r="N48" s="1029">
        <f t="shared" si="1"/>
        <v>0</v>
      </c>
      <c r="O48" s="1030"/>
      <c r="P48" s="1013"/>
      <c r="Q48" s="1013"/>
      <c r="R48" s="1013"/>
      <c r="S48" s="1013"/>
      <c r="T48" s="1013"/>
      <c r="U48" s="1013"/>
      <c r="V48" s="1013"/>
      <c r="W48" s="1013"/>
      <c r="X48" s="1013"/>
      <c r="Y48" s="1013"/>
      <c r="Z48" s="1013"/>
      <c r="AA48" s="1013"/>
      <c r="AB48" s="1013"/>
      <c r="AC48" s="1013"/>
      <c r="AD48" s="1013"/>
      <c r="AE48" s="1013"/>
      <c r="AF48" s="1013"/>
      <c r="AG48" s="1013"/>
      <c r="AH48" s="1013"/>
      <c r="AI48" s="1013"/>
      <c r="AJ48" s="1013"/>
      <c r="AK48" s="1013"/>
      <c r="AL48" s="1013"/>
      <c r="AM48" s="1013"/>
      <c r="AN48" s="1013"/>
      <c r="AO48" s="1013"/>
      <c r="AP48" s="1013"/>
      <c r="AQ48" s="1013"/>
      <c r="AR48" s="1013"/>
      <c r="AS48" s="1013"/>
      <c r="AT48" s="1013"/>
      <c r="AU48" s="1013"/>
      <c r="AV48" s="1013"/>
      <c r="AW48" s="1013"/>
      <c r="AX48" s="1013"/>
      <c r="AY48" s="1013"/>
      <c r="AZ48" s="1013"/>
      <c r="BA48" s="1013"/>
      <c r="BB48" s="1013"/>
      <c r="BC48" s="1013"/>
      <c r="BD48" s="1013"/>
      <c r="BE48" s="1013"/>
      <c r="BF48" s="1013"/>
      <c r="BG48" s="1013"/>
      <c r="BH48" s="1013"/>
      <c r="BI48" s="1013"/>
      <c r="BJ48" s="1013"/>
      <c r="BK48" s="1013"/>
      <c r="BL48" s="1013"/>
      <c r="BM48" s="1013"/>
      <c r="BN48" s="1013"/>
      <c r="BO48" s="1013"/>
      <c r="BP48" s="1013"/>
      <c r="BQ48" s="1013"/>
      <c r="BR48" s="1013"/>
      <c r="BS48" s="1013"/>
      <c r="BT48" s="1013"/>
      <c r="BU48" s="1013"/>
      <c r="BV48" s="1013"/>
      <c r="BW48" s="1013"/>
      <c r="BX48" s="1013"/>
      <c r="BY48" s="1013"/>
      <c r="BZ48" s="1013"/>
      <c r="CA48" s="1013"/>
      <c r="CB48" s="1013"/>
      <c r="CC48" s="1013"/>
      <c r="CD48" s="1013"/>
      <c r="CE48" s="1013"/>
      <c r="CF48" s="1013"/>
      <c r="CG48" s="1013"/>
      <c r="CH48" s="1013"/>
      <c r="CI48" s="1013"/>
      <c r="CJ48" s="1013"/>
      <c r="CK48" s="1013"/>
      <c r="CL48" s="1013"/>
      <c r="CM48" s="1013"/>
      <c r="CN48" s="1013"/>
      <c r="CO48" s="1013"/>
      <c r="CP48" s="1013"/>
      <c r="CQ48" s="1013"/>
      <c r="CR48" s="1013"/>
      <c r="CS48" s="1013"/>
      <c r="CT48" s="1013"/>
      <c r="CU48" s="1013"/>
      <c r="CV48" s="1013"/>
      <c r="CW48" s="1013"/>
      <c r="CX48" s="1013"/>
      <c r="CY48" s="1013"/>
      <c r="CZ48" s="1013"/>
      <c r="DA48" s="1013"/>
      <c r="DB48" s="1013"/>
      <c r="DC48" s="1013"/>
      <c r="DD48" s="1013"/>
      <c r="DE48" s="1013"/>
      <c r="DF48" s="1013"/>
      <c r="DG48" s="1013"/>
      <c r="DH48" s="1013"/>
      <c r="DI48" s="1013"/>
      <c r="DJ48" s="1013"/>
      <c r="DK48" s="1013"/>
      <c r="DL48" s="1013"/>
      <c r="DM48" s="1013"/>
      <c r="DN48" s="1013"/>
      <c r="DO48" s="1013"/>
      <c r="DP48" s="1013"/>
      <c r="DQ48" s="1013"/>
      <c r="DR48" s="1013"/>
      <c r="DS48" s="1013"/>
      <c r="DT48" s="1013"/>
      <c r="DU48" s="1013"/>
      <c r="DV48" s="1013"/>
      <c r="DW48" s="1013"/>
      <c r="DX48" s="1013"/>
      <c r="DY48" s="1013"/>
      <c r="DZ48" s="1013"/>
      <c r="EA48" s="1013"/>
      <c r="EB48" s="1013"/>
      <c r="EC48" s="1013"/>
      <c r="ED48" s="1013"/>
      <c r="EE48" s="1013"/>
      <c r="EF48" s="1013"/>
      <c r="EG48" s="1013"/>
      <c r="EH48" s="1013"/>
      <c r="EI48" s="1013"/>
      <c r="EJ48" s="1013"/>
      <c r="EK48" s="1013"/>
      <c r="EL48" s="1013"/>
      <c r="EM48" s="1013"/>
      <c r="EN48" s="1013"/>
      <c r="EO48" s="1013"/>
      <c r="EP48" s="1013"/>
      <c r="EQ48" s="1013"/>
      <c r="ER48" s="1013"/>
      <c r="ES48" s="1013"/>
      <c r="ET48" s="1013"/>
      <c r="EU48" s="1013"/>
      <c r="EV48" s="1013"/>
      <c r="EW48" s="1013"/>
      <c r="EX48" s="1013"/>
      <c r="EY48" s="1013"/>
      <c r="EZ48" s="1013"/>
      <c r="FA48" s="1013"/>
      <c r="FB48" s="1013"/>
      <c r="FC48" s="1013"/>
      <c r="FD48" s="1013"/>
      <c r="FE48" s="1013"/>
      <c r="FF48" s="1013"/>
      <c r="FG48" s="1013"/>
      <c r="FH48" s="1013"/>
      <c r="FI48" s="1013"/>
      <c r="FJ48" s="1013"/>
      <c r="FK48" s="1013"/>
      <c r="FL48" s="1013"/>
      <c r="FM48" s="1013"/>
      <c r="FN48" s="1013"/>
      <c r="FO48" s="1013"/>
      <c r="FP48" s="1013"/>
      <c r="FQ48" s="1013"/>
      <c r="FR48" s="1013"/>
      <c r="FS48" s="1013"/>
      <c r="FT48" s="1013"/>
      <c r="FU48" s="1013"/>
      <c r="FV48" s="1013"/>
      <c r="FW48" s="1013"/>
      <c r="FX48" s="1013"/>
      <c r="FY48" s="1013"/>
      <c r="FZ48" s="1013"/>
      <c r="GA48" s="1013"/>
      <c r="GB48" s="1013"/>
      <c r="GC48" s="1013"/>
      <c r="GD48" s="1013"/>
      <c r="GE48" s="1013"/>
      <c r="GF48" s="1013"/>
      <c r="GG48" s="1013"/>
      <c r="GH48" s="1013"/>
      <c r="GI48" s="1013"/>
      <c r="GJ48" s="1013"/>
      <c r="GK48" s="1013"/>
      <c r="GL48" s="1013"/>
      <c r="GM48" s="1013"/>
      <c r="GN48" s="1013"/>
      <c r="GO48" s="1013"/>
      <c r="GP48" s="1013"/>
      <c r="GQ48" s="1013"/>
      <c r="GR48" s="1013"/>
      <c r="GS48" s="1013"/>
      <c r="GT48" s="1013"/>
      <c r="GU48" s="1013"/>
      <c r="GV48" s="1013"/>
      <c r="GW48" s="1013"/>
      <c r="GX48" s="1013"/>
      <c r="GY48" s="1013"/>
      <c r="GZ48" s="1013"/>
      <c r="HA48" s="1013"/>
      <c r="HB48" s="1013"/>
      <c r="HC48" s="1013"/>
      <c r="HD48" s="1013"/>
      <c r="HE48" s="1013"/>
      <c r="HF48" s="1013"/>
      <c r="HG48" s="1013"/>
      <c r="HH48" s="1013"/>
      <c r="HI48" s="1013"/>
      <c r="HJ48" s="1013"/>
      <c r="HK48" s="1013"/>
      <c r="HL48" s="1013"/>
      <c r="HM48" s="1013"/>
      <c r="HN48" s="1013"/>
      <c r="HO48" s="1013"/>
      <c r="HP48" s="1013"/>
      <c r="HQ48" s="1013"/>
      <c r="HR48" s="1013"/>
      <c r="HS48" s="1013"/>
      <c r="HT48" s="1013"/>
      <c r="HU48" s="1013"/>
      <c r="HV48" s="1013"/>
      <c r="HW48" s="1013"/>
      <c r="HX48" s="1013"/>
      <c r="HY48" s="1013"/>
      <c r="HZ48" s="1013"/>
      <c r="IA48" s="1013"/>
      <c r="IB48" s="1013"/>
      <c r="IC48" s="1013"/>
      <c r="ID48" s="1013"/>
      <c r="IE48" s="1013"/>
      <c r="IF48" s="1013"/>
      <c r="IG48" s="1013"/>
      <c r="IH48" s="1013"/>
      <c r="II48" s="1013"/>
      <c r="IJ48" s="1013"/>
      <c r="IK48" s="1013"/>
      <c r="IL48" s="1013"/>
      <c r="IM48" s="1013"/>
      <c r="IN48" s="1013"/>
      <c r="IO48" s="1013"/>
      <c r="IP48" s="1013"/>
      <c r="IQ48" s="1013"/>
      <c r="IR48" s="1013"/>
      <c r="IS48" s="1013"/>
      <c r="IT48" s="1013"/>
      <c r="IU48" s="1013"/>
    </row>
    <row r="49" spans="1:255" s="1031" customFormat="1" ht="21" customHeight="1">
      <c r="A49" s="1032" t="s">
        <v>609</v>
      </c>
      <c r="B49" s="1033" t="s">
        <v>70</v>
      </c>
      <c r="C49" s="1034">
        <v>49</v>
      </c>
      <c r="D49" s="1035">
        <v>0</v>
      </c>
      <c r="E49" s="1036">
        <v>0</v>
      </c>
      <c r="F49" s="1037">
        <v>0</v>
      </c>
      <c r="G49" s="1037">
        <v>0</v>
      </c>
      <c r="H49" s="1037">
        <v>0</v>
      </c>
      <c r="I49" s="1037">
        <v>0</v>
      </c>
      <c r="J49" s="1037">
        <f t="shared" si="2"/>
        <v>0</v>
      </c>
      <c r="K49" s="1039">
        <v>0</v>
      </c>
      <c r="L49" s="1047">
        <f t="shared" si="0"/>
        <v>0</v>
      </c>
      <c r="M49" s="1038"/>
      <c r="N49" s="1029">
        <f t="shared" si="1"/>
        <v>0</v>
      </c>
      <c r="O49" s="1030"/>
      <c r="P49" s="1013"/>
      <c r="Q49" s="1013"/>
      <c r="R49" s="1013"/>
      <c r="S49" s="1013"/>
      <c r="T49" s="1013"/>
      <c r="U49" s="1013"/>
      <c r="V49" s="1013"/>
      <c r="W49" s="1013"/>
      <c r="X49" s="1013"/>
      <c r="Y49" s="1013"/>
      <c r="Z49" s="1013"/>
      <c r="AA49" s="1013"/>
      <c r="AB49" s="1013"/>
      <c r="AC49" s="1013"/>
      <c r="AD49" s="1013"/>
      <c r="AE49" s="1013"/>
      <c r="AF49" s="1013"/>
      <c r="AG49" s="1013"/>
      <c r="AH49" s="1013"/>
      <c r="AI49" s="1013"/>
      <c r="AJ49" s="1013"/>
      <c r="AK49" s="1013"/>
      <c r="AL49" s="1013"/>
      <c r="AM49" s="1013"/>
      <c r="AN49" s="1013"/>
      <c r="AO49" s="1013"/>
      <c r="AP49" s="1013"/>
      <c r="AQ49" s="1013"/>
      <c r="AR49" s="1013"/>
      <c r="AS49" s="1013"/>
      <c r="AT49" s="1013"/>
      <c r="AU49" s="1013"/>
      <c r="AV49" s="1013"/>
      <c r="AW49" s="1013"/>
      <c r="AX49" s="1013"/>
      <c r="AY49" s="1013"/>
      <c r="AZ49" s="1013"/>
      <c r="BA49" s="1013"/>
      <c r="BB49" s="1013"/>
      <c r="BC49" s="1013"/>
      <c r="BD49" s="1013"/>
      <c r="BE49" s="1013"/>
      <c r="BF49" s="1013"/>
      <c r="BG49" s="1013"/>
      <c r="BH49" s="1013"/>
      <c r="BI49" s="1013"/>
      <c r="BJ49" s="1013"/>
      <c r="BK49" s="1013"/>
      <c r="BL49" s="1013"/>
      <c r="BM49" s="1013"/>
      <c r="BN49" s="1013"/>
      <c r="BO49" s="1013"/>
      <c r="BP49" s="1013"/>
      <c r="BQ49" s="1013"/>
      <c r="BR49" s="1013"/>
      <c r="BS49" s="1013"/>
      <c r="BT49" s="1013"/>
      <c r="BU49" s="1013"/>
      <c r="BV49" s="1013"/>
      <c r="BW49" s="1013"/>
      <c r="BX49" s="1013"/>
      <c r="BY49" s="1013"/>
      <c r="BZ49" s="1013"/>
      <c r="CA49" s="1013"/>
      <c r="CB49" s="1013"/>
      <c r="CC49" s="1013"/>
      <c r="CD49" s="1013"/>
      <c r="CE49" s="1013"/>
      <c r="CF49" s="1013"/>
      <c r="CG49" s="1013"/>
      <c r="CH49" s="1013"/>
      <c r="CI49" s="1013"/>
      <c r="CJ49" s="1013"/>
      <c r="CK49" s="1013"/>
      <c r="CL49" s="1013"/>
      <c r="CM49" s="1013"/>
      <c r="CN49" s="1013"/>
      <c r="CO49" s="1013"/>
      <c r="CP49" s="1013"/>
      <c r="CQ49" s="1013"/>
      <c r="CR49" s="1013"/>
      <c r="CS49" s="1013"/>
      <c r="CT49" s="1013"/>
      <c r="CU49" s="1013"/>
      <c r="CV49" s="1013"/>
      <c r="CW49" s="1013"/>
      <c r="CX49" s="1013"/>
      <c r="CY49" s="1013"/>
      <c r="CZ49" s="1013"/>
      <c r="DA49" s="1013"/>
      <c r="DB49" s="1013"/>
      <c r="DC49" s="1013"/>
      <c r="DD49" s="1013"/>
      <c r="DE49" s="1013"/>
      <c r="DF49" s="1013"/>
      <c r="DG49" s="1013"/>
      <c r="DH49" s="1013"/>
      <c r="DI49" s="1013"/>
      <c r="DJ49" s="1013"/>
      <c r="DK49" s="1013"/>
      <c r="DL49" s="1013"/>
      <c r="DM49" s="1013"/>
      <c r="DN49" s="1013"/>
      <c r="DO49" s="1013"/>
      <c r="DP49" s="1013"/>
      <c r="DQ49" s="1013"/>
      <c r="DR49" s="1013"/>
      <c r="DS49" s="1013"/>
      <c r="DT49" s="1013"/>
      <c r="DU49" s="1013"/>
      <c r="DV49" s="1013"/>
      <c r="DW49" s="1013"/>
      <c r="DX49" s="1013"/>
      <c r="DY49" s="1013"/>
      <c r="DZ49" s="1013"/>
      <c r="EA49" s="1013"/>
      <c r="EB49" s="1013"/>
      <c r="EC49" s="1013"/>
      <c r="ED49" s="1013"/>
      <c r="EE49" s="1013"/>
      <c r="EF49" s="1013"/>
      <c r="EG49" s="1013"/>
      <c r="EH49" s="1013"/>
      <c r="EI49" s="1013"/>
      <c r="EJ49" s="1013"/>
      <c r="EK49" s="1013"/>
      <c r="EL49" s="1013"/>
      <c r="EM49" s="1013"/>
      <c r="EN49" s="1013"/>
      <c r="EO49" s="1013"/>
      <c r="EP49" s="1013"/>
      <c r="EQ49" s="1013"/>
      <c r="ER49" s="1013"/>
      <c r="ES49" s="1013"/>
      <c r="ET49" s="1013"/>
      <c r="EU49" s="1013"/>
      <c r="EV49" s="1013"/>
      <c r="EW49" s="1013"/>
      <c r="EX49" s="1013"/>
      <c r="EY49" s="1013"/>
      <c r="EZ49" s="1013"/>
      <c r="FA49" s="1013"/>
      <c r="FB49" s="1013"/>
      <c r="FC49" s="1013"/>
      <c r="FD49" s="1013"/>
      <c r="FE49" s="1013"/>
      <c r="FF49" s="1013"/>
      <c r="FG49" s="1013"/>
      <c r="FH49" s="1013"/>
      <c r="FI49" s="1013"/>
      <c r="FJ49" s="1013"/>
      <c r="FK49" s="1013"/>
      <c r="FL49" s="1013"/>
      <c r="FM49" s="1013"/>
      <c r="FN49" s="1013"/>
      <c r="FO49" s="1013"/>
      <c r="FP49" s="1013"/>
      <c r="FQ49" s="1013"/>
      <c r="FR49" s="1013"/>
      <c r="FS49" s="1013"/>
      <c r="FT49" s="1013"/>
      <c r="FU49" s="1013"/>
      <c r="FV49" s="1013"/>
      <c r="FW49" s="1013"/>
      <c r="FX49" s="1013"/>
      <c r="FY49" s="1013"/>
      <c r="FZ49" s="1013"/>
      <c r="GA49" s="1013"/>
      <c r="GB49" s="1013"/>
      <c r="GC49" s="1013"/>
      <c r="GD49" s="1013"/>
      <c r="GE49" s="1013"/>
      <c r="GF49" s="1013"/>
      <c r="GG49" s="1013"/>
      <c r="GH49" s="1013"/>
      <c r="GI49" s="1013"/>
      <c r="GJ49" s="1013"/>
      <c r="GK49" s="1013"/>
      <c r="GL49" s="1013"/>
      <c r="GM49" s="1013"/>
      <c r="GN49" s="1013"/>
      <c r="GO49" s="1013"/>
      <c r="GP49" s="1013"/>
      <c r="GQ49" s="1013"/>
      <c r="GR49" s="1013"/>
      <c r="GS49" s="1013"/>
      <c r="GT49" s="1013"/>
      <c r="GU49" s="1013"/>
      <c r="GV49" s="1013"/>
      <c r="GW49" s="1013"/>
      <c r="GX49" s="1013"/>
      <c r="GY49" s="1013"/>
      <c r="GZ49" s="1013"/>
      <c r="HA49" s="1013"/>
      <c r="HB49" s="1013"/>
      <c r="HC49" s="1013"/>
      <c r="HD49" s="1013"/>
      <c r="HE49" s="1013"/>
      <c r="HF49" s="1013"/>
      <c r="HG49" s="1013"/>
      <c r="HH49" s="1013"/>
      <c r="HI49" s="1013"/>
      <c r="HJ49" s="1013"/>
      <c r="HK49" s="1013"/>
      <c r="HL49" s="1013"/>
      <c r="HM49" s="1013"/>
      <c r="HN49" s="1013"/>
      <c r="HO49" s="1013"/>
      <c r="HP49" s="1013"/>
      <c r="HQ49" s="1013"/>
      <c r="HR49" s="1013"/>
      <c r="HS49" s="1013"/>
      <c r="HT49" s="1013"/>
      <c r="HU49" s="1013"/>
      <c r="HV49" s="1013"/>
      <c r="HW49" s="1013"/>
      <c r="HX49" s="1013"/>
      <c r="HY49" s="1013"/>
      <c r="HZ49" s="1013"/>
      <c r="IA49" s="1013"/>
      <c r="IB49" s="1013"/>
      <c r="IC49" s="1013"/>
      <c r="ID49" s="1013"/>
      <c r="IE49" s="1013"/>
      <c r="IF49" s="1013"/>
      <c r="IG49" s="1013"/>
      <c r="IH49" s="1013"/>
      <c r="II49" s="1013"/>
      <c r="IJ49" s="1013"/>
      <c r="IK49" s="1013"/>
      <c r="IL49" s="1013"/>
      <c r="IM49" s="1013"/>
      <c r="IN49" s="1013"/>
      <c r="IO49" s="1013"/>
      <c r="IP49" s="1013"/>
      <c r="IQ49" s="1013"/>
      <c r="IR49" s="1013"/>
      <c r="IS49" s="1013"/>
      <c r="IT49" s="1013"/>
      <c r="IU49" s="1013"/>
    </row>
    <row r="50" spans="1:255" s="1031" customFormat="1" ht="21" customHeight="1">
      <c r="A50" s="1032">
        <v>20</v>
      </c>
      <c r="B50" s="1033" t="s">
        <v>70</v>
      </c>
      <c r="C50" s="1034">
        <v>50</v>
      </c>
      <c r="D50" s="1035">
        <v>0</v>
      </c>
      <c r="E50" s="1036">
        <v>0</v>
      </c>
      <c r="F50" s="1037">
        <v>0</v>
      </c>
      <c r="G50" s="1037">
        <v>0</v>
      </c>
      <c r="H50" s="1037">
        <v>0</v>
      </c>
      <c r="I50" s="1037">
        <v>0</v>
      </c>
      <c r="J50" s="1037">
        <f t="shared" si="2"/>
        <v>0</v>
      </c>
      <c r="K50" s="1039">
        <v>0</v>
      </c>
      <c r="L50" s="1047">
        <f t="shared" si="0"/>
        <v>0</v>
      </c>
      <c r="M50" s="1038"/>
      <c r="N50" s="1029">
        <f t="shared" si="1"/>
        <v>0</v>
      </c>
      <c r="O50" s="1030"/>
      <c r="P50" s="1013"/>
      <c r="Q50" s="1013"/>
      <c r="R50" s="1013"/>
      <c r="S50" s="1013"/>
      <c r="T50" s="1013"/>
      <c r="U50" s="1013"/>
      <c r="V50" s="1013"/>
      <c r="W50" s="1013"/>
      <c r="X50" s="1013"/>
      <c r="Y50" s="1013"/>
      <c r="Z50" s="1013"/>
      <c r="AA50" s="1013"/>
      <c r="AB50" s="1013"/>
      <c r="AC50" s="1013"/>
      <c r="AD50" s="1013"/>
      <c r="AE50" s="1013"/>
      <c r="AF50" s="1013"/>
      <c r="AG50" s="1013"/>
      <c r="AH50" s="1013"/>
      <c r="AI50" s="1013"/>
      <c r="AJ50" s="1013"/>
      <c r="AK50" s="1013"/>
      <c r="AL50" s="1013"/>
      <c r="AM50" s="1013"/>
      <c r="AN50" s="1013"/>
      <c r="AO50" s="1013"/>
      <c r="AP50" s="1013"/>
      <c r="AQ50" s="1013"/>
      <c r="AR50" s="1013"/>
      <c r="AS50" s="1013"/>
      <c r="AT50" s="1013"/>
      <c r="AU50" s="1013"/>
      <c r="AV50" s="1013"/>
      <c r="AW50" s="1013"/>
      <c r="AX50" s="1013"/>
      <c r="AY50" s="1013"/>
      <c r="AZ50" s="1013"/>
      <c r="BA50" s="1013"/>
      <c r="BB50" s="1013"/>
      <c r="BC50" s="1013"/>
      <c r="BD50" s="1013"/>
      <c r="BE50" s="1013"/>
      <c r="BF50" s="1013"/>
      <c r="BG50" s="1013"/>
      <c r="BH50" s="1013"/>
      <c r="BI50" s="1013"/>
      <c r="BJ50" s="1013"/>
      <c r="BK50" s="1013"/>
      <c r="BL50" s="1013"/>
      <c r="BM50" s="1013"/>
      <c r="BN50" s="1013"/>
      <c r="BO50" s="1013"/>
      <c r="BP50" s="1013"/>
      <c r="BQ50" s="1013"/>
      <c r="BR50" s="1013"/>
      <c r="BS50" s="1013"/>
      <c r="BT50" s="1013"/>
      <c r="BU50" s="1013"/>
      <c r="BV50" s="1013"/>
      <c r="BW50" s="1013"/>
      <c r="BX50" s="1013"/>
      <c r="BY50" s="1013"/>
      <c r="BZ50" s="1013"/>
      <c r="CA50" s="1013"/>
      <c r="CB50" s="1013"/>
      <c r="CC50" s="1013"/>
      <c r="CD50" s="1013"/>
      <c r="CE50" s="1013"/>
      <c r="CF50" s="1013"/>
      <c r="CG50" s="1013"/>
      <c r="CH50" s="1013"/>
      <c r="CI50" s="1013"/>
      <c r="CJ50" s="1013"/>
      <c r="CK50" s="1013"/>
      <c r="CL50" s="1013"/>
      <c r="CM50" s="1013"/>
      <c r="CN50" s="1013"/>
      <c r="CO50" s="1013"/>
      <c r="CP50" s="1013"/>
      <c r="CQ50" s="1013"/>
      <c r="CR50" s="1013"/>
      <c r="CS50" s="1013"/>
      <c r="CT50" s="1013"/>
      <c r="CU50" s="1013"/>
      <c r="CV50" s="1013"/>
      <c r="CW50" s="1013"/>
      <c r="CX50" s="1013"/>
      <c r="CY50" s="1013"/>
      <c r="CZ50" s="1013"/>
      <c r="DA50" s="1013"/>
      <c r="DB50" s="1013"/>
      <c r="DC50" s="1013"/>
      <c r="DD50" s="1013"/>
      <c r="DE50" s="1013"/>
      <c r="DF50" s="1013"/>
      <c r="DG50" s="1013"/>
      <c r="DH50" s="1013"/>
      <c r="DI50" s="1013"/>
      <c r="DJ50" s="1013"/>
      <c r="DK50" s="1013"/>
      <c r="DL50" s="1013"/>
      <c r="DM50" s="1013"/>
      <c r="DN50" s="1013"/>
      <c r="DO50" s="1013"/>
      <c r="DP50" s="1013"/>
      <c r="DQ50" s="1013"/>
      <c r="DR50" s="1013"/>
      <c r="DS50" s="1013"/>
      <c r="DT50" s="1013"/>
      <c r="DU50" s="1013"/>
      <c r="DV50" s="1013"/>
      <c r="DW50" s="1013"/>
      <c r="DX50" s="1013"/>
      <c r="DY50" s="1013"/>
      <c r="DZ50" s="1013"/>
      <c r="EA50" s="1013"/>
      <c r="EB50" s="1013"/>
      <c r="EC50" s="1013"/>
      <c r="ED50" s="1013"/>
      <c r="EE50" s="1013"/>
      <c r="EF50" s="1013"/>
      <c r="EG50" s="1013"/>
      <c r="EH50" s="1013"/>
      <c r="EI50" s="1013"/>
      <c r="EJ50" s="1013"/>
      <c r="EK50" s="1013"/>
      <c r="EL50" s="1013"/>
      <c r="EM50" s="1013"/>
      <c r="EN50" s="1013"/>
      <c r="EO50" s="1013"/>
      <c r="EP50" s="1013"/>
      <c r="EQ50" s="1013"/>
      <c r="ER50" s="1013"/>
      <c r="ES50" s="1013"/>
      <c r="ET50" s="1013"/>
      <c r="EU50" s="1013"/>
      <c r="EV50" s="1013"/>
      <c r="EW50" s="1013"/>
      <c r="EX50" s="1013"/>
      <c r="EY50" s="1013"/>
      <c r="EZ50" s="1013"/>
      <c r="FA50" s="1013"/>
      <c r="FB50" s="1013"/>
      <c r="FC50" s="1013"/>
      <c r="FD50" s="1013"/>
      <c r="FE50" s="1013"/>
      <c r="FF50" s="1013"/>
      <c r="FG50" s="1013"/>
      <c r="FH50" s="1013"/>
      <c r="FI50" s="1013"/>
      <c r="FJ50" s="1013"/>
      <c r="FK50" s="1013"/>
      <c r="FL50" s="1013"/>
      <c r="FM50" s="1013"/>
      <c r="FN50" s="1013"/>
      <c r="FO50" s="1013"/>
      <c r="FP50" s="1013"/>
      <c r="FQ50" s="1013"/>
      <c r="FR50" s="1013"/>
      <c r="FS50" s="1013"/>
      <c r="FT50" s="1013"/>
      <c r="FU50" s="1013"/>
      <c r="FV50" s="1013"/>
      <c r="FW50" s="1013"/>
      <c r="FX50" s="1013"/>
      <c r="FY50" s="1013"/>
      <c r="FZ50" s="1013"/>
      <c r="GA50" s="1013"/>
      <c r="GB50" s="1013"/>
      <c r="GC50" s="1013"/>
      <c r="GD50" s="1013"/>
      <c r="GE50" s="1013"/>
      <c r="GF50" s="1013"/>
      <c r="GG50" s="1013"/>
      <c r="GH50" s="1013"/>
      <c r="GI50" s="1013"/>
      <c r="GJ50" s="1013"/>
      <c r="GK50" s="1013"/>
      <c r="GL50" s="1013"/>
      <c r="GM50" s="1013"/>
      <c r="GN50" s="1013"/>
      <c r="GO50" s="1013"/>
      <c r="GP50" s="1013"/>
      <c r="GQ50" s="1013"/>
      <c r="GR50" s="1013"/>
      <c r="GS50" s="1013"/>
      <c r="GT50" s="1013"/>
      <c r="GU50" s="1013"/>
      <c r="GV50" s="1013"/>
      <c r="GW50" s="1013"/>
      <c r="GX50" s="1013"/>
      <c r="GY50" s="1013"/>
      <c r="GZ50" s="1013"/>
      <c r="HA50" s="1013"/>
      <c r="HB50" s="1013"/>
      <c r="HC50" s="1013"/>
      <c r="HD50" s="1013"/>
      <c r="HE50" s="1013"/>
      <c r="HF50" s="1013"/>
      <c r="HG50" s="1013"/>
      <c r="HH50" s="1013"/>
      <c r="HI50" s="1013"/>
      <c r="HJ50" s="1013"/>
      <c r="HK50" s="1013"/>
      <c r="HL50" s="1013"/>
      <c r="HM50" s="1013"/>
      <c r="HN50" s="1013"/>
      <c r="HO50" s="1013"/>
      <c r="HP50" s="1013"/>
      <c r="HQ50" s="1013"/>
      <c r="HR50" s="1013"/>
      <c r="HS50" s="1013"/>
      <c r="HT50" s="1013"/>
      <c r="HU50" s="1013"/>
      <c r="HV50" s="1013"/>
      <c r="HW50" s="1013"/>
      <c r="HX50" s="1013"/>
      <c r="HY50" s="1013"/>
      <c r="HZ50" s="1013"/>
      <c r="IA50" s="1013"/>
      <c r="IB50" s="1013"/>
      <c r="IC50" s="1013"/>
      <c r="ID50" s="1013"/>
      <c r="IE50" s="1013"/>
      <c r="IF50" s="1013"/>
      <c r="IG50" s="1013"/>
      <c r="IH50" s="1013"/>
      <c r="II50" s="1013"/>
      <c r="IJ50" s="1013"/>
      <c r="IK50" s="1013"/>
      <c r="IL50" s="1013"/>
      <c r="IM50" s="1013"/>
      <c r="IN50" s="1013"/>
      <c r="IO50" s="1013"/>
      <c r="IP50" s="1013"/>
      <c r="IQ50" s="1013"/>
      <c r="IR50" s="1013"/>
      <c r="IS50" s="1013"/>
      <c r="IT50" s="1013"/>
      <c r="IU50" s="1013"/>
    </row>
    <row r="51" spans="1:255" s="1031" customFormat="1" ht="21" customHeight="1">
      <c r="A51" s="1032" t="s">
        <v>440</v>
      </c>
      <c r="B51" s="1033" t="s">
        <v>70</v>
      </c>
      <c r="C51" s="1034">
        <v>59</v>
      </c>
      <c r="D51" s="1035">
        <v>0</v>
      </c>
      <c r="E51" s="1036">
        <v>0</v>
      </c>
      <c r="F51" s="1037">
        <v>0</v>
      </c>
      <c r="G51" s="1037">
        <v>0</v>
      </c>
      <c r="H51" s="1037">
        <v>0</v>
      </c>
      <c r="I51" s="1037">
        <v>0</v>
      </c>
      <c r="J51" s="1037">
        <f t="shared" si="2"/>
        <v>0</v>
      </c>
      <c r="K51" s="1039">
        <v>0</v>
      </c>
      <c r="L51" s="1047">
        <f t="shared" si="0"/>
        <v>0</v>
      </c>
      <c r="M51" s="1038"/>
      <c r="N51" s="1029">
        <f t="shared" si="1"/>
        <v>0</v>
      </c>
      <c r="O51" s="1030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1013"/>
      <c r="AL51" s="1013"/>
      <c r="AM51" s="1013"/>
      <c r="AN51" s="1013"/>
      <c r="AO51" s="1013"/>
      <c r="AP51" s="1013"/>
      <c r="AQ51" s="1013"/>
      <c r="AR51" s="1013"/>
      <c r="AS51" s="1013"/>
      <c r="AT51" s="1013"/>
      <c r="AU51" s="1013"/>
      <c r="AV51" s="1013"/>
      <c r="AW51" s="1013"/>
      <c r="AX51" s="1013"/>
      <c r="AY51" s="1013"/>
      <c r="AZ51" s="1013"/>
      <c r="BA51" s="1013"/>
      <c r="BB51" s="1013"/>
      <c r="BC51" s="1013"/>
      <c r="BD51" s="1013"/>
      <c r="BE51" s="1013"/>
      <c r="BF51" s="1013"/>
      <c r="BG51" s="1013"/>
      <c r="BH51" s="1013"/>
      <c r="BI51" s="1013"/>
      <c r="BJ51" s="1013"/>
      <c r="BK51" s="1013"/>
      <c r="BL51" s="1013"/>
      <c r="BM51" s="1013"/>
      <c r="BN51" s="1013"/>
      <c r="BO51" s="1013"/>
      <c r="BP51" s="1013"/>
      <c r="BQ51" s="1013"/>
      <c r="BR51" s="1013"/>
      <c r="BS51" s="1013"/>
      <c r="BT51" s="1013"/>
      <c r="BU51" s="1013"/>
      <c r="BV51" s="1013"/>
      <c r="BW51" s="1013"/>
      <c r="BX51" s="1013"/>
      <c r="BY51" s="1013"/>
      <c r="BZ51" s="1013"/>
      <c r="CA51" s="1013"/>
      <c r="CB51" s="1013"/>
      <c r="CC51" s="1013"/>
      <c r="CD51" s="1013"/>
      <c r="CE51" s="1013"/>
      <c r="CF51" s="1013"/>
      <c r="CG51" s="1013"/>
      <c r="CH51" s="1013"/>
      <c r="CI51" s="1013"/>
      <c r="CJ51" s="1013"/>
      <c r="CK51" s="1013"/>
      <c r="CL51" s="1013"/>
      <c r="CM51" s="1013"/>
      <c r="CN51" s="1013"/>
      <c r="CO51" s="1013"/>
      <c r="CP51" s="1013"/>
      <c r="CQ51" s="1013"/>
      <c r="CR51" s="1013"/>
      <c r="CS51" s="1013"/>
      <c r="CT51" s="1013"/>
      <c r="CU51" s="1013"/>
      <c r="CV51" s="1013"/>
      <c r="CW51" s="1013"/>
      <c r="CX51" s="1013"/>
      <c r="CY51" s="1013"/>
      <c r="CZ51" s="1013"/>
      <c r="DA51" s="1013"/>
      <c r="DB51" s="1013"/>
      <c r="DC51" s="1013"/>
      <c r="DD51" s="1013"/>
      <c r="DE51" s="1013"/>
      <c r="DF51" s="1013"/>
      <c r="DG51" s="1013"/>
      <c r="DH51" s="1013"/>
      <c r="DI51" s="1013"/>
      <c r="DJ51" s="1013"/>
      <c r="DK51" s="1013"/>
      <c r="DL51" s="1013"/>
      <c r="DM51" s="1013"/>
      <c r="DN51" s="1013"/>
      <c r="DO51" s="1013"/>
      <c r="DP51" s="1013"/>
      <c r="DQ51" s="1013"/>
      <c r="DR51" s="1013"/>
      <c r="DS51" s="1013"/>
      <c r="DT51" s="1013"/>
      <c r="DU51" s="1013"/>
      <c r="DV51" s="1013"/>
      <c r="DW51" s="1013"/>
      <c r="DX51" s="1013"/>
      <c r="DY51" s="1013"/>
      <c r="DZ51" s="1013"/>
      <c r="EA51" s="1013"/>
      <c r="EB51" s="1013"/>
      <c r="EC51" s="1013"/>
      <c r="ED51" s="1013"/>
      <c r="EE51" s="1013"/>
      <c r="EF51" s="1013"/>
      <c r="EG51" s="1013"/>
      <c r="EH51" s="1013"/>
      <c r="EI51" s="1013"/>
      <c r="EJ51" s="1013"/>
      <c r="EK51" s="1013"/>
      <c r="EL51" s="1013"/>
      <c r="EM51" s="1013"/>
      <c r="EN51" s="1013"/>
      <c r="EO51" s="1013"/>
      <c r="EP51" s="1013"/>
      <c r="EQ51" s="1013"/>
      <c r="ER51" s="1013"/>
      <c r="ES51" s="1013"/>
      <c r="ET51" s="1013"/>
      <c r="EU51" s="1013"/>
      <c r="EV51" s="1013"/>
      <c r="EW51" s="1013"/>
      <c r="EX51" s="1013"/>
      <c r="EY51" s="1013"/>
      <c r="EZ51" s="1013"/>
      <c r="FA51" s="1013"/>
      <c r="FB51" s="1013"/>
      <c r="FC51" s="1013"/>
      <c r="FD51" s="1013"/>
      <c r="FE51" s="1013"/>
      <c r="FF51" s="1013"/>
      <c r="FG51" s="1013"/>
      <c r="FH51" s="1013"/>
      <c r="FI51" s="1013"/>
      <c r="FJ51" s="1013"/>
      <c r="FK51" s="1013"/>
      <c r="FL51" s="1013"/>
      <c r="FM51" s="1013"/>
      <c r="FN51" s="1013"/>
      <c r="FO51" s="1013"/>
      <c r="FP51" s="1013"/>
      <c r="FQ51" s="1013"/>
      <c r="FR51" s="1013"/>
      <c r="FS51" s="1013"/>
      <c r="FT51" s="1013"/>
      <c r="FU51" s="1013"/>
      <c r="FV51" s="1013"/>
      <c r="FW51" s="1013"/>
      <c r="FX51" s="1013"/>
      <c r="FY51" s="1013"/>
      <c r="FZ51" s="1013"/>
      <c r="GA51" s="1013"/>
      <c r="GB51" s="1013"/>
      <c r="GC51" s="1013"/>
      <c r="GD51" s="1013"/>
      <c r="GE51" s="1013"/>
      <c r="GF51" s="1013"/>
      <c r="GG51" s="1013"/>
      <c r="GH51" s="1013"/>
      <c r="GI51" s="1013"/>
      <c r="GJ51" s="1013"/>
      <c r="GK51" s="1013"/>
      <c r="GL51" s="1013"/>
      <c r="GM51" s="1013"/>
      <c r="GN51" s="1013"/>
      <c r="GO51" s="1013"/>
      <c r="GP51" s="1013"/>
      <c r="GQ51" s="1013"/>
      <c r="GR51" s="1013"/>
      <c r="GS51" s="1013"/>
      <c r="GT51" s="1013"/>
      <c r="GU51" s="1013"/>
      <c r="GV51" s="1013"/>
      <c r="GW51" s="1013"/>
      <c r="GX51" s="1013"/>
      <c r="GY51" s="1013"/>
      <c r="GZ51" s="1013"/>
      <c r="HA51" s="1013"/>
      <c r="HB51" s="1013"/>
      <c r="HC51" s="1013"/>
      <c r="HD51" s="1013"/>
      <c r="HE51" s="1013"/>
      <c r="HF51" s="1013"/>
      <c r="HG51" s="1013"/>
      <c r="HH51" s="1013"/>
      <c r="HI51" s="1013"/>
      <c r="HJ51" s="1013"/>
      <c r="HK51" s="1013"/>
      <c r="HL51" s="1013"/>
      <c r="HM51" s="1013"/>
      <c r="HN51" s="1013"/>
      <c r="HO51" s="1013"/>
      <c r="HP51" s="1013"/>
      <c r="HQ51" s="1013"/>
      <c r="HR51" s="1013"/>
      <c r="HS51" s="1013"/>
      <c r="HT51" s="1013"/>
      <c r="HU51" s="1013"/>
      <c r="HV51" s="1013"/>
      <c r="HW51" s="1013"/>
      <c r="HX51" s="1013"/>
      <c r="HY51" s="1013"/>
      <c r="HZ51" s="1013"/>
      <c r="IA51" s="1013"/>
      <c r="IB51" s="1013"/>
      <c r="IC51" s="1013"/>
      <c r="ID51" s="1013"/>
      <c r="IE51" s="1013"/>
      <c r="IF51" s="1013"/>
      <c r="IG51" s="1013"/>
      <c r="IH51" s="1013"/>
      <c r="II51" s="1013"/>
      <c r="IJ51" s="1013"/>
      <c r="IK51" s="1013"/>
      <c r="IL51" s="1013"/>
      <c r="IM51" s="1013"/>
      <c r="IN51" s="1013"/>
      <c r="IO51" s="1013"/>
      <c r="IP51" s="1013"/>
      <c r="IQ51" s="1013"/>
      <c r="IR51" s="1013"/>
      <c r="IS51" s="1013"/>
      <c r="IT51" s="1013"/>
      <c r="IU51" s="1013"/>
    </row>
    <row r="52" spans="1:255" s="1031" customFormat="1" ht="21" customHeight="1" thickBot="1">
      <c r="A52" s="1032" t="s">
        <v>870</v>
      </c>
      <c r="B52" s="1033" t="s">
        <v>829</v>
      </c>
      <c r="C52" s="1048">
        <v>93</v>
      </c>
      <c r="D52" s="1049">
        <v>10</v>
      </c>
      <c r="E52" s="1050">
        <v>0</v>
      </c>
      <c r="F52" s="1051">
        <v>8.3999999999996362</v>
      </c>
      <c r="G52" s="1037">
        <v>0</v>
      </c>
      <c r="H52" s="1051">
        <v>0</v>
      </c>
      <c r="I52" s="1051">
        <v>0</v>
      </c>
      <c r="J52" s="1037">
        <f t="shared" si="2"/>
        <v>1.6000000000003638</v>
      </c>
      <c r="K52" s="1039">
        <v>0</v>
      </c>
      <c r="L52" s="1051">
        <f t="shared" si="0"/>
        <v>1.6000000000003638</v>
      </c>
      <c r="M52" s="1041">
        <v>1.6</v>
      </c>
      <c r="N52" s="1029">
        <f>M52-L52</f>
        <v>-3.6370906286720128E-13</v>
      </c>
      <c r="O52" s="1030"/>
      <c r="P52" s="1013"/>
      <c r="Q52" s="1013"/>
      <c r="R52" s="1013"/>
      <c r="S52" s="1013"/>
      <c r="T52" s="1013"/>
      <c r="U52" s="1013"/>
      <c r="V52" s="1013"/>
      <c r="W52" s="1013"/>
      <c r="X52" s="1013"/>
      <c r="Y52" s="1013"/>
      <c r="Z52" s="1013"/>
      <c r="AA52" s="1013"/>
      <c r="AB52" s="1013"/>
      <c r="AC52" s="1013"/>
      <c r="AD52" s="1013"/>
      <c r="AE52" s="1013"/>
      <c r="AF52" s="1013"/>
      <c r="AG52" s="1013"/>
      <c r="AH52" s="1013"/>
      <c r="AI52" s="1013"/>
      <c r="AJ52" s="1013"/>
      <c r="AK52" s="1013"/>
      <c r="AL52" s="1013"/>
      <c r="AM52" s="1013"/>
      <c r="AN52" s="1013"/>
      <c r="AO52" s="1013"/>
      <c r="AP52" s="1013"/>
      <c r="AQ52" s="1013"/>
      <c r="AR52" s="1013"/>
      <c r="AS52" s="1013"/>
      <c r="AT52" s="1013"/>
      <c r="AU52" s="1013"/>
      <c r="AV52" s="1013"/>
      <c r="AW52" s="1013"/>
      <c r="AX52" s="1013"/>
      <c r="AY52" s="1013"/>
      <c r="AZ52" s="1013"/>
      <c r="BA52" s="1013"/>
      <c r="BB52" s="1013"/>
      <c r="BC52" s="1013"/>
      <c r="BD52" s="1013"/>
      <c r="BE52" s="1013"/>
      <c r="BF52" s="1013"/>
      <c r="BG52" s="1013"/>
      <c r="BH52" s="1013"/>
      <c r="BI52" s="1013"/>
      <c r="BJ52" s="1013"/>
      <c r="BK52" s="1013"/>
      <c r="BL52" s="1013"/>
      <c r="BM52" s="1013"/>
      <c r="BN52" s="1013"/>
      <c r="BO52" s="1013"/>
      <c r="BP52" s="1013"/>
      <c r="BQ52" s="1013"/>
      <c r="BR52" s="1013"/>
      <c r="BS52" s="1013"/>
      <c r="BT52" s="1013"/>
      <c r="BU52" s="1013"/>
      <c r="BV52" s="1013"/>
      <c r="BW52" s="1013"/>
      <c r="BX52" s="1013"/>
      <c r="BY52" s="1013"/>
      <c r="BZ52" s="1013"/>
      <c r="CA52" s="1013"/>
      <c r="CB52" s="1013"/>
      <c r="CC52" s="1013"/>
      <c r="CD52" s="1013"/>
      <c r="CE52" s="1013"/>
      <c r="CF52" s="1013"/>
      <c r="CG52" s="1013"/>
      <c r="CH52" s="1013"/>
      <c r="CI52" s="1013"/>
      <c r="CJ52" s="1013"/>
      <c r="CK52" s="1013"/>
      <c r="CL52" s="1013"/>
      <c r="CM52" s="1013"/>
      <c r="CN52" s="1013"/>
      <c r="CO52" s="1013"/>
      <c r="CP52" s="1013"/>
      <c r="CQ52" s="1013"/>
      <c r="CR52" s="1013"/>
      <c r="CS52" s="1013"/>
      <c r="CT52" s="1013"/>
      <c r="CU52" s="1013"/>
      <c r="CV52" s="1013"/>
      <c r="CW52" s="1013"/>
      <c r="CX52" s="1013"/>
      <c r="CY52" s="1013"/>
      <c r="CZ52" s="1013"/>
      <c r="DA52" s="1013"/>
      <c r="DB52" s="1013"/>
      <c r="DC52" s="1013"/>
      <c r="DD52" s="1013"/>
      <c r="DE52" s="1013"/>
      <c r="DF52" s="1013"/>
      <c r="DG52" s="1013"/>
      <c r="DH52" s="1013"/>
      <c r="DI52" s="1013"/>
      <c r="DJ52" s="1013"/>
      <c r="DK52" s="1013"/>
      <c r="DL52" s="1013"/>
      <c r="DM52" s="1013"/>
      <c r="DN52" s="1013"/>
      <c r="DO52" s="1013"/>
      <c r="DP52" s="1013"/>
      <c r="DQ52" s="1013"/>
      <c r="DR52" s="1013"/>
      <c r="DS52" s="1013"/>
      <c r="DT52" s="1013"/>
      <c r="DU52" s="1013"/>
      <c r="DV52" s="1013"/>
      <c r="DW52" s="1013"/>
      <c r="DX52" s="1013"/>
      <c r="DY52" s="1013"/>
      <c r="DZ52" s="1013"/>
      <c r="EA52" s="1013"/>
      <c r="EB52" s="1013"/>
      <c r="EC52" s="1013"/>
      <c r="ED52" s="1013"/>
      <c r="EE52" s="1013"/>
      <c r="EF52" s="1013"/>
      <c r="EG52" s="1013"/>
      <c r="EH52" s="1013"/>
      <c r="EI52" s="1013"/>
      <c r="EJ52" s="1013"/>
      <c r="EK52" s="1013"/>
      <c r="EL52" s="1013"/>
      <c r="EM52" s="1013"/>
      <c r="EN52" s="1013"/>
      <c r="EO52" s="1013"/>
      <c r="EP52" s="1013"/>
      <c r="EQ52" s="1013"/>
      <c r="ER52" s="1013"/>
      <c r="ES52" s="1013"/>
      <c r="ET52" s="1013"/>
      <c r="EU52" s="1013"/>
      <c r="EV52" s="1013"/>
      <c r="EW52" s="1013"/>
      <c r="EX52" s="1013"/>
      <c r="EY52" s="1013"/>
      <c r="EZ52" s="1013"/>
      <c r="FA52" s="1013"/>
      <c r="FB52" s="1013"/>
      <c r="FC52" s="1013"/>
      <c r="FD52" s="1013"/>
      <c r="FE52" s="1013"/>
      <c r="FF52" s="1013"/>
      <c r="FG52" s="1013"/>
      <c r="FH52" s="1013"/>
      <c r="FI52" s="1013"/>
      <c r="FJ52" s="1013"/>
      <c r="FK52" s="1013"/>
      <c r="FL52" s="1013"/>
      <c r="FM52" s="1013"/>
      <c r="FN52" s="1013"/>
      <c r="FO52" s="1013"/>
      <c r="FP52" s="1013"/>
      <c r="FQ52" s="1013"/>
      <c r="FR52" s="1013"/>
      <c r="FS52" s="1013"/>
      <c r="FT52" s="1013"/>
      <c r="FU52" s="1013"/>
      <c r="FV52" s="1013"/>
      <c r="FW52" s="1013"/>
      <c r="FX52" s="1013"/>
      <c r="FY52" s="1013"/>
      <c r="FZ52" s="1013"/>
      <c r="GA52" s="1013"/>
      <c r="GB52" s="1013"/>
      <c r="GC52" s="1013"/>
      <c r="GD52" s="1013"/>
      <c r="GE52" s="1013"/>
      <c r="GF52" s="1013"/>
      <c r="GG52" s="1013"/>
      <c r="GH52" s="1013"/>
      <c r="GI52" s="1013"/>
      <c r="GJ52" s="1013"/>
      <c r="GK52" s="1013"/>
      <c r="GL52" s="1013"/>
      <c r="GM52" s="1013"/>
      <c r="GN52" s="1013"/>
      <c r="GO52" s="1013"/>
      <c r="GP52" s="1013"/>
      <c r="GQ52" s="1013"/>
      <c r="GR52" s="1013"/>
      <c r="GS52" s="1013"/>
      <c r="GT52" s="1013"/>
      <c r="GU52" s="1013"/>
      <c r="GV52" s="1013"/>
      <c r="GW52" s="1013"/>
      <c r="GX52" s="1013"/>
      <c r="GY52" s="1013"/>
      <c r="GZ52" s="1013"/>
      <c r="HA52" s="1013"/>
      <c r="HB52" s="1013"/>
      <c r="HC52" s="1013"/>
      <c r="HD52" s="1013"/>
      <c r="HE52" s="1013"/>
      <c r="HF52" s="1013"/>
      <c r="HG52" s="1013"/>
      <c r="HH52" s="1013"/>
      <c r="HI52" s="1013"/>
      <c r="HJ52" s="1013"/>
      <c r="HK52" s="1013"/>
      <c r="HL52" s="1013"/>
      <c r="HM52" s="1013"/>
      <c r="HN52" s="1013"/>
      <c r="HO52" s="1013"/>
      <c r="HP52" s="1013"/>
      <c r="HQ52" s="1013"/>
      <c r="HR52" s="1013"/>
      <c r="HS52" s="1013"/>
      <c r="HT52" s="1013"/>
      <c r="HU52" s="1013"/>
      <c r="HV52" s="1013"/>
      <c r="HW52" s="1013"/>
      <c r="HX52" s="1013"/>
      <c r="HY52" s="1013"/>
      <c r="HZ52" s="1013"/>
      <c r="IA52" s="1013"/>
      <c r="IB52" s="1013"/>
      <c r="IC52" s="1013"/>
      <c r="ID52" s="1013"/>
      <c r="IE52" s="1013"/>
      <c r="IF52" s="1013"/>
      <c r="IG52" s="1013"/>
      <c r="IH52" s="1013"/>
      <c r="II52" s="1013"/>
      <c r="IJ52" s="1013"/>
      <c r="IK52" s="1013"/>
      <c r="IL52" s="1013"/>
      <c r="IM52" s="1013"/>
      <c r="IN52" s="1013"/>
      <c r="IO52" s="1013"/>
      <c r="IP52" s="1013"/>
      <c r="IQ52" s="1013"/>
      <c r="IR52" s="1013"/>
      <c r="IS52" s="1013"/>
      <c r="IT52" s="1013"/>
      <c r="IU52" s="1013"/>
    </row>
    <row r="53" spans="1:255" s="1054" customFormat="1" ht="24.75" customHeight="1" thickBot="1">
      <c r="A53" s="1052"/>
      <c r="B53" s="1090" t="s">
        <v>614</v>
      </c>
      <c r="C53" s="1091"/>
      <c r="D53" s="1053">
        <f ca="1">SUM(D2:OFFSET(D53,-1,,,))</f>
        <v>17447</v>
      </c>
      <c r="E53" s="1053">
        <f ca="1">SUM(E2:OFFSET(E53,-1,,,))</f>
        <v>8414.3599999996877</v>
      </c>
      <c r="F53" s="1053">
        <f ca="1">SUM(F2:OFFSET(F53,-1,,,))</f>
        <v>19189.569999999861</v>
      </c>
      <c r="G53" s="1053">
        <f ca="1">SUM(G2:OFFSET(G53,-1,,,))</f>
        <v>0</v>
      </c>
      <c r="H53" s="1053">
        <f ca="1">SUM(H2:OFFSET(H53,-1,,,))</f>
        <v>0</v>
      </c>
      <c r="I53" s="1053">
        <f ca="1">SUM(I2:OFFSET(I53,-1,,,))</f>
        <v>309</v>
      </c>
      <c r="J53" s="1053">
        <f ca="1">SUM(J2:OFFSET(J53,-1,,,))</f>
        <v>6362.7899999998263</v>
      </c>
      <c r="L53" s="1053">
        <f ca="1">SUM(L2:OFFSET(L53,-1,,,))</f>
        <v>6362.7899999998263</v>
      </c>
      <c r="M53" s="1053">
        <f ca="1">SUM(M2:OFFSET(M53,-1,,,))</f>
        <v>3862.79</v>
      </c>
      <c r="N53" s="1053">
        <f ca="1">SUM(N2:OFFSET(N53,-1,,,))</f>
        <v>-2499.9999999998258</v>
      </c>
      <c r="O53" s="1055"/>
      <c r="P53" s="1056"/>
      <c r="Q53" s="1056"/>
      <c r="R53" s="1056"/>
      <c r="S53" s="1056"/>
      <c r="T53" s="1056"/>
      <c r="U53" s="1056"/>
      <c r="V53" s="1056"/>
      <c r="W53" s="1056"/>
      <c r="X53" s="1056"/>
      <c r="Y53" s="1056"/>
      <c r="Z53" s="1056"/>
      <c r="AA53" s="1056"/>
      <c r="AB53" s="1056"/>
      <c r="AC53" s="1056"/>
      <c r="AD53" s="1056"/>
      <c r="AE53" s="1056"/>
      <c r="AF53" s="1056"/>
      <c r="AG53" s="1056"/>
      <c r="AH53" s="1056"/>
      <c r="AI53" s="1056"/>
      <c r="AJ53" s="1056"/>
      <c r="AK53" s="1056"/>
      <c r="AL53" s="1056"/>
      <c r="AM53" s="1056"/>
      <c r="AN53" s="1056"/>
      <c r="AO53" s="1056"/>
      <c r="AP53" s="1056"/>
      <c r="AQ53" s="1056"/>
      <c r="AR53" s="1056"/>
      <c r="AS53" s="1056"/>
      <c r="AT53" s="1056"/>
      <c r="AU53" s="1056"/>
      <c r="AV53" s="1056"/>
      <c r="AW53" s="1056"/>
      <c r="AX53" s="1056"/>
      <c r="AY53" s="1056"/>
      <c r="AZ53" s="1056"/>
      <c r="BA53" s="1056"/>
      <c r="BB53" s="1056"/>
      <c r="BC53" s="1056"/>
      <c r="BD53" s="1056"/>
      <c r="BE53" s="1056"/>
      <c r="BF53" s="1056"/>
      <c r="BG53" s="1056"/>
      <c r="BH53" s="1056"/>
      <c r="BI53" s="1056"/>
      <c r="BJ53" s="1056"/>
      <c r="BK53" s="1056"/>
      <c r="BL53" s="1056"/>
      <c r="BM53" s="1056"/>
      <c r="BN53" s="1056"/>
      <c r="BO53" s="1056"/>
      <c r="BP53" s="1056"/>
      <c r="BQ53" s="1056"/>
      <c r="BR53" s="1056"/>
      <c r="BS53" s="1056"/>
      <c r="BT53" s="1056"/>
      <c r="BU53" s="1056"/>
      <c r="BV53" s="1056"/>
      <c r="BW53" s="1056"/>
      <c r="BX53" s="1056"/>
      <c r="BY53" s="1056"/>
      <c r="BZ53" s="1056"/>
      <c r="CA53" s="1056"/>
      <c r="CB53" s="1056"/>
      <c r="CC53" s="1056"/>
      <c r="CD53" s="1056"/>
      <c r="CE53" s="1056"/>
      <c r="CF53" s="1056"/>
      <c r="CG53" s="1056"/>
      <c r="CH53" s="1056"/>
      <c r="CI53" s="1056"/>
      <c r="CJ53" s="1056"/>
      <c r="CK53" s="1056"/>
      <c r="CL53" s="1056"/>
      <c r="CM53" s="1056"/>
      <c r="CN53" s="1056"/>
      <c r="CO53" s="1056"/>
      <c r="CP53" s="1056"/>
      <c r="CQ53" s="1056"/>
      <c r="CR53" s="1056"/>
      <c r="CS53" s="1056"/>
      <c r="CT53" s="1056"/>
      <c r="CU53" s="1056"/>
      <c r="CV53" s="1056"/>
      <c r="CW53" s="1056"/>
      <c r="CX53" s="1056"/>
      <c r="CY53" s="1056"/>
      <c r="CZ53" s="1056"/>
      <c r="DA53" s="1056"/>
      <c r="DB53" s="1056"/>
      <c r="DC53" s="1056"/>
      <c r="DD53" s="1056"/>
      <c r="DE53" s="1056"/>
      <c r="DF53" s="1056"/>
      <c r="DG53" s="1056"/>
      <c r="DH53" s="1056"/>
      <c r="DI53" s="1056"/>
      <c r="DJ53" s="1056"/>
      <c r="DK53" s="1056"/>
      <c r="DL53" s="1056"/>
      <c r="DM53" s="1056"/>
      <c r="DN53" s="1056"/>
      <c r="DO53" s="1056"/>
      <c r="DP53" s="1056"/>
      <c r="DQ53" s="1056"/>
      <c r="DR53" s="1056"/>
      <c r="DS53" s="1056"/>
      <c r="DT53" s="1056"/>
      <c r="DU53" s="1056"/>
      <c r="DV53" s="1056"/>
      <c r="DW53" s="1056"/>
      <c r="DX53" s="1056"/>
      <c r="DY53" s="1056"/>
      <c r="DZ53" s="1056"/>
      <c r="EA53" s="1056"/>
      <c r="EB53" s="1056"/>
      <c r="EC53" s="1056"/>
      <c r="ED53" s="1056"/>
      <c r="EE53" s="1056"/>
      <c r="EF53" s="1056"/>
      <c r="EG53" s="1056"/>
      <c r="EH53" s="1056"/>
      <c r="EI53" s="1056"/>
      <c r="EJ53" s="1056"/>
      <c r="EK53" s="1056"/>
      <c r="EL53" s="1056"/>
      <c r="EM53" s="1056"/>
      <c r="EN53" s="1056"/>
      <c r="EO53" s="1056"/>
      <c r="EP53" s="1056"/>
      <c r="EQ53" s="1056"/>
      <c r="ER53" s="1056"/>
      <c r="ES53" s="1056"/>
      <c r="ET53" s="1056"/>
      <c r="EU53" s="1056"/>
      <c r="EV53" s="1056"/>
      <c r="EW53" s="1056"/>
      <c r="EX53" s="1056"/>
      <c r="EY53" s="1056"/>
      <c r="EZ53" s="1056"/>
      <c r="FA53" s="1056"/>
      <c r="FB53" s="1056"/>
      <c r="FC53" s="1056"/>
      <c r="FD53" s="1056"/>
      <c r="FE53" s="1056"/>
      <c r="FF53" s="1056"/>
      <c r="FG53" s="1056"/>
      <c r="FH53" s="1056"/>
      <c r="FI53" s="1056"/>
      <c r="FJ53" s="1056"/>
      <c r="FK53" s="1056"/>
      <c r="FL53" s="1056"/>
      <c r="FM53" s="1056"/>
      <c r="FN53" s="1056"/>
      <c r="FO53" s="1056"/>
      <c r="FP53" s="1056"/>
      <c r="FQ53" s="1056"/>
      <c r="FR53" s="1056"/>
      <c r="FS53" s="1056"/>
      <c r="FT53" s="1056"/>
      <c r="FU53" s="1056"/>
      <c r="FV53" s="1056"/>
      <c r="FW53" s="1056"/>
      <c r="FX53" s="1056"/>
      <c r="FY53" s="1056"/>
      <c r="FZ53" s="1056"/>
      <c r="GA53" s="1056"/>
      <c r="GB53" s="1056"/>
      <c r="GC53" s="1056"/>
      <c r="GD53" s="1056"/>
      <c r="GE53" s="1056"/>
      <c r="GF53" s="1056"/>
      <c r="GG53" s="1056"/>
      <c r="GH53" s="1056"/>
      <c r="GI53" s="1056"/>
      <c r="GJ53" s="1056"/>
      <c r="GK53" s="1056"/>
      <c r="GL53" s="1056"/>
      <c r="GM53" s="1056"/>
      <c r="GN53" s="1056"/>
      <c r="GO53" s="1056"/>
      <c r="GP53" s="1056"/>
      <c r="GQ53" s="1056"/>
      <c r="GR53" s="1056"/>
      <c r="GS53" s="1056"/>
      <c r="GT53" s="1056"/>
      <c r="GU53" s="1056"/>
      <c r="GV53" s="1056"/>
      <c r="GW53" s="1056"/>
      <c r="GX53" s="1056"/>
      <c r="GY53" s="1056"/>
      <c r="GZ53" s="1056"/>
      <c r="HA53" s="1056"/>
      <c r="HB53" s="1056"/>
      <c r="HC53" s="1056"/>
      <c r="HD53" s="1056"/>
      <c r="HE53" s="1056"/>
      <c r="HF53" s="1056"/>
      <c r="HG53" s="1056"/>
      <c r="HH53" s="1056"/>
      <c r="HI53" s="1056"/>
      <c r="HJ53" s="1056"/>
      <c r="HK53" s="1056"/>
      <c r="HL53" s="1056"/>
      <c r="HM53" s="1056"/>
      <c r="HN53" s="1056"/>
      <c r="HO53" s="1056"/>
      <c r="HP53" s="1056"/>
      <c r="HQ53" s="1056"/>
      <c r="HR53" s="1056"/>
      <c r="HS53" s="1056"/>
      <c r="HT53" s="1056"/>
      <c r="HU53" s="1056"/>
      <c r="HV53" s="1056"/>
      <c r="HW53" s="1056"/>
      <c r="HX53" s="1056"/>
      <c r="HY53" s="1056"/>
      <c r="HZ53" s="1056"/>
      <c r="IA53" s="1056"/>
      <c r="IB53" s="1056"/>
      <c r="IC53" s="1056"/>
      <c r="ID53" s="1056"/>
      <c r="IE53" s="1056"/>
      <c r="IF53" s="1056"/>
      <c r="IG53" s="1056"/>
      <c r="IH53" s="1056"/>
      <c r="II53" s="1056"/>
      <c r="IJ53" s="1056"/>
      <c r="IK53" s="1056"/>
      <c r="IL53" s="1056"/>
      <c r="IM53" s="1056"/>
      <c r="IN53" s="1056"/>
      <c r="IO53" s="1056"/>
      <c r="IP53" s="1056"/>
      <c r="IQ53" s="1056"/>
      <c r="IR53" s="1056"/>
      <c r="IS53" s="1056"/>
      <c r="IT53" s="1056"/>
      <c r="IU53" s="1056"/>
    </row>
    <row r="54" spans="1:255" s="1031" customFormat="1" ht="17.100000000000001" customHeight="1">
      <c r="A54" s="1010"/>
      <c r="B54" s="1010"/>
      <c r="C54" s="1010"/>
      <c r="D54" s="1057"/>
      <c r="E54" s="1057"/>
      <c r="F54" s="1057"/>
      <c r="G54" s="1057"/>
      <c r="H54" s="1057"/>
      <c r="I54" s="1058">
        <f ca="1">+I53</f>
        <v>309</v>
      </c>
      <c r="J54" s="1059"/>
      <c r="K54" s="1058"/>
      <c r="L54" s="1060">
        <v>0</v>
      </c>
      <c r="M54" s="1061"/>
      <c r="N54" s="1059"/>
      <c r="O54" s="1062"/>
      <c r="P54" s="1013"/>
      <c r="Q54" s="1013"/>
      <c r="R54" s="1013"/>
      <c r="S54" s="1013"/>
      <c r="T54" s="1013"/>
      <c r="U54" s="1013"/>
      <c r="V54" s="1013"/>
      <c r="W54" s="1013"/>
      <c r="X54" s="1013"/>
      <c r="Y54" s="1013"/>
      <c r="Z54" s="1013"/>
      <c r="AA54" s="1013"/>
      <c r="AB54" s="1013"/>
      <c r="AC54" s="1013"/>
      <c r="AD54" s="1013"/>
      <c r="AE54" s="1013"/>
      <c r="AF54" s="1013"/>
      <c r="AG54" s="1013"/>
      <c r="AH54" s="1013"/>
      <c r="AI54" s="1013"/>
      <c r="AJ54" s="1013"/>
      <c r="AK54" s="1013"/>
      <c r="AL54" s="1013"/>
      <c r="AM54" s="1013"/>
      <c r="AN54" s="1013"/>
      <c r="AO54" s="1013"/>
      <c r="AP54" s="1013"/>
      <c r="AQ54" s="1013"/>
      <c r="AR54" s="1013"/>
      <c r="AS54" s="1013"/>
      <c r="AT54" s="1013"/>
      <c r="AU54" s="1013"/>
      <c r="AV54" s="1013"/>
      <c r="AW54" s="1013"/>
      <c r="AX54" s="1013"/>
      <c r="AY54" s="1013"/>
      <c r="AZ54" s="1013"/>
      <c r="BA54" s="1013"/>
      <c r="BB54" s="1013"/>
      <c r="BC54" s="1013"/>
      <c r="BD54" s="1013"/>
      <c r="BE54" s="1013"/>
      <c r="BF54" s="1013"/>
      <c r="BG54" s="1013"/>
      <c r="BH54" s="1013"/>
      <c r="BI54" s="1013"/>
      <c r="BJ54" s="1013"/>
      <c r="BK54" s="1013"/>
      <c r="BL54" s="1013"/>
      <c r="BM54" s="1013"/>
      <c r="BN54" s="1013"/>
      <c r="BO54" s="1013"/>
      <c r="BP54" s="1013"/>
      <c r="BQ54" s="1013"/>
      <c r="BR54" s="1013"/>
      <c r="BS54" s="1013"/>
      <c r="BT54" s="1013"/>
      <c r="BU54" s="1013"/>
      <c r="BV54" s="1013"/>
      <c r="BW54" s="1013"/>
      <c r="BX54" s="1013"/>
      <c r="BY54" s="1013"/>
      <c r="BZ54" s="1013"/>
      <c r="CA54" s="1013"/>
      <c r="CB54" s="1013"/>
      <c r="CC54" s="1013"/>
      <c r="CD54" s="1013"/>
      <c r="CE54" s="1013"/>
      <c r="CF54" s="1013"/>
      <c r="CG54" s="1013"/>
      <c r="CH54" s="1013"/>
      <c r="CI54" s="1013"/>
      <c r="CJ54" s="1013"/>
      <c r="CK54" s="1013"/>
      <c r="CL54" s="1013"/>
      <c r="CM54" s="1013"/>
      <c r="CN54" s="1013"/>
      <c r="CO54" s="1013"/>
      <c r="CP54" s="1013"/>
      <c r="CQ54" s="1013"/>
      <c r="CR54" s="1013"/>
      <c r="CS54" s="1013"/>
      <c r="CT54" s="1013"/>
      <c r="CU54" s="1013"/>
      <c r="CV54" s="1013"/>
      <c r="CW54" s="1013"/>
      <c r="CX54" s="1013"/>
      <c r="CY54" s="1013"/>
      <c r="CZ54" s="1013"/>
      <c r="DA54" s="1013"/>
      <c r="DB54" s="1013"/>
      <c r="DC54" s="1013"/>
      <c r="DD54" s="1013"/>
      <c r="DE54" s="1013"/>
      <c r="DF54" s="1013"/>
      <c r="DG54" s="1013"/>
      <c r="DH54" s="1013"/>
      <c r="DI54" s="1013"/>
      <c r="DJ54" s="1013"/>
      <c r="DK54" s="1013"/>
      <c r="DL54" s="1013"/>
      <c r="DM54" s="1013"/>
      <c r="DN54" s="1013"/>
      <c r="DO54" s="1013"/>
      <c r="DP54" s="1013"/>
      <c r="DQ54" s="1013"/>
      <c r="DR54" s="1013"/>
      <c r="DS54" s="1013"/>
      <c r="DT54" s="1013"/>
      <c r="DU54" s="1013"/>
      <c r="DV54" s="1013"/>
      <c r="DW54" s="1013"/>
      <c r="DX54" s="1013"/>
      <c r="DY54" s="1013"/>
      <c r="DZ54" s="1013"/>
      <c r="EA54" s="1013"/>
      <c r="EB54" s="1013"/>
      <c r="EC54" s="1013"/>
      <c r="ED54" s="1013"/>
      <c r="EE54" s="1013"/>
      <c r="EF54" s="1013"/>
      <c r="EG54" s="1013"/>
      <c r="EH54" s="1013"/>
      <c r="EI54" s="1013"/>
      <c r="EJ54" s="1013"/>
      <c r="EK54" s="1013"/>
      <c r="EL54" s="1013"/>
      <c r="EM54" s="1013"/>
      <c r="EN54" s="1013"/>
      <c r="EO54" s="1013"/>
      <c r="EP54" s="1013"/>
      <c r="EQ54" s="1013"/>
      <c r="ER54" s="1013"/>
      <c r="ES54" s="1013"/>
      <c r="ET54" s="1013"/>
      <c r="EU54" s="1013"/>
      <c r="EV54" s="1013"/>
      <c r="EW54" s="1013"/>
      <c r="EX54" s="1013"/>
      <c r="EY54" s="1013"/>
      <c r="EZ54" s="1013"/>
      <c r="FA54" s="1013"/>
      <c r="FB54" s="1013"/>
      <c r="FC54" s="1013"/>
      <c r="FD54" s="1013"/>
      <c r="FE54" s="1013"/>
      <c r="FF54" s="1013"/>
      <c r="FG54" s="1013"/>
      <c r="FH54" s="1013"/>
      <c r="FI54" s="1013"/>
      <c r="FJ54" s="1013"/>
      <c r="FK54" s="1013"/>
      <c r="FL54" s="1013"/>
      <c r="FM54" s="1013"/>
      <c r="FN54" s="1013"/>
      <c r="FO54" s="1013"/>
      <c r="FP54" s="1013"/>
      <c r="FQ54" s="1013"/>
      <c r="FR54" s="1013"/>
      <c r="FS54" s="1013"/>
      <c r="FT54" s="1013"/>
      <c r="FU54" s="1013"/>
      <c r="FV54" s="1013"/>
      <c r="FW54" s="1013"/>
      <c r="FX54" s="1013"/>
      <c r="FY54" s="1013"/>
      <c r="FZ54" s="1013"/>
      <c r="GA54" s="1013"/>
      <c r="GB54" s="1013"/>
      <c r="GC54" s="1013"/>
      <c r="GD54" s="1013"/>
      <c r="GE54" s="1013"/>
      <c r="GF54" s="1013"/>
      <c r="GG54" s="1013"/>
      <c r="GH54" s="1013"/>
      <c r="GI54" s="1013"/>
      <c r="GJ54" s="1013"/>
      <c r="GK54" s="1013"/>
      <c r="GL54" s="1013"/>
      <c r="GM54" s="1013"/>
      <c r="GN54" s="1013"/>
      <c r="GO54" s="1013"/>
      <c r="GP54" s="1013"/>
      <c r="GQ54" s="1013"/>
      <c r="GR54" s="1013"/>
      <c r="GS54" s="1013"/>
      <c r="GT54" s="1013"/>
      <c r="GU54" s="1013"/>
      <c r="GV54" s="1013"/>
      <c r="GW54" s="1013"/>
      <c r="GX54" s="1013"/>
      <c r="GY54" s="1013"/>
      <c r="GZ54" s="1013"/>
      <c r="HA54" s="1013"/>
      <c r="HB54" s="1013"/>
      <c r="HC54" s="1013"/>
      <c r="HD54" s="1013"/>
      <c r="HE54" s="1013"/>
      <c r="HF54" s="1013"/>
      <c r="HG54" s="1013"/>
      <c r="HH54" s="1013"/>
      <c r="HI54" s="1013"/>
      <c r="HJ54" s="1013"/>
      <c r="HK54" s="1013"/>
      <c r="HL54" s="1013"/>
      <c r="HM54" s="1013"/>
      <c r="HN54" s="1013"/>
      <c r="HO54" s="1013"/>
      <c r="HP54" s="1013"/>
      <c r="HQ54" s="1013"/>
      <c r="HR54" s="1013"/>
      <c r="HS54" s="1013"/>
      <c r="HT54" s="1013"/>
      <c r="HU54" s="1013"/>
      <c r="HV54" s="1013"/>
      <c r="HW54" s="1013"/>
      <c r="HX54" s="1013"/>
      <c r="HY54" s="1013"/>
      <c r="HZ54" s="1013"/>
      <c r="IA54" s="1013"/>
      <c r="IB54" s="1013"/>
      <c r="IC54" s="1013"/>
      <c r="ID54" s="1013"/>
      <c r="IE54" s="1013"/>
      <c r="IF54" s="1013"/>
      <c r="IG54" s="1013"/>
      <c r="IH54" s="1013"/>
      <c r="II54" s="1013"/>
      <c r="IJ54" s="1013"/>
      <c r="IK54" s="1013"/>
      <c r="IL54" s="1013"/>
      <c r="IM54" s="1013"/>
      <c r="IN54" s="1013"/>
      <c r="IO54" s="1013"/>
      <c r="IP54" s="1013"/>
      <c r="IQ54" s="1013"/>
      <c r="IR54" s="1013"/>
      <c r="IS54" s="1013"/>
      <c r="IT54" s="1013"/>
      <c r="IU54" s="1013"/>
    </row>
    <row r="55" spans="1:255" s="1031" customFormat="1" ht="17.100000000000001" customHeight="1">
      <c r="A55" s="1013"/>
      <c r="B55" s="1013"/>
      <c r="C55" s="1013"/>
      <c r="D55" s="1063"/>
      <c r="E55" s="1063"/>
      <c r="F55" s="1063"/>
      <c r="G55" s="1063"/>
      <c r="H55" s="1063"/>
      <c r="I55" s="1063"/>
      <c r="J55" s="1063" t="s">
        <v>36</v>
      </c>
      <c r="K55" s="1063"/>
      <c r="L55" s="1063"/>
      <c r="M55" s="1063"/>
      <c r="N55" s="1013"/>
      <c r="O55" s="1063"/>
      <c r="P55" s="1013"/>
      <c r="Q55" s="1013"/>
      <c r="R55" s="1013"/>
      <c r="S55" s="1013"/>
      <c r="T55" s="1013"/>
      <c r="U55" s="1013"/>
      <c r="V55" s="1013"/>
      <c r="W55" s="1013"/>
      <c r="X55" s="1013"/>
      <c r="Y55" s="1013"/>
      <c r="Z55" s="1013"/>
      <c r="AA55" s="1013"/>
      <c r="AB55" s="1013"/>
      <c r="AC55" s="1013"/>
      <c r="AD55" s="1013"/>
      <c r="AE55" s="1013"/>
      <c r="AF55" s="1013"/>
      <c r="AG55" s="1013"/>
      <c r="AH55" s="1013"/>
      <c r="AI55" s="1013"/>
      <c r="AJ55" s="1013"/>
      <c r="AK55" s="1013"/>
      <c r="AL55" s="1013"/>
      <c r="AM55" s="1013"/>
      <c r="AN55" s="1013"/>
      <c r="AO55" s="1013"/>
      <c r="AP55" s="1013"/>
      <c r="AQ55" s="1013"/>
      <c r="AR55" s="1013"/>
      <c r="AS55" s="1013"/>
      <c r="AT55" s="1013"/>
      <c r="AU55" s="1013"/>
      <c r="AV55" s="1013"/>
      <c r="AW55" s="1013"/>
      <c r="AX55" s="1013"/>
      <c r="AY55" s="1013"/>
      <c r="AZ55" s="1013"/>
      <c r="BA55" s="1013"/>
      <c r="BB55" s="1013"/>
      <c r="BC55" s="1013"/>
      <c r="BD55" s="1013"/>
      <c r="BE55" s="1013"/>
      <c r="BF55" s="1013"/>
      <c r="BG55" s="1013"/>
      <c r="BH55" s="1013"/>
      <c r="BI55" s="1013"/>
      <c r="BJ55" s="1013"/>
      <c r="BK55" s="1013"/>
      <c r="BL55" s="1013"/>
      <c r="BM55" s="1013"/>
      <c r="BN55" s="1013"/>
      <c r="BO55" s="1013"/>
      <c r="BP55" s="1013"/>
      <c r="BQ55" s="1013"/>
      <c r="BR55" s="1013"/>
      <c r="BS55" s="1013"/>
      <c r="BT55" s="1013"/>
      <c r="BU55" s="1013"/>
      <c r="BV55" s="1013"/>
      <c r="BW55" s="1013"/>
      <c r="BX55" s="1013"/>
      <c r="BY55" s="1013"/>
      <c r="BZ55" s="1013"/>
      <c r="CA55" s="1013"/>
      <c r="CB55" s="1013"/>
      <c r="CC55" s="1013"/>
      <c r="CD55" s="1013"/>
      <c r="CE55" s="1013"/>
      <c r="CF55" s="1013"/>
      <c r="CG55" s="1013"/>
      <c r="CH55" s="1013"/>
      <c r="CI55" s="1013"/>
      <c r="CJ55" s="1013"/>
      <c r="CK55" s="1013"/>
      <c r="CL55" s="1013"/>
      <c r="CM55" s="1013"/>
      <c r="CN55" s="1013"/>
      <c r="CO55" s="1013"/>
      <c r="CP55" s="1013"/>
      <c r="CQ55" s="1013"/>
      <c r="CR55" s="1013"/>
      <c r="CS55" s="1013"/>
      <c r="CT55" s="1013"/>
      <c r="CU55" s="1013"/>
      <c r="CV55" s="1013"/>
      <c r="CW55" s="1013"/>
      <c r="CX55" s="1013"/>
      <c r="CY55" s="1013"/>
      <c r="CZ55" s="1013"/>
      <c r="DA55" s="1013"/>
      <c r="DB55" s="1013"/>
      <c r="DC55" s="1013"/>
      <c r="DD55" s="1013"/>
      <c r="DE55" s="1013"/>
      <c r="DF55" s="1013"/>
      <c r="DG55" s="1013"/>
      <c r="DH55" s="1013"/>
      <c r="DI55" s="1013"/>
      <c r="DJ55" s="1013"/>
      <c r="DK55" s="1013"/>
      <c r="DL55" s="1013"/>
      <c r="DM55" s="1013"/>
      <c r="DN55" s="1013"/>
      <c r="DO55" s="1013"/>
      <c r="DP55" s="1013"/>
      <c r="DQ55" s="1013"/>
      <c r="DR55" s="1013"/>
      <c r="DS55" s="1013"/>
      <c r="DT55" s="1013"/>
      <c r="DU55" s="1013"/>
      <c r="DV55" s="1013"/>
      <c r="DW55" s="1013"/>
      <c r="DX55" s="1013"/>
      <c r="DY55" s="1013"/>
      <c r="DZ55" s="1013"/>
      <c r="EA55" s="1013"/>
      <c r="EB55" s="1013"/>
      <c r="EC55" s="1013"/>
      <c r="ED55" s="1013"/>
      <c r="EE55" s="1013"/>
      <c r="EF55" s="1013"/>
      <c r="EG55" s="1013"/>
      <c r="EH55" s="1013"/>
      <c r="EI55" s="1013"/>
      <c r="EJ55" s="1013"/>
      <c r="EK55" s="1013"/>
      <c r="EL55" s="1013"/>
      <c r="EM55" s="1013"/>
      <c r="EN55" s="1013"/>
      <c r="EO55" s="1013"/>
      <c r="EP55" s="1013"/>
      <c r="EQ55" s="1013"/>
      <c r="ER55" s="1013"/>
      <c r="ES55" s="1013"/>
      <c r="ET55" s="1013"/>
      <c r="EU55" s="1013"/>
      <c r="EV55" s="1013"/>
      <c r="EW55" s="1013"/>
      <c r="EX55" s="1013"/>
      <c r="EY55" s="1013"/>
      <c r="EZ55" s="1013"/>
      <c r="FA55" s="1013"/>
      <c r="FB55" s="1013"/>
      <c r="FC55" s="1013"/>
      <c r="FD55" s="1013"/>
      <c r="FE55" s="1013"/>
      <c r="FF55" s="1013"/>
      <c r="FG55" s="1013"/>
      <c r="FH55" s="1013"/>
      <c r="FI55" s="1013"/>
      <c r="FJ55" s="1013"/>
      <c r="FK55" s="1013"/>
      <c r="FL55" s="1013"/>
      <c r="FM55" s="1013"/>
      <c r="FN55" s="1013"/>
      <c r="FO55" s="1013"/>
      <c r="FP55" s="1013"/>
      <c r="FQ55" s="1013"/>
      <c r="FR55" s="1013"/>
      <c r="FS55" s="1013"/>
      <c r="FT55" s="1013"/>
      <c r="FU55" s="1013"/>
      <c r="FV55" s="1013"/>
      <c r="FW55" s="1013"/>
      <c r="FX55" s="1013"/>
      <c r="FY55" s="1013"/>
      <c r="FZ55" s="1013"/>
      <c r="GA55" s="1013"/>
      <c r="GB55" s="1013"/>
      <c r="GC55" s="1013"/>
      <c r="GD55" s="1013"/>
      <c r="GE55" s="1013"/>
      <c r="GF55" s="1013"/>
      <c r="GG55" s="1013"/>
      <c r="GH55" s="1013"/>
      <c r="GI55" s="1013"/>
      <c r="GJ55" s="1013"/>
      <c r="GK55" s="1013"/>
      <c r="GL55" s="1013"/>
      <c r="GM55" s="1013"/>
      <c r="GN55" s="1013"/>
      <c r="GO55" s="1013"/>
      <c r="GP55" s="1013"/>
      <c r="GQ55" s="1013"/>
      <c r="GR55" s="1013"/>
      <c r="GS55" s="1013"/>
      <c r="GT55" s="1013"/>
      <c r="GU55" s="1013"/>
      <c r="GV55" s="1013"/>
      <c r="GW55" s="1013"/>
      <c r="GX55" s="1013"/>
      <c r="GY55" s="1013"/>
      <c r="GZ55" s="1013"/>
      <c r="HA55" s="1013"/>
      <c r="HB55" s="1013"/>
      <c r="HC55" s="1013"/>
      <c r="HD55" s="1013"/>
      <c r="HE55" s="1013"/>
      <c r="HF55" s="1013"/>
      <c r="HG55" s="1013"/>
      <c r="HH55" s="1013"/>
      <c r="HI55" s="1013"/>
      <c r="HJ55" s="1013"/>
      <c r="HK55" s="1013"/>
      <c r="HL55" s="1013"/>
      <c r="HM55" s="1013"/>
      <c r="HN55" s="1013"/>
      <c r="HO55" s="1013"/>
      <c r="HP55" s="1013"/>
      <c r="HQ55" s="1013"/>
      <c r="HR55" s="1013"/>
      <c r="HS55" s="1013"/>
      <c r="HT55" s="1013"/>
      <c r="HU55" s="1013"/>
      <c r="HV55" s="1013"/>
      <c r="HW55" s="1013"/>
      <c r="HX55" s="1013"/>
      <c r="HY55" s="1013"/>
      <c r="HZ55" s="1013"/>
      <c r="IA55" s="1013"/>
      <c r="IB55" s="1013"/>
      <c r="IC55" s="1013"/>
      <c r="ID55" s="1013"/>
      <c r="IE55" s="1013"/>
      <c r="IF55" s="1013"/>
      <c r="IG55" s="1013"/>
      <c r="IH55" s="1013"/>
      <c r="II55" s="1013"/>
      <c r="IJ55" s="1013"/>
      <c r="IK55" s="1013"/>
      <c r="IL55" s="1013"/>
      <c r="IM55" s="1013"/>
      <c r="IN55" s="1013"/>
      <c r="IO55" s="1013"/>
      <c r="IP55" s="1013"/>
      <c r="IQ55" s="1013"/>
      <c r="IR55" s="1013"/>
      <c r="IS55" s="1013"/>
      <c r="IT55" s="1013"/>
      <c r="IU55" s="1013"/>
    </row>
    <row r="56" spans="1:255" s="1031" customFormat="1" ht="17.100000000000001" customHeight="1">
      <c r="A56" s="1013"/>
      <c r="B56" s="1013"/>
      <c r="C56" s="1013"/>
      <c r="D56" s="1013"/>
      <c r="E56" s="1013"/>
      <c r="F56" s="1064"/>
      <c r="G56" s="1064"/>
      <c r="H56" s="1064"/>
      <c r="I56" s="1063"/>
      <c r="J56" s="1013" t="s">
        <v>36</v>
      </c>
      <c r="K56" s="1039">
        <v>0</v>
      </c>
      <c r="L56" s="1065"/>
      <c r="M56" s="1013"/>
      <c r="N56" s="1013"/>
      <c r="O56" s="1013"/>
      <c r="P56" s="1013"/>
      <c r="Q56" s="1013"/>
      <c r="R56" s="1013"/>
      <c r="S56" s="1013"/>
      <c r="T56" s="1013"/>
      <c r="U56" s="1013"/>
      <c r="V56" s="1013"/>
      <c r="W56" s="1013"/>
      <c r="X56" s="1013"/>
      <c r="Y56" s="1013"/>
      <c r="Z56" s="1013"/>
      <c r="AA56" s="1013"/>
      <c r="AB56" s="1013"/>
      <c r="AC56" s="1013"/>
      <c r="AD56" s="1013"/>
      <c r="AE56" s="1013"/>
      <c r="AF56" s="1013"/>
      <c r="AG56" s="1013"/>
      <c r="AH56" s="1013"/>
      <c r="AI56" s="1013"/>
      <c r="AJ56" s="1013"/>
      <c r="AK56" s="1013"/>
      <c r="AL56" s="1013"/>
      <c r="AM56" s="1013"/>
      <c r="AN56" s="1013"/>
      <c r="AO56" s="1013"/>
      <c r="AP56" s="1013"/>
      <c r="AQ56" s="1013"/>
      <c r="AR56" s="1013"/>
      <c r="AS56" s="1013"/>
      <c r="AT56" s="1013"/>
      <c r="AU56" s="1013"/>
      <c r="AV56" s="1013"/>
      <c r="AW56" s="1013"/>
      <c r="AX56" s="1013"/>
      <c r="AY56" s="1013"/>
      <c r="AZ56" s="1013"/>
      <c r="BA56" s="1013"/>
      <c r="BB56" s="1013"/>
      <c r="BC56" s="1013"/>
      <c r="BD56" s="1013"/>
      <c r="BE56" s="1013"/>
      <c r="BF56" s="1013"/>
      <c r="BG56" s="1013"/>
      <c r="BH56" s="1013"/>
      <c r="BI56" s="1013"/>
      <c r="BJ56" s="1013"/>
      <c r="BK56" s="1013"/>
      <c r="BL56" s="1013"/>
      <c r="BM56" s="1013"/>
      <c r="BN56" s="1013"/>
      <c r="BO56" s="1013"/>
      <c r="BP56" s="1013"/>
      <c r="BQ56" s="1013"/>
      <c r="BR56" s="1013"/>
      <c r="BS56" s="1013"/>
      <c r="BT56" s="1013"/>
      <c r="BU56" s="1013"/>
      <c r="BV56" s="1013"/>
      <c r="BW56" s="1013"/>
      <c r="BX56" s="1013"/>
      <c r="BY56" s="1013"/>
      <c r="BZ56" s="1013"/>
      <c r="CA56" s="1013"/>
      <c r="CB56" s="1013"/>
      <c r="CC56" s="1013"/>
      <c r="CD56" s="1013"/>
      <c r="CE56" s="1013"/>
      <c r="CF56" s="1013"/>
      <c r="CG56" s="1013"/>
      <c r="CH56" s="1013"/>
      <c r="CI56" s="1013"/>
      <c r="CJ56" s="1013"/>
      <c r="CK56" s="1013"/>
      <c r="CL56" s="1013"/>
      <c r="CM56" s="1013"/>
      <c r="CN56" s="1013"/>
      <c r="CO56" s="1013"/>
      <c r="CP56" s="1013"/>
      <c r="CQ56" s="1013"/>
      <c r="CR56" s="1013"/>
      <c r="CS56" s="1013"/>
      <c r="CT56" s="1013"/>
      <c r="CU56" s="1013"/>
      <c r="CV56" s="1013"/>
      <c r="CW56" s="1013"/>
      <c r="CX56" s="1013"/>
      <c r="CY56" s="1013"/>
      <c r="CZ56" s="1013"/>
      <c r="DA56" s="1013"/>
      <c r="DB56" s="1013"/>
      <c r="DC56" s="1013"/>
      <c r="DD56" s="1013"/>
      <c r="DE56" s="1013"/>
      <c r="DF56" s="1013"/>
      <c r="DG56" s="1013"/>
      <c r="DH56" s="1013"/>
      <c r="DI56" s="1013"/>
      <c r="DJ56" s="1013"/>
      <c r="DK56" s="1013"/>
      <c r="DL56" s="1013"/>
      <c r="DM56" s="1013"/>
      <c r="DN56" s="1013"/>
      <c r="DO56" s="1013"/>
      <c r="DP56" s="1013"/>
      <c r="DQ56" s="1013"/>
      <c r="DR56" s="1013"/>
      <c r="DS56" s="1013"/>
      <c r="DT56" s="1013"/>
      <c r="DU56" s="1013"/>
      <c r="DV56" s="1013"/>
      <c r="DW56" s="1013"/>
      <c r="DX56" s="1013"/>
      <c r="DY56" s="1013"/>
      <c r="DZ56" s="1013"/>
      <c r="EA56" s="1013"/>
      <c r="EB56" s="1013"/>
      <c r="EC56" s="1013"/>
      <c r="ED56" s="1013"/>
      <c r="EE56" s="1013"/>
      <c r="EF56" s="1013"/>
      <c r="EG56" s="1013"/>
      <c r="EH56" s="1013"/>
      <c r="EI56" s="1013"/>
      <c r="EJ56" s="1013"/>
      <c r="EK56" s="1013"/>
      <c r="EL56" s="1013"/>
      <c r="EM56" s="1013"/>
      <c r="EN56" s="1013"/>
      <c r="EO56" s="1013"/>
      <c r="EP56" s="1013"/>
      <c r="EQ56" s="1013"/>
      <c r="ER56" s="1013"/>
      <c r="ES56" s="1013"/>
      <c r="ET56" s="1013"/>
      <c r="EU56" s="1013"/>
      <c r="EV56" s="1013"/>
      <c r="EW56" s="1013"/>
      <c r="EX56" s="1013"/>
      <c r="EY56" s="1013"/>
      <c r="EZ56" s="1013"/>
      <c r="FA56" s="1013"/>
      <c r="FB56" s="1013"/>
      <c r="FC56" s="1013"/>
      <c r="FD56" s="1013"/>
      <c r="FE56" s="1013"/>
      <c r="FF56" s="1013"/>
      <c r="FG56" s="1013"/>
      <c r="FH56" s="1013"/>
      <c r="FI56" s="1013"/>
      <c r="FJ56" s="1013"/>
      <c r="FK56" s="1013"/>
      <c r="FL56" s="1013"/>
      <c r="FM56" s="1013"/>
      <c r="FN56" s="1013"/>
      <c r="FO56" s="1013"/>
      <c r="FP56" s="1013"/>
      <c r="FQ56" s="1013"/>
      <c r="FR56" s="1013"/>
      <c r="FS56" s="1013"/>
      <c r="FT56" s="1013"/>
      <c r="FU56" s="1013"/>
      <c r="FV56" s="1013"/>
      <c r="FW56" s="1013"/>
      <c r="FX56" s="1013"/>
      <c r="FY56" s="1013"/>
      <c r="FZ56" s="1013"/>
      <c r="GA56" s="1013"/>
      <c r="GB56" s="1013"/>
      <c r="GC56" s="1013"/>
      <c r="GD56" s="1013"/>
      <c r="GE56" s="1013"/>
      <c r="GF56" s="1013"/>
      <c r="GG56" s="1013"/>
      <c r="GH56" s="1013"/>
      <c r="GI56" s="1013"/>
      <c r="GJ56" s="1013"/>
      <c r="GK56" s="1013"/>
      <c r="GL56" s="1013"/>
      <c r="GM56" s="1013"/>
      <c r="GN56" s="1013"/>
      <c r="GO56" s="1013"/>
      <c r="GP56" s="1013"/>
      <c r="GQ56" s="1013"/>
      <c r="GR56" s="1013"/>
      <c r="GS56" s="1013"/>
      <c r="GT56" s="1013"/>
      <c r="GU56" s="1013"/>
      <c r="GV56" s="1013"/>
      <c r="GW56" s="1013"/>
      <c r="GX56" s="1013"/>
      <c r="GY56" s="1013"/>
      <c r="GZ56" s="1013"/>
      <c r="HA56" s="1013"/>
      <c r="HB56" s="1013"/>
      <c r="HC56" s="1013"/>
      <c r="HD56" s="1013"/>
      <c r="HE56" s="1013"/>
      <c r="HF56" s="1013"/>
      <c r="HG56" s="1013"/>
      <c r="HH56" s="1013"/>
      <c r="HI56" s="1013"/>
      <c r="HJ56" s="1013"/>
      <c r="HK56" s="1013"/>
      <c r="HL56" s="1013"/>
      <c r="HM56" s="1013"/>
      <c r="HN56" s="1013"/>
      <c r="HO56" s="1013"/>
      <c r="HP56" s="1013"/>
      <c r="HQ56" s="1013"/>
      <c r="HR56" s="1013"/>
      <c r="HS56" s="1013"/>
      <c r="HT56" s="1013"/>
      <c r="HU56" s="1013"/>
      <c r="HV56" s="1013"/>
      <c r="HW56" s="1013"/>
      <c r="HX56" s="1013"/>
      <c r="HY56" s="1013"/>
      <c r="HZ56" s="1013"/>
      <c r="IA56" s="1013"/>
      <c r="IB56" s="1013"/>
      <c r="IC56" s="1013"/>
      <c r="ID56" s="1013"/>
      <c r="IE56" s="1013"/>
      <c r="IF56" s="1013"/>
      <c r="IG56" s="1013"/>
      <c r="IH56" s="1013"/>
      <c r="II56" s="1013"/>
      <c r="IJ56" s="1013"/>
      <c r="IK56" s="1013"/>
      <c r="IL56" s="1013"/>
      <c r="IM56" s="1013"/>
      <c r="IN56" s="1013"/>
      <c r="IO56" s="1013"/>
      <c r="IP56" s="1013"/>
      <c r="IQ56" s="1013"/>
      <c r="IR56" s="1013"/>
      <c r="IS56" s="1013"/>
      <c r="IT56" s="1013"/>
      <c r="IU56" s="1013"/>
    </row>
    <row r="57" spans="1:255" s="1031" customFormat="1" ht="17.100000000000001" customHeight="1">
      <c r="A57" s="1010"/>
      <c r="B57" s="1010"/>
      <c r="C57" s="1010"/>
      <c r="D57" s="1010"/>
      <c r="E57" s="1010"/>
      <c r="F57" s="1066"/>
      <c r="G57" s="1010"/>
      <c r="H57" s="1010"/>
      <c r="I57" s="1010"/>
      <c r="J57" s="1067"/>
      <c r="K57" s="1010"/>
      <c r="L57" s="1065"/>
      <c r="M57" s="1013"/>
      <c r="N57" s="1067"/>
      <c r="O57" s="1010"/>
      <c r="P57" s="1010"/>
      <c r="Q57" s="1010"/>
      <c r="R57" s="1010"/>
      <c r="S57" s="1010"/>
      <c r="T57" s="1010"/>
      <c r="U57" s="1010"/>
      <c r="V57" s="1010"/>
      <c r="W57" s="1010"/>
      <c r="X57" s="1010"/>
      <c r="Y57" s="1010"/>
      <c r="Z57" s="1010"/>
      <c r="AA57" s="1010"/>
      <c r="AB57" s="1010"/>
      <c r="AC57" s="1010"/>
      <c r="AD57" s="1010"/>
      <c r="AE57" s="1010"/>
      <c r="AF57" s="1010"/>
      <c r="AG57" s="1010"/>
      <c r="AH57" s="1010"/>
      <c r="AI57" s="1010"/>
      <c r="AJ57" s="1010"/>
      <c r="AK57" s="1010"/>
      <c r="AL57" s="1010"/>
      <c r="AM57" s="1010"/>
      <c r="AN57" s="1010"/>
      <c r="AO57" s="1010"/>
      <c r="AP57" s="1010"/>
      <c r="AQ57" s="1010"/>
      <c r="AR57" s="1010"/>
      <c r="AS57" s="1010"/>
      <c r="AT57" s="1010"/>
      <c r="AU57" s="1010"/>
      <c r="AV57" s="1010"/>
      <c r="AW57" s="1010"/>
      <c r="AX57" s="1010"/>
      <c r="AY57" s="1010"/>
      <c r="AZ57" s="1010"/>
      <c r="BA57" s="1010"/>
      <c r="BB57" s="1010"/>
      <c r="BC57" s="1010"/>
      <c r="BD57" s="1010"/>
      <c r="BE57" s="1010"/>
      <c r="BF57" s="1010"/>
      <c r="BG57" s="1010"/>
      <c r="BH57" s="1010"/>
      <c r="BI57" s="1010"/>
      <c r="BJ57" s="1010"/>
      <c r="BK57" s="1010"/>
      <c r="BL57" s="1010"/>
      <c r="BM57" s="1010"/>
      <c r="BN57" s="1010"/>
      <c r="BO57" s="1010"/>
      <c r="BP57" s="1010"/>
      <c r="BQ57" s="1010"/>
      <c r="BR57" s="1010"/>
      <c r="BS57" s="1010"/>
      <c r="BT57" s="1010"/>
      <c r="BU57" s="1010"/>
      <c r="BV57" s="1010"/>
      <c r="BW57" s="1010"/>
      <c r="BX57" s="1010"/>
      <c r="BY57" s="1010"/>
      <c r="BZ57" s="1010"/>
      <c r="CA57" s="1010"/>
      <c r="CB57" s="1010"/>
      <c r="CC57" s="1010"/>
      <c r="CD57" s="1010"/>
      <c r="CE57" s="1010"/>
      <c r="CF57" s="1010"/>
      <c r="CG57" s="1010"/>
      <c r="CH57" s="1010"/>
      <c r="CI57" s="1010"/>
      <c r="CJ57" s="1010"/>
      <c r="CK57" s="1010"/>
      <c r="CL57" s="1010"/>
      <c r="CM57" s="1010"/>
      <c r="CN57" s="1010"/>
      <c r="CO57" s="1010"/>
      <c r="CP57" s="1010"/>
      <c r="CQ57" s="1010"/>
      <c r="CR57" s="1010"/>
      <c r="CS57" s="1010"/>
      <c r="CT57" s="1010"/>
      <c r="CU57" s="1010"/>
      <c r="CV57" s="1010"/>
      <c r="CW57" s="1010"/>
      <c r="CX57" s="1010"/>
      <c r="CY57" s="1010"/>
      <c r="CZ57" s="1010"/>
      <c r="DA57" s="1010"/>
      <c r="DB57" s="1010"/>
      <c r="DC57" s="1010"/>
      <c r="DD57" s="1010"/>
      <c r="DE57" s="1010"/>
      <c r="DF57" s="1010"/>
      <c r="DG57" s="1010"/>
      <c r="DH57" s="1010"/>
      <c r="DI57" s="1010"/>
      <c r="DJ57" s="1010"/>
      <c r="DK57" s="1010"/>
      <c r="DL57" s="1010"/>
      <c r="DM57" s="1010"/>
      <c r="DN57" s="1010"/>
      <c r="DO57" s="1010"/>
      <c r="DP57" s="1010"/>
      <c r="DQ57" s="1010"/>
      <c r="DR57" s="1010"/>
      <c r="DS57" s="1010"/>
      <c r="DT57" s="1010"/>
      <c r="DU57" s="1010"/>
      <c r="DV57" s="1010"/>
      <c r="DW57" s="1010"/>
      <c r="DX57" s="1010"/>
      <c r="DY57" s="1010"/>
      <c r="DZ57" s="1010"/>
      <c r="EA57" s="1010"/>
      <c r="EB57" s="1010"/>
      <c r="EC57" s="1010"/>
      <c r="ED57" s="1010"/>
      <c r="EE57" s="1010"/>
      <c r="EF57" s="1010"/>
      <c r="EG57" s="1010"/>
      <c r="EH57" s="1010"/>
      <c r="EI57" s="1010"/>
      <c r="EJ57" s="1010"/>
      <c r="EK57" s="1010"/>
      <c r="EL57" s="1010"/>
      <c r="EM57" s="1010"/>
      <c r="EN57" s="1010"/>
      <c r="EO57" s="1010"/>
      <c r="EP57" s="1010"/>
      <c r="EQ57" s="1010"/>
      <c r="ER57" s="1010"/>
      <c r="ES57" s="1010"/>
      <c r="ET57" s="1010"/>
      <c r="EU57" s="1010"/>
      <c r="EV57" s="1010"/>
      <c r="EW57" s="1010"/>
      <c r="EX57" s="1010"/>
      <c r="EY57" s="1010"/>
      <c r="EZ57" s="1010"/>
      <c r="FA57" s="1010"/>
      <c r="FB57" s="1010"/>
      <c r="FC57" s="1010"/>
      <c r="FD57" s="1010"/>
      <c r="FE57" s="1010"/>
      <c r="FF57" s="1010"/>
      <c r="FG57" s="1010"/>
      <c r="FH57" s="1010"/>
      <c r="FI57" s="1010"/>
      <c r="FJ57" s="1010"/>
      <c r="FK57" s="1010"/>
      <c r="FL57" s="1010"/>
      <c r="FM57" s="1010"/>
      <c r="FN57" s="1010"/>
      <c r="FO57" s="1010"/>
      <c r="FP57" s="1010"/>
      <c r="FQ57" s="1010"/>
      <c r="FR57" s="1010"/>
      <c r="FS57" s="1010"/>
      <c r="FT57" s="1010"/>
      <c r="FU57" s="1010"/>
      <c r="FV57" s="1010"/>
      <c r="FW57" s="1010"/>
      <c r="FX57" s="1010"/>
      <c r="FY57" s="1010"/>
      <c r="FZ57" s="1010"/>
      <c r="GA57" s="1010"/>
      <c r="GB57" s="1010"/>
      <c r="GC57" s="1010"/>
      <c r="GD57" s="1010"/>
      <c r="GE57" s="1010"/>
      <c r="GF57" s="1010"/>
      <c r="GG57" s="1010"/>
      <c r="GH57" s="1010"/>
      <c r="GI57" s="1010"/>
      <c r="GJ57" s="1010"/>
      <c r="GK57" s="1010"/>
      <c r="GL57" s="1010"/>
      <c r="GM57" s="1010"/>
      <c r="GN57" s="1010"/>
      <c r="GO57" s="1010"/>
      <c r="GP57" s="1010"/>
      <c r="GQ57" s="1010"/>
      <c r="GR57" s="1010"/>
      <c r="GS57" s="1010"/>
      <c r="GT57" s="1010"/>
      <c r="GU57" s="1010"/>
      <c r="GV57" s="1010"/>
      <c r="GW57" s="1010"/>
      <c r="GX57" s="1010"/>
      <c r="GY57" s="1010"/>
      <c r="GZ57" s="1010"/>
      <c r="HA57" s="1010"/>
      <c r="HB57" s="1010"/>
      <c r="HC57" s="1010"/>
      <c r="HD57" s="1010"/>
      <c r="HE57" s="1010"/>
      <c r="HF57" s="1010"/>
      <c r="HG57" s="1010"/>
      <c r="HH57" s="1010"/>
      <c r="HI57" s="1010"/>
      <c r="HJ57" s="1010"/>
      <c r="HK57" s="1010"/>
      <c r="HL57" s="1010"/>
      <c r="HM57" s="1010"/>
      <c r="HN57" s="1010"/>
      <c r="HO57" s="1010"/>
      <c r="HP57" s="1010"/>
      <c r="HQ57" s="1010"/>
      <c r="HR57" s="1010"/>
      <c r="HS57" s="1010"/>
      <c r="HT57" s="1010"/>
      <c r="HU57" s="1010"/>
      <c r="HV57" s="1010"/>
      <c r="HW57" s="1010"/>
      <c r="HX57" s="1010"/>
      <c r="HY57" s="1010"/>
      <c r="HZ57" s="1010"/>
      <c r="IA57" s="1010"/>
      <c r="IB57" s="1010"/>
      <c r="IC57" s="1010"/>
      <c r="ID57" s="1010"/>
      <c r="IE57" s="1010"/>
      <c r="IF57" s="1010"/>
      <c r="IG57" s="1010"/>
      <c r="IH57" s="1010"/>
      <c r="II57" s="1010"/>
      <c r="IJ57" s="1010"/>
      <c r="IK57" s="1010"/>
      <c r="IL57" s="1010"/>
      <c r="IM57" s="1010"/>
      <c r="IN57" s="1010"/>
      <c r="IO57" s="1010"/>
      <c r="IP57" s="1010"/>
      <c r="IQ57" s="1010"/>
      <c r="IR57" s="1010"/>
      <c r="IS57" s="1010"/>
      <c r="IT57" s="1010"/>
      <c r="IU57" s="1010"/>
    </row>
    <row r="58" spans="1:255" s="1031" customFormat="1">
      <c r="A58" s="1010"/>
      <c r="B58" s="1010"/>
      <c r="C58" s="1010"/>
      <c r="D58" s="1010"/>
      <c r="E58" s="1067"/>
      <c r="F58" s="1010"/>
      <c r="G58" s="1010"/>
      <c r="H58" s="1010"/>
      <c r="I58" s="1010"/>
      <c r="J58" s="1068"/>
      <c r="K58" s="1010"/>
      <c r="L58" s="1065"/>
      <c r="M58" s="1013"/>
      <c r="N58" s="1010"/>
      <c r="O58" s="1010"/>
      <c r="P58" s="1010"/>
      <c r="Q58" s="1010"/>
      <c r="R58" s="1010"/>
      <c r="S58" s="1010"/>
      <c r="T58" s="1010"/>
      <c r="U58" s="1010"/>
      <c r="V58" s="1010"/>
      <c r="W58" s="1010"/>
      <c r="X58" s="1010"/>
      <c r="Y58" s="1010"/>
      <c r="Z58" s="1010"/>
      <c r="AA58" s="1010"/>
      <c r="AB58" s="1010"/>
      <c r="AC58" s="1010"/>
      <c r="AD58" s="1010"/>
      <c r="AE58" s="1010"/>
      <c r="AF58" s="1010"/>
      <c r="AG58" s="1010"/>
      <c r="AH58" s="1010"/>
      <c r="AI58" s="1010"/>
      <c r="AJ58" s="1010"/>
      <c r="AK58" s="1010"/>
      <c r="AL58" s="1010"/>
      <c r="AM58" s="1010"/>
      <c r="AN58" s="1010"/>
      <c r="AO58" s="1010"/>
      <c r="AP58" s="1010"/>
      <c r="AQ58" s="1010"/>
      <c r="AR58" s="1010"/>
      <c r="AS58" s="1010"/>
      <c r="AT58" s="1010"/>
      <c r="AU58" s="1010"/>
      <c r="AV58" s="1010"/>
      <c r="AW58" s="1010"/>
      <c r="AX58" s="1010"/>
      <c r="AY58" s="1010"/>
      <c r="AZ58" s="1010"/>
      <c r="BA58" s="1010"/>
      <c r="BB58" s="1010"/>
      <c r="BC58" s="1010"/>
      <c r="BD58" s="1010"/>
      <c r="BE58" s="1010"/>
      <c r="BF58" s="1010"/>
      <c r="BG58" s="1010"/>
      <c r="BH58" s="1010"/>
      <c r="BI58" s="1010"/>
      <c r="BJ58" s="1010"/>
      <c r="BK58" s="1010"/>
      <c r="BL58" s="1010"/>
      <c r="BM58" s="1010"/>
      <c r="BN58" s="1010"/>
      <c r="BO58" s="1010"/>
      <c r="BP58" s="1010"/>
      <c r="BQ58" s="1010"/>
      <c r="BR58" s="1010"/>
      <c r="BS58" s="1010"/>
      <c r="BT58" s="1010"/>
      <c r="BU58" s="1010"/>
      <c r="BV58" s="1010"/>
      <c r="BW58" s="1010"/>
      <c r="BX58" s="1010"/>
      <c r="BY58" s="1010"/>
      <c r="BZ58" s="1010"/>
      <c r="CA58" s="1010"/>
      <c r="CB58" s="1010"/>
      <c r="CC58" s="1010"/>
      <c r="CD58" s="1010"/>
      <c r="CE58" s="1010"/>
      <c r="CF58" s="1010"/>
      <c r="CG58" s="1010"/>
      <c r="CH58" s="1010"/>
      <c r="CI58" s="1010"/>
      <c r="CJ58" s="1010"/>
      <c r="CK58" s="1010"/>
      <c r="CL58" s="1010"/>
      <c r="CM58" s="1010"/>
      <c r="CN58" s="1010"/>
      <c r="CO58" s="1010"/>
      <c r="CP58" s="1010"/>
      <c r="CQ58" s="1010"/>
      <c r="CR58" s="1010"/>
      <c r="CS58" s="1010"/>
      <c r="CT58" s="1010"/>
      <c r="CU58" s="1010"/>
      <c r="CV58" s="1010"/>
      <c r="CW58" s="1010"/>
      <c r="CX58" s="1010"/>
      <c r="CY58" s="1010"/>
      <c r="CZ58" s="1010"/>
      <c r="DA58" s="1010"/>
      <c r="DB58" s="1010"/>
      <c r="DC58" s="1010"/>
      <c r="DD58" s="1010"/>
      <c r="DE58" s="1010"/>
      <c r="DF58" s="1010"/>
      <c r="DG58" s="1010"/>
      <c r="DH58" s="1010"/>
      <c r="DI58" s="1010"/>
      <c r="DJ58" s="1010"/>
      <c r="DK58" s="1010"/>
      <c r="DL58" s="1010"/>
      <c r="DM58" s="1010"/>
      <c r="DN58" s="1010"/>
      <c r="DO58" s="1010"/>
      <c r="DP58" s="1010"/>
      <c r="DQ58" s="1010"/>
      <c r="DR58" s="1010"/>
      <c r="DS58" s="1010"/>
      <c r="DT58" s="1010"/>
      <c r="DU58" s="1010"/>
      <c r="DV58" s="1010"/>
      <c r="DW58" s="1010"/>
      <c r="DX58" s="1010"/>
      <c r="DY58" s="1010"/>
      <c r="DZ58" s="1010"/>
      <c r="EA58" s="1010"/>
      <c r="EB58" s="1010"/>
      <c r="EC58" s="1010"/>
      <c r="ED58" s="1010"/>
      <c r="EE58" s="1010"/>
      <c r="EF58" s="1010"/>
      <c r="EG58" s="1010"/>
      <c r="EH58" s="1010"/>
      <c r="EI58" s="1010"/>
      <c r="EJ58" s="1010"/>
      <c r="EK58" s="1010"/>
      <c r="EL58" s="1010"/>
      <c r="EM58" s="1010"/>
      <c r="EN58" s="1010"/>
      <c r="EO58" s="1010"/>
      <c r="EP58" s="1010"/>
      <c r="EQ58" s="1010"/>
      <c r="ER58" s="1010"/>
      <c r="ES58" s="1010"/>
      <c r="ET58" s="1010"/>
      <c r="EU58" s="1010"/>
      <c r="EV58" s="1010"/>
      <c r="EW58" s="1010"/>
      <c r="EX58" s="1010"/>
      <c r="EY58" s="1010"/>
      <c r="EZ58" s="1010"/>
      <c r="FA58" s="1010"/>
      <c r="FB58" s="1010"/>
      <c r="FC58" s="1010"/>
      <c r="FD58" s="1010"/>
      <c r="FE58" s="1010"/>
      <c r="FF58" s="1010"/>
      <c r="FG58" s="1010"/>
      <c r="FH58" s="1010"/>
      <c r="FI58" s="1010"/>
      <c r="FJ58" s="1010"/>
      <c r="FK58" s="1010"/>
      <c r="FL58" s="1010"/>
      <c r="FM58" s="1010"/>
      <c r="FN58" s="1010"/>
      <c r="FO58" s="1010"/>
      <c r="FP58" s="1010"/>
      <c r="FQ58" s="1010"/>
      <c r="FR58" s="1010"/>
      <c r="FS58" s="1010"/>
      <c r="FT58" s="1010"/>
      <c r="FU58" s="1010"/>
      <c r="FV58" s="1010"/>
      <c r="FW58" s="1010"/>
      <c r="FX58" s="1010"/>
      <c r="FY58" s="1010"/>
      <c r="FZ58" s="1010"/>
      <c r="GA58" s="1010"/>
      <c r="GB58" s="1010"/>
      <c r="GC58" s="1010"/>
      <c r="GD58" s="1010"/>
      <c r="GE58" s="1010"/>
      <c r="GF58" s="1010"/>
      <c r="GG58" s="1010"/>
      <c r="GH58" s="1010"/>
      <c r="GI58" s="1010"/>
      <c r="GJ58" s="1010"/>
      <c r="GK58" s="1010"/>
      <c r="GL58" s="1010"/>
      <c r="GM58" s="1010"/>
      <c r="GN58" s="1010"/>
      <c r="GO58" s="1010"/>
      <c r="GP58" s="1010"/>
      <c r="GQ58" s="1010"/>
      <c r="GR58" s="1010"/>
      <c r="GS58" s="1010"/>
      <c r="GT58" s="1010"/>
      <c r="GU58" s="1010"/>
      <c r="GV58" s="1010"/>
      <c r="GW58" s="1010"/>
      <c r="GX58" s="1010"/>
      <c r="GY58" s="1010"/>
      <c r="GZ58" s="1010"/>
      <c r="HA58" s="1010"/>
      <c r="HB58" s="1010"/>
      <c r="HC58" s="1010"/>
      <c r="HD58" s="1010"/>
      <c r="HE58" s="1010"/>
      <c r="HF58" s="1010"/>
      <c r="HG58" s="1010"/>
      <c r="HH58" s="1010"/>
      <c r="HI58" s="1010"/>
      <c r="HJ58" s="1010"/>
      <c r="HK58" s="1010"/>
      <c r="HL58" s="1010"/>
      <c r="HM58" s="1010"/>
      <c r="HN58" s="1010"/>
      <c r="HO58" s="1010"/>
      <c r="HP58" s="1010"/>
      <c r="HQ58" s="1010"/>
      <c r="HR58" s="1010"/>
      <c r="HS58" s="1010"/>
      <c r="HT58" s="1010"/>
      <c r="HU58" s="1010"/>
      <c r="HV58" s="1010"/>
      <c r="HW58" s="1010"/>
      <c r="HX58" s="1010"/>
      <c r="HY58" s="1010"/>
      <c r="HZ58" s="1010"/>
      <c r="IA58" s="1010"/>
      <c r="IB58" s="1010"/>
      <c r="IC58" s="1010"/>
      <c r="ID58" s="1010"/>
      <c r="IE58" s="1010"/>
      <c r="IF58" s="1010"/>
      <c r="IG58" s="1010"/>
      <c r="IH58" s="1010"/>
      <c r="II58" s="1010"/>
      <c r="IJ58" s="1010"/>
      <c r="IK58" s="1010"/>
      <c r="IL58" s="1010"/>
      <c r="IM58" s="1010"/>
      <c r="IN58" s="1010"/>
      <c r="IO58" s="1010"/>
      <c r="IP58" s="1010"/>
      <c r="IQ58" s="1010"/>
      <c r="IR58" s="1010"/>
      <c r="IS58" s="1010"/>
      <c r="IT58" s="1010"/>
      <c r="IU58" s="1010"/>
    </row>
    <row r="59" spans="1:255" s="1031" customFormat="1">
      <c r="A59" s="1010"/>
      <c r="B59" s="1010"/>
      <c r="C59" s="1010"/>
      <c r="D59" s="1010"/>
      <c r="E59" s="1010"/>
      <c r="F59" s="1010"/>
      <c r="G59" s="1010"/>
      <c r="H59" s="1010"/>
      <c r="I59" s="1010"/>
      <c r="J59" s="1010"/>
      <c r="K59" s="1010"/>
      <c r="L59" s="1065"/>
      <c r="M59" s="1013"/>
      <c r="N59" s="1010"/>
      <c r="O59" s="1010"/>
      <c r="P59" s="1010"/>
      <c r="Q59" s="1010"/>
      <c r="R59" s="1010"/>
      <c r="S59" s="1010"/>
      <c r="T59" s="1010"/>
      <c r="U59" s="1010"/>
      <c r="V59" s="1010"/>
      <c r="W59" s="1010"/>
      <c r="X59" s="1010"/>
      <c r="Y59" s="1010"/>
      <c r="Z59" s="1010"/>
      <c r="AA59" s="1010"/>
      <c r="AB59" s="1010"/>
      <c r="AC59" s="1010"/>
      <c r="AD59" s="1010"/>
      <c r="AE59" s="1010"/>
      <c r="AF59" s="1010"/>
      <c r="AG59" s="1010"/>
      <c r="AH59" s="1010"/>
      <c r="AI59" s="1010"/>
      <c r="AJ59" s="1010"/>
      <c r="AK59" s="1010"/>
      <c r="AL59" s="1010"/>
      <c r="AM59" s="1010"/>
      <c r="AN59" s="1010"/>
      <c r="AO59" s="1010"/>
      <c r="AP59" s="1010"/>
      <c r="AQ59" s="1010"/>
      <c r="AR59" s="1010"/>
      <c r="AS59" s="1010"/>
      <c r="AT59" s="1010"/>
      <c r="AU59" s="1010"/>
      <c r="AV59" s="1010"/>
      <c r="AW59" s="1010"/>
      <c r="AX59" s="1010"/>
      <c r="AY59" s="1010"/>
      <c r="AZ59" s="1010"/>
      <c r="BA59" s="1010"/>
      <c r="BB59" s="1010"/>
      <c r="BC59" s="1010"/>
      <c r="BD59" s="1010"/>
      <c r="BE59" s="1010"/>
      <c r="BF59" s="1010"/>
      <c r="BG59" s="1010"/>
      <c r="BH59" s="1010"/>
      <c r="BI59" s="1010"/>
      <c r="BJ59" s="1010"/>
      <c r="BK59" s="1010"/>
      <c r="BL59" s="1010"/>
      <c r="BM59" s="1010"/>
      <c r="BN59" s="1010"/>
      <c r="BO59" s="1010"/>
      <c r="BP59" s="1010"/>
      <c r="BQ59" s="1010"/>
      <c r="BR59" s="1010"/>
      <c r="BS59" s="1010"/>
      <c r="BT59" s="1010"/>
      <c r="BU59" s="1010"/>
      <c r="BV59" s="1010"/>
      <c r="BW59" s="1010"/>
      <c r="BX59" s="1010"/>
      <c r="BY59" s="1010"/>
      <c r="BZ59" s="1010"/>
      <c r="CA59" s="1010"/>
      <c r="CB59" s="1010"/>
      <c r="CC59" s="1010"/>
      <c r="CD59" s="1010"/>
      <c r="CE59" s="1010"/>
      <c r="CF59" s="1010"/>
      <c r="CG59" s="1010"/>
      <c r="CH59" s="1010"/>
      <c r="CI59" s="1010"/>
      <c r="CJ59" s="1010"/>
      <c r="CK59" s="1010"/>
      <c r="CL59" s="1010"/>
      <c r="CM59" s="1010"/>
      <c r="CN59" s="1010"/>
      <c r="CO59" s="1010"/>
      <c r="CP59" s="1010"/>
      <c r="CQ59" s="1010"/>
      <c r="CR59" s="1010"/>
      <c r="CS59" s="1010"/>
      <c r="CT59" s="1010"/>
      <c r="CU59" s="1010"/>
      <c r="CV59" s="1010"/>
      <c r="CW59" s="1010"/>
      <c r="CX59" s="1010"/>
      <c r="CY59" s="1010"/>
      <c r="CZ59" s="1010"/>
      <c r="DA59" s="1010"/>
      <c r="DB59" s="1010"/>
      <c r="DC59" s="1010"/>
      <c r="DD59" s="1010"/>
      <c r="DE59" s="1010"/>
      <c r="DF59" s="1010"/>
      <c r="DG59" s="1010"/>
      <c r="DH59" s="1010"/>
      <c r="DI59" s="1010"/>
      <c r="DJ59" s="1010"/>
      <c r="DK59" s="1010"/>
      <c r="DL59" s="1010"/>
      <c r="DM59" s="1010"/>
      <c r="DN59" s="1010"/>
      <c r="DO59" s="1010"/>
      <c r="DP59" s="1010"/>
      <c r="DQ59" s="1010"/>
      <c r="DR59" s="1010"/>
      <c r="DS59" s="1010"/>
      <c r="DT59" s="1010"/>
      <c r="DU59" s="1010"/>
      <c r="DV59" s="1010"/>
      <c r="DW59" s="1010"/>
      <c r="DX59" s="1010"/>
      <c r="DY59" s="1010"/>
      <c r="DZ59" s="1010"/>
      <c r="EA59" s="1010"/>
      <c r="EB59" s="1010"/>
      <c r="EC59" s="1010"/>
      <c r="ED59" s="1010"/>
      <c r="EE59" s="1010"/>
      <c r="EF59" s="1010"/>
      <c r="EG59" s="1010"/>
      <c r="EH59" s="1010"/>
      <c r="EI59" s="1010"/>
      <c r="EJ59" s="1010"/>
      <c r="EK59" s="1010"/>
      <c r="EL59" s="1010"/>
      <c r="EM59" s="1010"/>
      <c r="EN59" s="1010"/>
      <c r="EO59" s="1010"/>
      <c r="EP59" s="1010"/>
      <c r="EQ59" s="1010"/>
      <c r="ER59" s="1010"/>
      <c r="ES59" s="1010"/>
      <c r="ET59" s="1010"/>
      <c r="EU59" s="1010"/>
      <c r="EV59" s="1010"/>
      <c r="EW59" s="1010"/>
      <c r="EX59" s="1010"/>
      <c r="EY59" s="1010"/>
      <c r="EZ59" s="1010"/>
      <c r="FA59" s="1010"/>
      <c r="FB59" s="1010"/>
      <c r="FC59" s="1010"/>
      <c r="FD59" s="1010"/>
      <c r="FE59" s="1010"/>
      <c r="FF59" s="1010"/>
      <c r="FG59" s="1010"/>
      <c r="FH59" s="1010"/>
      <c r="FI59" s="1010"/>
      <c r="FJ59" s="1010"/>
      <c r="FK59" s="1010"/>
      <c r="FL59" s="1010"/>
      <c r="FM59" s="1010"/>
      <c r="FN59" s="1010"/>
      <c r="FO59" s="1010"/>
      <c r="FP59" s="1010"/>
      <c r="FQ59" s="1010"/>
      <c r="FR59" s="1010"/>
      <c r="FS59" s="1010"/>
      <c r="FT59" s="1010"/>
      <c r="FU59" s="1010"/>
      <c r="FV59" s="1010"/>
      <c r="FW59" s="1010"/>
      <c r="FX59" s="1010"/>
      <c r="FY59" s="1010"/>
      <c r="FZ59" s="1010"/>
      <c r="GA59" s="1010"/>
      <c r="GB59" s="1010"/>
      <c r="GC59" s="1010"/>
      <c r="GD59" s="1010"/>
      <c r="GE59" s="1010"/>
      <c r="GF59" s="1010"/>
      <c r="GG59" s="1010"/>
      <c r="GH59" s="1010"/>
      <c r="GI59" s="1010"/>
      <c r="GJ59" s="1010"/>
      <c r="GK59" s="1010"/>
      <c r="GL59" s="1010"/>
      <c r="GM59" s="1010"/>
      <c r="GN59" s="1010"/>
      <c r="GO59" s="1010"/>
      <c r="GP59" s="1010"/>
      <c r="GQ59" s="1010"/>
      <c r="GR59" s="1010"/>
      <c r="GS59" s="1010"/>
      <c r="GT59" s="1010"/>
      <c r="GU59" s="1010"/>
      <c r="GV59" s="1010"/>
      <c r="GW59" s="1010"/>
      <c r="GX59" s="1010"/>
      <c r="GY59" s="1010"/>
      <c r="GZ59" s="1010"/>
      <c r="HA59" s="1010"/>
      <c r="HB59" s="1010"/>
      <c r="HC59" s="1010"/>
      <c r="HD59" s="1010"/>
      <c r="HE59" s="1010"/>
      <c r="HF59" s="1010"/>
      <c r="HG59" s="1010"/>
      <c r="HH59" s="1010"/>
      <c r="HI59" s="1010"/>
      <c r="HJ59" s="1010"/>
      <c r="HK59" s="1010"/>
      <c r="HL59" s="1010"/>
      <c r="HM59" s="1010"/>
      <c r="HN59" s="1010"/>
      <c r="HO59" s="1010"/>
      <c r="HP59" s="1010"/>
      <c r="HQ59" s="1010"/>
      <c r="HR59" s="1010"/>
      <c r="HS59" s="1010"/>
      <c r="HT59" s="1010"/>
      <c r="HU59" s="1010"/>
      <c r="HV59" s="1010"/>
      <c r="HW59" s="1010"/>
      <c r="HX59" s="1010"/>
      <c r="HY59" s="1010"/>
      <c r="HZ59" s="1010"/>
      <c r="IA59" s="1010"/>
      <c r="IB59" s="1010"/>
      <c r="IC59" s="1010"/>
      <c r="ID59" s="1010"/>
      <c r="IE59" s="1010"/>
      <c r="IF59" s="1010"/>
      <c r="IG59" s="1010"/>
      <c r="IH59" s="1010"/>
      <c r="II59" s="1010"/>
      <c r="IJ59" s="1010"/>
      <c r="IK59" s="1010"/>
      <c r="IL59" s="1010"/>
      <c r="IM59" s="1010"/>
      <c r="IN59" s="1010"/>
      <c r="IO59" s="1010"/>
      <c r="IP59" s="1010"/>
      <c r="IQ59" s="1010"/>
      <c r="IR59" s="1010"/>
      <c r="IS59" s="1010"/>
      <c r="IT59" s="1010"/>
      <c r="IU59" s="1010"/>
    </row>
    <row r="61" spans="1:255" s="1031" customFormat="1">
      <c r="A61" s="1010"/>
      <c r="B61" s="1010"/>
      <c r="C61" s="1010"/>
      <c r="D61" s="1010"/>
      <c r="E61" s="1067" t="s">
        <v>36</v>
      </c>
      <c r="F61" s="1010"/>
      <c r="G61" s="1010"/>
      <c r="H61" s="1010"/>
      <c r="I61" s="1010"/>
      <c r="J61" s="1068"/>
      <c r="K61" s="1010"/>
      <c r="L61" s="1010"/>
      <c r="M61" s="1013"/>
      <c r="N61" s="1010"/>
      <c r="O61" s="1010"/>
      <c r="P61" s="1010"/>
      <c r="Q61" s="1010"/>
      <c r="R61" s="1010"/>
      <c r="S61" s="1010"/>
      <c r="T61" s="1010"/>
      <c r="U61" s="1010"/>
      <c r="V61" s="1010"/>
      <c r="W61" s="1010"/>
      <c r="X61" s="1010"/>
      <c r="Y61" s="1010"/>
      <c r="Z61" s="1010"/>
      <c r="AA61" s="1010"/>
      <c r="AB61" s="1010"/>
      <c r="AC61" s="1010"/>
      <c r="AD61" s="1010"/>
      <c r="AE61" s="1010"/>
      <c r="AF61" s="1010"/>
      <c r="AG61" s="1010"/>
      <c r="AH61" s="1010"/>
      <c r="AI61" s="1010"/>
      <c r="AJ61" s="1010"/>
      <c r="AK61" s="1010"/>
      <c r="AL61" s="1010"/>
      <c r="AM61" s="1010"/>
      <c r="AN61" s="1010"/>
      <c r="AO61" s="1010"/>
      <c r="AP61" s="1010"/>
      <c r="AQ61" s="1010"/>
      <c r="AR61" s="1010"/>
      <c r="AS61" s="1010"/>
      <c r="AT61" s="1010"/>
      <c r="AU61" s="1010"/>
      <c r="AV61" s="1010"/>
      <c r="AW61" s="1010"/>
      <c r="AX61" s="1010"/>
      <c r="AY61" s="1010"/>
      <c r="AZ61" s="1010"/>
      <c r="BA61" s="1010"/>
      <c r="BB61" s="1010"/>
      <c r="BC61" s="1010"/>
      <c r="BD61" s="1010"/>
      <c r="BE61" s="1010"/>
      <c r="BF61" s="1010"/>
      <c r="BG61" s="1010"/>
      <c r="BH61" s="1010"/>
      <c r="BI61" s="1010"/>
      <c r="BJ61" s="1010"/>
      <c r="BK61" s="1010"/>
      <c r="BL61" s="1010"/>
      <c r="BM61" s="1010"/>
      <c r="BN61" s="1010"/>
      <c r="BO61" s="1010"/>
      <c r="BP61" s="1010"/>
      <c r="BQ61" s="1010"/>
      <c r="BR61" s="1010"/>
      <c r="BS61" s="1010"/>
      <c r="BT61" s="1010"/>
      <c r="BU61" s="1010"/>
      <c r="BV61" s="1010"/>
      <c r="BW61" s="1010"/>
      <c r="BX61" s="1010"/>
      <c r="BY61" s="1010"/>
      <c r="BZ61" s="1010"/>
      <c r="CA61" s="1010"/>
      <c r="CB61" s="1010"/>
      <c r="CC61" s="1010"/>
      <c r="CD61" s="1010"/>
      <c r="CE61" s="1010"/>
      <c r="CF61" s="1010"/>
      <c r="CG61" s="1010"/>
      <c r="CH61" s="1010"/>
      <c r="CI61" s="1010"/>
      <c r="CJ61" s="1010"/>
      <c r="CK61" s="1010"/>
      <c r="CL61" s="1010"/>
      <c r="CM61" s="1010"/>
      <c r="CN61" s="1010"/>
      <c r="CO61" s="1010"/>
      <c r="CP61" s="1010"/>
      <c r="CQ61" s="1010"/>
      <c r="CR61" s="1010"/>
      <c r="CS61" s="1010"/>
      <c r="CT61" s="1010"/>
      <c r="CU61" s="1010"/>
      <c r="CV61" s="1010"/>
      <c r="CW61" s="1010"/>
      <c r="CX61" s="1010"/>
      <c r="CY61" s="1010"/>
      <c r="CZ61" s="1010"/>
      <c r="DA61" s="1010"/>
      <c r="DB61" s="1010"/>
      <c r="DC61" s="1010"/>
      <c r="DD61" s="1010"/>
      <c r="DE61" s="1010"/>
      <c r="DF61" s="1010"/>
      <c r="DG61" s="1010"/>
      <c r="DH61" s="1010"/>
      <c r="DI61" s="1010"/>
      <c r="DJ61" s="1010"/>
      <c r="DK61" s="1010"/>
      <c r="DL61" s="1010"/>
      <c r="DM61" s="1010"/>
      <c r="DN61" s="1010"/>
      <c r="DO61" s="1010"/>
      <c r="DP61" s="1010"/>
      <c r="DQ61" s="1010"/>
      <c r="DR61" s="1010"/>
      <c r="DS61" s="1010"/>
      <c r="DT61" s="1010"/>
      <c r="DU61" s="1010"/>
      <c r="DV61" s="1010"/>
      <c r="DW61" s="1010"/>
      <c r="DX61" s="1010"/>
      <c r="DY61" s="1010"/>
      <c r="DZ61" s="1010"/>
      <c r="EA61" s="1010"/>
      <c r="EB61" s="1010"/>
      <c r="EC61" s="1010"/>
      <c r="ED61" s="1010"/>
      <c r="EE61" s="1010"/>
      <c r="EF61" s="1010"/>
      <c r="EG61" s="1010"/>
      <c r="EH61" s="1010"/>
      <c r="EI61" s="1010"/>
      <c r="EJ61" s="1010"/>
      <c r="EK61" s="1010"/>
      <c r="EL61" s="1010"/>
      <c r="EM61" s="1010"/>
      <c r="EN61" s="1010"/>
      <c r="EO61" s="1010"/>
      <c r="EP61" s="1010"/>
      <c r="EQ61" s="1010"/>
      <c r="ER61" s="1010"/>
      <c r="ES61" s="1010"/>
      <c r="ET61" s="1010"/>
      <c r="EU61" s="1010"/>
      <c r="EV61" s="1010"/>
      <c r="EW61" s="1010"/>
      <c r="EX61" s="1010"/>
      <c r="EY61" s="1010"/>
      <c r="EZ61" s="1010"/>
      <c r="FA61" s="1010"/>
      <c r="FB61" s="1010"/>
      <c r="FC61" s="1010"/>
      <c r="FD61" s="1010"/>
      <c r="FE61" s="1010"/>
      <c r="FF61" s="1010"/>
      <c r="FG61" s="1010"/>
      <c r="FH61" s="1010"/>
      <c r="FI61" s="1010"/>
      <c r="FJ61" s="1010"/>
      <c r="FK61" s="1010"/>
      <c r="FL61" s="1010"/>
      <c r="FM61" s="1010"/>
      <c r="FN61" s="1010"/>
      <c r="FO61" s="1010"/>
      <c r="FP61" s="1010"/>
      <c r="FQ61" s="1010"/>
      <c r="FR61" s="1010"/>
      <c r="FS61" s="1010"/>
      <c r="FT61" s="1010"/>
      <c r="FU61" s="1010"/>
      <c r="FV61" s="1010"/>
      <c r="FW61" s="1010"/>
      <c r="FX61" s="1010"/>
      <c r="FY61" s="1010"/>
      <c r="FZ61" s="1010"/>
      <c r="GA61" s="1010"/>
      <c r="GB61" s="1010"/>
      <c r="GC61" s="1010"/>
      <c r="GD61" s="1010"/>
      <c r="GE61" s="1010"/>
      <c r="GF61" s="1010"/>
      <c r="GG61" s="1010"/>
      <c r="GH61" s="1010"/>
      <c r="GI61" s="1010"/>
      <c r="GJ61" s="1010"/>
      <c r="GK61" s="1010"/>
      <c r="GL61" s="1010"/>
      <c r="GM61" s="1010"/>
      <c r="GN61" s="1010"/>
      <c r="GO61" s="1010"/>
      <c r="GP61" s="1010"/>
      <c r="GQ61" s="1010"/>
      <c r="GR61" s="1010"/>
      <c r="GS61" s="1010"/>
      <c r="GT61" s="1010"/>
      <c r="GU61" s="1010"/>
      <c r="GV61" s="1010"/>
      <c r="GW61" s="1010"/>
      <c r="GX61" s="1010"/>
      <c r="GY61" s="1010"/>
      <c r="GZ61" s="1010"/>
      <c r="HA61" s="1010"/>
      <c r="HB61" s="1010"/>
      <c r="HC61" s="1010"/>
      <c r="HD61" s="1010"/>
      <c r="HE61" s="1010"/>
      <c r="HF61" s="1010"/>
      <c r="HG61" s="1010"/>
      <c r="HH61" s="1010"/>
      <c r="HI61" s="1010"/>
      <c r="HJ61" s="1010"/>
      <c r="HK61" s="1010"/>
      <c r="HL61" s="1010"/>
      <c r="HM61" s="1010"/>
      <c r="HN61" s="1010"/>
      <c r="HO61" s="1010"/>
      <c r="HP61" s="1010"/>
      <c r="HQ61" s="1010"/>
      <c r="HR61" s="1010"/>
      <c r="HS61" s="1010"/>
      <c r="HT61" s="1010"/>
      <c r="HU61" s="1010"/>
      <c r="HV61" s="1010"/>
      <c r="HW61" s="1010"/>
      <c r="HX61" s="1010"/>
      <c r="HY61" s="1010"/>
      <c r="HZ61" s="1010"/>
      <c r="IA61" s="1010"/>
      <c r="IB61" s="1010"/>
      <c r="IC61" s="1010"/>
      <c r="ID61" s="1010"/>
      <c r="IE61" s="1010"/>
      <c r="IF61" s="1010"/>
      <c r="IG61" s="1010"/>
      <c r="IH61" s="1010"/>
      <c r="II61" s="1010"/>
      <c r="IJ61" s="1010"/>
      <c r="IK61" s="1010"/>
      <c r="IL61" s="1010"/>
      <c r="IM61" s="1010"/>
      <c r="IN61" s="1010"/>
      <c r="IO61" s="1010"/>
      <c r="IP61" s="1010"/>
      <c r="IQ61" s="1010"/>
      <c r="IR61" s="1010"/>
      <c r="IS61" s="1010"/>
      <c r="IT61" s="1010"/>
      <c r="IU61" s="1010"/>
    </row>
    <row r="62" spans="1:255" s="1031" customFormat="1">
      <c r="A62" s="1010"/>
      <c r="B62" s="1010"/>
      <c r="C62" s="1010"/>
      <c r="D62" s="1010"/>
      <c r="E62" s="1010"/>
      <c r="F62" s="1010"/>
      <c r="G62" s="1010"/>
      <c r="H62" s="1010"/>
      <c r="I62" s="1010"/>
      <c r="J62" s="1010"/>
      <c r="K62" s="1010"/>
      <c r="L62" s="1010"/>
      <c r="M62" s="1013"/>
      <c r="N62" s="1010" t="s">
        <v>478</v>
      </c>
      <c r="O62" s="1010"/>
      <c r="P62" s="1010"/>
      <c r="Q62" s="1010"/>
      <c r="R62" s="1010"/>
      <c r="S62" s="1010"/>
      <c r="T62" s="1010"/>
      <c r="U62" s="1010"/>
      <c r="V62" s="1010"/>
      <c r="W62" s="1010"/>
      <c r="X62" s="1010"/>
      <c r="Y62" s="1010"/>
      <c r="Z62" s="1010"/>
      <c r="AA62" s="1010"/>
      <c r="AB62" s="1010"/>
      <c r="AC62" s="1010"/>
      <c r="AD62" s="1010"/>
      <c r="AE62" s="1010"/>
      <c r="AF62" s="1010"/>
      <c r="AG62" s="1010"/>
      <c r="AH62" s="1010"/>
      <c r="AI62" s="1010"/>
      <c r="AJ62" s="1010"/>
      <c r="AK62" s="1010"/>
      <c r="AL62" s="1010"/>
      <c r="AM62" s="1010"/>
      <c r="AN62" s="1010"/>
      <c r="AO62" s="1010"/>
      <c r="AP62" s="1010"/>
      <c r="AQ62" s="1010"/>
      <c r="AR62" s="1010"/>
      <c r="AS62" s="1010"/>
      <c r="AT62" s="1010"/>
      <c r="AU62" s="1010"/>
      <c r="AV62" s="1010"/>
      <c r="AW62" s="1010"/>
      <c r="AX62" s="1010"/>
      <c r="AY62" s="1010"/>
      <c r="AZ62" s="1010"/>
      <c r="BA62" s="1010"/>
      <c r="BB62" s="1010"/>
      <c r="BC62" s="1010"/>
      <c r="BD62" s="1010"/>
      <c r="BE62" s="1010"/>
      <c r="BF62" s="1010"/>
      <c r="BG62" s="1010"/>
      <c r="BH62" s="1010"/>
      <c r="BI62" s="1010"/>
      <c r="BJ62" s="1010"/>
      <c r="BK62" s="1010"/>
      <c r="BL62" s="1010"/>
      <c r="BM62" s="1010"/>
      <c r="BN62" s="1010"/>
      <c r="BO62" s="1010"/>
      <c r="BP62" s="1010"/>
      <c r="BQ62" s="1010"/>
      <c r="BR62" s="1010"/>
      <c r="BS62" s="1010"/>
      <c r="BT62" s="1010"/>
      <c r="BU62" s="1010"/>
      <c r="BV62" s="1010"/>
      <c r="BW62" s="1010"/>
      <c r="BX62" s="1010"/>
      <c r="BY62" s="1010"/>
      <c r="BZ62" s="1010"/>
      <c r="CA62" s="1010"/>
      <c r="CB62" s="1010"/>
      <c r="CC62" s="1010"/>
      <c r="CD62" s="1010"/>
      <c r="CE62" s="1010"/>
      <c r="CF62" s="1010"/>
      <c r="CG62" s="1010"/>
      <c r="CH62" s="1010"/>
      <c r="CI62" s="1010"/>
      <c r="CJ62" s="1010"/>
      <c r="CK62" s="1010"/>
      <c r="CL62" s="1010"/>
      <c r="CM62" s="1010"/>
      <c r="CN62" s="1010"/>
      <c r="CO62" s="1010"/>
      <c r="CP62" s="1010"/>
      <c r="CQ62" s="1010"/>
      <c r="CR62" s="1010"/>
      <c r="CS62" s="1010"/>
      <c r="CT62" s="1010"/>
      <c r="CU62" s="1010"/>
      <c r="CV62" s="1010"/>
      <c r="CW62" s="1010"/>
      <c r="CX62" s="1010"/>
      <c r="CY62" s="1010"/>
      <c r="CZ62" s="1010"/>
      <c r="DA62" s="1010"/>
      <c r="DB62" s="1010"/>
      <c r="DC62" s="1010"/>
      <c r="DD62" s="1010"/>
      <c r="DE62" s="1010"/>
      <c r="DF62" s="1010"/>
      <c r="DG62" s="1010"/>
      <c r="DH62" s="1010"/>
      <c r="DI62" s="1010"/>
      <c r="DJ62" s="1010"/>
      <c r="DK62" s="1010"/>
      <c r="DL62" s="1010"/>
      <c r="DM62" s="1010"/>
      <c r="DN62" s="1010"/>
      <c r="DO62" s="1010"/>
      <c r="DP62" s="1010"/>
      <c r="DQ62" s="1010"/>
      <c r="DR62" s="1010"/>
      <c r="DS62" s="1010"/>
      <c r="DT62" s="1010"/>
      <c r="DU62" s="1010"/>
      <c r="DV62" s="1010"/>
      <c r="DW62" s="1010"/>
      <c r="DX62" s="1010"/>
      <c r="DY62" s="1010"/>
      <c r="DZ62" s="1010"/>
      <c r="EA62" s="1010"/>
      <c r="EB62" s="1010"/>
      <c r="EC62" s="1010"/>
      <c r="ED62" s="1010"/>
      <c r="EE62" s="1010"/>
      <c r="EF62" s="1010"/>
      <c r="EG62" s="1010"/>
      <c r="EH62" s="1010"/>
      <c r="EI62" s="1010"/>
      <c r="EJ62" s="1010"/>
      <c r="EK62" s="1010"/>
      <c r="EL62" s="1010"/>
      <c r="EM62" s="1010"/>
      <c r="EN62" s="1010"/>
      <c r="EO62" s="1010"/>
      <c r="EP62" s="1010"/>
      <c r="EQ62" s="1010"/>
      <c r="ER62" s="1010"/>
      <c r="ES62" s="1010"/>
      <c r="ET62" s="1010"/>
      <c r="EU62" s="1010"/>
      <c r="EV62" s="1010"/>
      <c r="EW62" s="1010"/>
      <c r="EX62" s="1010"/>
      <c r="EY62" s="1010"/>
      <c r="EZ62" s="1010"/>
      <c r="FA62" s="1010"/>
      <c r="FB62" s="1010"/>
      <c r="FC62" s="1010"/>
      <c r="FD62" s="1010"/>
      <c r="FE62" s="1010"/>
      <c r="FF62" s="1010"/>
      <c r="FG62" s="1010"/>
      <c r="FH62" s="1010"/>
      <c r="FI62" s="1010"/>
      <c r="FJ62" s="1010"/>
      <c r="FK62" s="1010"/>
      <c r="FL62" s="1010"/>
      <c r="FM62" s="1010"/>
      <c r="FN62" s="1010"/>
      <c r="FO62" s="1010"/>
      <c r="FP62" s="1010"/>
      <c r="FQ62" s="1010"/>
      <c r="FR62" s="1010"/>
      <c r="FS62" s="1010"/>
      <c r="FT62" s="1010"/>
      <c r="FU62" s="1010"/>
      <c r="FV62" s="1010"/>
      <c r="FW62" s="1010"/>
      <c r="FX62" s="1010"/>
      <c r="FY62" s="1010"/>
      <c r="FZ62" s="1010"/>
      <c r="GA62" s="1010"/>
      <c r="GB62" s="1010"/>
      <c r="GC62" s="1010"/>
      <c r="GD62" s="1010"/>
      <c r="GE62" s="1010"/>
      <c r="GF62" s="1010"/>
      <c r="GG62" s="1010"/>
      <c r="GH62" s="1010"/>
      <c r="GI62" s="1010"/>
      <c r="GJ62" s="1010"/>
      <c r="GK62" s="1010"/>
      <c r="GL62" s="1010"/>
      <c r="GM62" s="1010"/>
      <c r="GN62" s="1010"/>
      <c r="GO62" s="1010"/>
      <c r="GP62" s="1010"/>
      <c r="GQ62" s="1010"/>
      <c r="GR62" s="1010"/>
      <c r="GS62" s="1010"/>
      <c r="GT62" s="1010"/>
      <c r="GU62" s="1010"/>
      <c r="GV62" s="1010"/>
      <c r="GW62" s="1010"/>
      <c r="GX62" s="1010"/>
      <c r="GY62" s="1010"/>
      <c r="GZ62" s="1010"/>
      <c r="HA62" s="1010"/>
      <c r="HB62" s="1010"/>
      <c r="HC62" s="1010"/>
      <c r="HD62" s="1010"/>
      <c r="HE62" s="1010"/>
      <c r="HF62" s="1010"/>
      <c r="HG62" s="1010"/>
      <c r="HH62" s="1010"/>
      <c r="HI62" s="1010"/>
      <c r="HJ62" s="1010"/>
      <c r="HK62" s="1010"/>
      <c r="HL62" s="1010"/>
      <c r="HM62" s="1010"/>
      <c r="HN62" s="1010"/>
      <c r="HO62" s="1010"/>
      <c r="HP62" s="1010"/>
      <c r="HQ62" s="1010"/>
      <c r="HR62" s="1010"/>
      <c r="HS62" s="1010"/>
      <c r="HT62" s="1010"/>
      <c r="HU62" s="1010"/>
      <c r="HV62" s="1010"/>
      <c r="HW62" s="1010"/>
      <c r="HX62" s="1010"/>
      <c r="HY62" s="1010"/>
      <c r="HZ62" s="1010"/>
      <c r="IA62" s="1010"/>
      <c r="IB62" s="1010"/>
      <c r="IC62" s="1010"/>
      <c r="ID62" s="1010"/>
      <c r="IE62" s="1010"/>
      <c r="IF62" s="1010"/>
      <c r="IG62" s="1010"/>
      <c r="IH62" s="1010"/>
      <c r="II62" s="1010"/>
      <c r="IJ62" s="1010"/>
      <c r="IK62" s="1010"/>
      <c r="IL62" s="1010"/>
      <c r="IM62" s="1010"/>
      <c r="IN62" s="1010"/>
      <c r="IO62" s="1010"/>
      <c r="IP62" s="1010"/>
      <c r="IQ62" s="1010"/>
      <c r="IR62" s="1010"/>
      <c r="IS62" s="1010"/>
      <c r="IT62" s="1010"/>
      <c r="IU62" s="1010"/>
    </row>
  </sheetData>
  <mergeCells count="2">
    <mergeCell ref="D1:F1"/>
    <mergeCell ref="B53:C53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indexed="50"/>
  </sheetPr>
  <dimension ref="A1:BJ50"/>
  <sheetViews>
    <sheetView zoomScale="85" zoomScaleNormal="85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1" defaultRowHeight="14.25"/>
  <cols>
    <col min="1" max="1" width="44.140625" style="1" customWidth="1"/>
    <col min="2" max="2" width="30.140625" customWidth="1"/>
    <col min="3" max="3" width="4.85546875" customWidth="1"/>
    <col min="4" max="4" width="3.85546875" customWidth="1"/>
    <col min="5" max="5" width="9" customWidth="1"/>
    <col min="6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54</v>
      </c>
    </row>
    <row r="7" spans="1:62" ht="24" customHeight="1">
      <c r="A7" s="12" t="s">
        <v>6</v>
      </c>
      <c r="B7" s="112" t="s">
        <v>426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1012960</v>
      </c>
      <c r="C8" s="9"/>
      <c r="BB8" s="116"/>
    </row>
    <row r="9" spans="1:62" ht="24" customHeight="1">
      <c r="A9" s="14" t="s">
        <v>12</v>
      </c>
      <c r="B9" s="115">
        <v>975475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v>972551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2924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3.6999999999999998E-2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0.96289999999999998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78"/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15">
        <v>401093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>
        <v>66</v>
      </c>
      <c r="C16" s="120"/>
      <c r="H16" s="213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5">
        <v>204050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196977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233</v>
      </c>
      <c r="B21" s="115">
        <v>363608</v>
      </c>
      <c r="C21" s="9"/>
      <c r="BB21" s="28"/>
    </row>
    <row r="22" spans="1:62" ht="24" customHeight="1">
      <c r="A22" s="118" t="s">
        <v>213</v>
      </c>
      <c r="B22" s="119">
        <v>0</v>
      </c>
      <c r="C22" s="120"/>
      <c r="BB22" s="28"/>
    </row>
    <row r="23" spans="1:62" ht="24" customHeight="1">
      <c r="A23" s="118" t="s">
        <v>234</v>
      </c>
      <c r="B23" s="119">
        <v>360099</v>
      </c>
      <c r="C23" s="120"/>
      <c r="BB23" s="28"/>
    </row>
    <row r="24" spans="1:62" ht="24" customHeight="1">
      <c r="A24" s="14" t="s">
        <v>235</v>
      </c>
      <c r="B24" s="115">
        <v>2924</v>
      </c>
      <c r="C24" s="9"/>
      <c r="BB24" s="28"/>
    </row>
    <row r="25" spans="1:62" ht="24" customHeight="1">
      <c r="A25" s="14" t="s">
        <v>236</v>
      </c>
      <c r="B25" s="115">
        <v>585</v>
      </c>
      <c r="C25" s="9"/>
      <c r="BB25" s="28"/>
    </row>
    <row r="26" spans="1:62" ht="8.25" customHeight="1">
      <c r="A26" s="18"/>
      <c r="B26" s="121"/>
      <c r="C26" s="122"/>
      <c r="BB26" s="28"/>
    </row>
    <row r="27" spans="1:62" ht="24" customHeight="1">
      <c r="A27" s="14" t="s">
        <v>237</v>
      </c>
      <c r="B27" s="115">
        <v>204116</v>
      </c>
      <c r="C27" s="9"/>
      <c r="BB27" s="28"/>
    </row>
    <row r="28" spans="1:62" ht="24" customHeight="1">
      <c r="A28" s="14" t="s">
        <v>238</v>
      </c>
      <c r="B28" s="115">
        <v>204050</v>
      </c>
      <c r="C28" s="9"/>
      <c r="BB28" s="28"/>
    </row>
    <row r="29" spans="1:62" ht="24" customHeight="1">
      <c r="A29" s="118" t="s">
        <v>239</v>
      </c>
      <c r="B29" s="119">
        <v>66</v>
      </c>
      <c r="C29" s="120"/>
      <c r="BB29" s="28"/>
    </row>
    <row r="30" spans="1:62" ht="24" customHeight="1">
      <c r="B30" s="78"/>
      <c r="BB30" s="28"/>
    </row>
    <row r="31" spans="1:62" ht="24" customHeight="1">
      <c r="A31" s="118" t="s">
        <v>240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4" t="s">
        <v>58</v>
      </c>
      <c r="B33" s="115">
        <v>253885</v>
      </c>
      <c r="C33" s="9"/>
      <c r="BB33" s="28"/>
    </row>
    <row r="34" spans="1:54" ht="24" customHeight="1">
      <c r="A34" s="14" t="s">
        <v>241</v>
      </c>
      <c r="B34" s="115">
        <v>111166</v>
      </c>
      <c r="C34" s="9"/>
      <c r="BB34" s="28"/>
    </row>
    <row r="35" spans="1:54" ht="24" customHeight="1">
      <c r="A35" s="14" t="s">
        <v>206</v>
      </c>
      <c r="B35" s="115">
        <v>142719</v>
      </c>
      <c r="C35" s="9"/>
      <c r="BB35" s="28"/>
    </row>
    <row r="36" spans="1:54" ht="24" customHeight="1">
      <c r="B36" s="78"/>
      <c r="BB36" s="28"/>
    </row>
    <row r="37" spans="1:54" ht="24" customHeight="1">
      <c r="A37" s="118" t="s">
        <v>115</v>
      </c>
      <c r="B37" s="119">
        <v>66</v>
      </c>
      <c r="C37" s="120"/>
      <c r="BB37" s="28"/>
    </row>
    <row r="38" spans="1:54" ht="24" customHeight="1">
      <c r="A38" s="118" t="s">
        <v>242</v>
      </c>
      <c r="B38" s="119">
        <v>0</v>
      </c>
      <c r="C38" s="120"/>
      <c r="BB38" s="28"/>
    </row>
    <row r="39" spans="1:54" ht="24" customHeight="1">
      <c r="A39" s="118" t="s">
        <v>117</v>
      </c>
      <c r="B39" s="119">
        <v>0</v>
      </c>
      <c r="C39" s="120"/>
      <c r="BB39" s="28"/>
    </row>
    <row r="40" spans="1:54" ht="8.25" customHeight="1">
      <c r="A40" s="18"/>
      <c r="B40" s="121"/>
      <c r="C40" s="122"/>
      <c r="BB40" s="28"/>
    </row>
    <row r="41" spans="1:54" ht="24" customHeight="1">
      <c r="B41" s="78"/>
      <c r="BB41" s="28"/>
    </row>
    <row r="42" spans="1:54" ht="24" customHeight="1">
      <c r="A42" s="14" t="s">
        <v>243</v>
      </c>
      <c r="B42" s="117">
        <f>B12</f>
        <v>3.6999999999999998E-2</v>
      </c>
      <c r="C42" s="9"/>
      <c r="BB42" s="28"/>
    </row>
    <row r="43" spans="1:54" ht="24" customHeight="1">
      <c r="A43" s="14" t="s">
        <v>244</v>
      </c>
      <c r="B43" s="117">
        <f>B13</f>
        <v>0.96289999999999998</v>
      </c>
      <c r="C43" s="9"/>
      <c r="BB43" s="28"/>
    </row>
    <row r="45" spans="1:54" ht="23.25">
      <c r="A45" s="14" t="s">
        <v>245</v>
      </c>
      <c r="B45" s="115">
        <v>0</v>
      </c>
      <c r="E45" s="108"/>
    </row>
    <row r="46" spans="1:54" ht="23.25">
      <c r="A46" s="14" t="s">
        <v>246</v>
      </c>
      <c r="B46" s="115">
        <v>0</v>
      </c>
      <c r="C46" s="108"/>
    </row>
    <row r="47" spans="1:54" ht="23.25">
      <c r="A47" s="14" t="s">
        <v>247</v>
      </c>
      <c r="B47" s="115">
        <v>0</v>
      </c>
      <c r="E47" s="16"/>
    </row>
    <row r="48" spans="1:54" ht="23.25">
      <c r="A48" s="14" t="s">
        <v>248</v>
      </c>
      <c r="B48" s="115">
        <v>0</v>
      </c>
      <c r="C48" s="16"/>
    </row>
    <row r="49" spans="1:5" ht="23.25">
      <c r="A49" s="14" t="s">
        <v>249</v>
      </c>
      <c r="B49" s="115">
        <v>0</v>
      </c>
      <c r="E49" s="16"/>
    </row>
    <row r="50" spans="1:5" ht="23.25">
      <c r="A50" s="14" t="s">
        <v>250</v>
      </c>
      <c r="B50" s="115">
        <v>0</v>
      </c>
      <c r="C50" s="16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indexed="56"/>
  </sheetPr>
  <dimension ref="A1:BJ51"/>
  <sheetViews>
    <sheetView workbookViewId="0">
      <pane xSplit="6" ySplit="9" topLeftCell="G16" activePane="bottomRight" state="frozen"/>
      <selection activeCell="A8" sqref="A8"/>
      <selection pane="topRight" activeCell="A8" sqref="A8"/>
      <selection pane="bottomLeft" activeCell="A8" sqref="A8"/>
      <selection pane="bottomRight" activeCell="A8" sqref="A8"/>
    </sheetView>
  </sheetViews>
  <sheetFormatPr defaultColWidth="11" defaultRowHeight="14.25"/>
  <cols>
    <col min="1" max="1" width="44.140625" style="1" customWidth="1"/>
    <col min="2" max="2" width="30.140625" customWidth="1"/>
    <col min="3" max="3" width="4.85546875" customWidth="1"/>
    <col min="4" max="6" width="3.85546875" customWidth="1"/>
    <col min="7" max="7" width="9.7109375" customWidth="1"/>
    <col min="8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17</v>
      </c>
    </row>
    <row r="7" spans="1:62" ht="24" customHeight="1">
      <c r="A7" s="12" t="s">
        <v>6</v>
      </c>
      <c r="B7" s="112" t="s">
        <v>444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4361257</v>
      </c>
      <c r="C8" s="9"/>
      <c r="BB8" s="116"/>
    </row>
    <row r="9" spans="1:62" ht="24" customHeight="1">
      <c r="A9" s="14" t="s">
        <v>12</v>
      </c>
      <c r="B9" s="115">
        <v>4077314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v>4067838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9476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6.4500000000000002E-2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0.93540000000000001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78"/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15">
        <v>1587131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>
        <v>0</v>
      </c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5">
        <v>347500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1239631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233</v>
      </c>
      <c r="B21" s="115">
        <v>1303188</v>
      </c>
      <c r="C21" s="9"/>
      <c r="BB21" s="28"/>
    </row>
    <row r="22" spans="1:62" ht="24" customHeight="1">
      <c r="A22" s="118" t="s">
        <v>213</v>
      </c>
      <c r="B22" s="119"/>
      <c r="C22" s="120"/>
      <c r="BB22" s="28"/>
    </row>
    <row r="23" spans="1:62" ht="24" customHeight="1">
      <c r="A23" s="118" t="s">
        <v>234</v>
      </c>
      <c r="B23" s="119">
        <v>1290795</v>
      </c>
      <c r="C23" s="120"/>
      <c r="BB23" s="28"/>
    </row>
    <row r="24" spans="1:62" ht="24" customHeight="1">
      <c r="A24" s="14" t="s">
        <v>235</v>
      </c>
      <c r="B24" s="115">
        <v>9476</v>
      </c>
      <c r="C24" s="9"/>
      <c r="BB24" s="28"/>
    </row>
    <row r="25" spans="1:62" ht="24" customHeight="1">
      <c r="A25" s="14" t="s">
        <v>236</v>
      </c>
      <c r="B25" s="115">
        <v>2917</v>
      </c>
      <c r="C25" s="9"/>
      <c r="BB25" s="28"/>
    </row>
    <row r="26" spans="1:62" ht="8.25" customHeight="1">
      <c r="A26" s="18"/>
      <c r="B26" s="121"/>
      <c r="C26" s="122"/>
      <c r="BB26" s="28"/>
    </row>
    <row r="27" spans="1:62" ht="24" customHeight="1">
      <c r="A27" s="14" t="s">
        <v>237</v>
      </c>
      <c r="B27" s="115">
        <f>+B18</f>
        <v>347500</v>
      </c>
      <c r="C27" s="9"/>
      <c r="BB27" s="28"/>
    </row>
    <row r="28" spans="1:62" ht="24" customHeight="1">
      <c r="A28" s="14" t="s">
        <v>445</v>
      </c>
      <c r="B28" s="115">
        <f>B27</f>
        <v>347500</v>
      </c>
      <c r="C28" s="9"/>
      <c r="BB28" s="28"/>
    </row>
    <row r="29" spans="1:62" ht="24" customHeight="1">
      <c r="A29" s="14" t="s">
        <v>238</v>
      </c>
      <c r="B29" s="126">
        <f>B28</f>
        <v>347500</v>
      </c>
      <c r="C29" s="9"/>
      <c r="BB29" s="28"/>
    </row>
    <row r="30" spans="1:62" ht="24" customHeight="1">
      <c r="A30" s="118" t="s">
        <v>239</v>
      </c>
      <c r="B30" s="115">
        <v>0</v>
      </c>
      <c r="C30" s="120"/>
      <c r="BB30" s="28"/>
    </row>
    <row r="31" spans="1:62" ht="24" customHeight="1">
      <c r="B31" s="78"/>
      <c r="BB31" s="28"/>
    </row>
    <row r="32" spans="1:62" ht="24" customHeight="1">
      <c r="A32" s="118" t="s">
        <v>240</v>
      </c>
      <c r="B32" s="119">
        <v>0</v>
      </c>
      <c r="C32" s="120"/>
      <c r="BB32" s="28"/>
    </row>
    <row r="33" spans="1:54" ht="24" customHeight="1">
      <c r="B33" s="78"/>
      <c r="BB33" s="28"/>
    </row>
    <row r="34" spans="1:54" ht="24" customHeight="1">
      <c r="A34" s="14" t="s">
        <v>58</v>
      </c>
      <c r="B34" s="115">
        <v>77701</v>
      </c>
      <c r="C34" s="9"/>
      <c r="BB34" s="28"/>
    </row>
    <row r="35" spans="1:54" ht="24" customHeight="1">
      <c r="A35" s="14" t="s">
        <v>241</v>
      </c>
      <c r="B35" s="115">
        <v>30257</v>
      </c>
      <c r="C35" s="9"/>
      <c r="BB35" s="28"/>
    </row>
    <row r="36" spans="1:54" ht="24" customHeight="1">
      <c r="A36" s="14" t="s">
        <v>206</v>
      </c>
      <c r="B36" s="115">
        <v>47444</v>
      </c>
      <c r="C36" s="9"/>
      <c r="G36">
        <v>3230957</v>
      </c>
      <c r="BB36" s="28"/>
    </row>
    <row r="37" spans="1:54" ht="24" customHeight="1">
      <c r="B37" s="78"/>
      <c r="BB37" s="28"/>
    </row>
    <row r="38" spans="1:54" ht="24" customHeight="1">
      <c r="A38" s="118" t="s">
        <v>115</v>
      </c>
      <c r="B38" s="119">
        <v>0</v>
      </c>
      <c r="C38" s="120"/>
      <c r="BB38" s="28"/>
    </row>
    <row r="39" spans="1:54" ht="24" customHeight="1">
      <c r="A39" s="118" t="s">
        <v>242</v>
      </c>
      <c r="B39" s="119">
        <v>0</v>
      </c>
      <c r="C39" s="120"/>
      <c r="BB39" s="28"/>
    </row>
    <row r="40" spans="1:54" ht="24" customHeight="1">
      <c r="A40" s="118" t="s">
        <v>117</v>
      </c>
      <c r="B40" s="119">
        <v>0</v>
      </c>
      <c r="C40" s="120"/>
      <c r="BB40" s="28"/>
    </row>
    <row r="41" spans="1:54" ht="8.25" customHeight="1">
      <c r="A41" s="18"/>
      <c r="B41" s="121"/>
      <c r="C41" s="122"/>
      <c r="BB41" s="28"/>
    </row>
    <row r="42" spans="1:54" ht="24" customHeight="1">
      <c r="B42" s="78"/>
      <c r="BB42" s="28"/>
    </row>
    <row r="43" spans="1:54" ht="24" customHeight="1">
      <c r="A43" s="14" t="s">
        <v>243</v>
      </c>
      <c r="B43" s="117">
        <f>B12</f>
        <v>6.4500000000000002E-2</v>
      </c>
      <c r="C43" s="9"/>
      <c r="BB43" s="28"/>
    </row>
    <row r="44" spans="1:54" ht="24" customHeight="1">
      <c r="A44" s="14" t="s">
        <v>244</v>
      </c>
      <c r="B44" s="117">
        <f>B13</f>
        <v>0.93540000000000001</v>
      </c>
      <c r="C44" s="9"/>
      <c r="BB44" s="28"/>
    </row>
    <row r="46" spans="1:54" ht="23.25">
      <c r="A46" s="14" t="s">
        <v>245</v>
      </c>
      <c r="B46" s="115">
        <v>0</v>
      </c>
    </row>
    <row r="47" spans="1:54" ht="23.25">
      <c r="A47" s="14" t="s">
        <v>246</v>
      </c>
      <c r="B47" s="115">
        <v>0</v>
      </c>
      <c r="C47" s="124"/>
    </row>
    <row r="48" spans="1:54" ht="23.25">
      <c r="A48" s="14" t="s">
        <v>247</v>
      </c>
      <c r="B48" s="115">
        <v>0</v>
      </c>
    </row>
    <row r="49" spans="1:3" ht="23.25">
      <c r="A49" s="14" t="s">
        <v>248</v>
      </c>
      <c r="B49" s="115">
        <v>0</v>
      </c>
      <c r="C49" s="124"/>
    </row>
    <row r="50" spans="1:3" ht="23.25">
      <c r="A50" s="14" t="s">
        <v>249</v>
      </c>
      <c r="B50" s="115">
        <v>0</v>
      </c>
    </row>
    <row r="51" spans="1:3" ht="23.25">
      <c r="A51" s="14" t="s">
        <v>250</v>
      </c>
      <c r="B51" s="115">
        <v>0</v>
      </c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BJ42"/>
  <sheetViews>
    <sheetView topLeftCell="A29" workbookViewId="0">
      <selection activeCell="A8" sqref="A8"/>
    </sheetView>
  </sheetViews>
  <sheetFormatPr defaultColWidth="11" defaultRowHeight="14.25"/>
  <cols>
    <col min="1" max="1" width="49.28515625" style="1" customWidth="1"/>
    <col min="2" max="2" width="39.140625" style="2" customWidth="1"/>
    <col min="3" max="3" width="20.85546875" customWidth="1"/>
    <col min="4" max="5" width="11.42578125" customWidth="1"/>
    <col min="6" max="6" width="11.5703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 t="s">
        <v>447</v>
      </c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/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55</v>
      </c>
      <c r="C6" s="9"/>
    </row>
    <row r="7" spans="1:10" ht="24" customHeight="1">
      <c r="A7" s="12" t="s">
        <v>6</v>
      </c>
      <c r="B7" s="13" t="s">
        <v>448</v>
      </c>
      <c r="C7" s="9"/>
    </row>
    <row r="8" spans="1:10" ht="24" customHeight="1">
      <c r="A8" s="40" t="s">
        <v>76</v>
      </c>
      <c r="B8" s="41">
        <v>233923.44</v>
      </c>
      <c r="C8" s="14"/>
    </row>
    <row r="9" spans="1:10" ht="24" customHeight="1">
      <c r="A9" s="40" t="s">
        <v>333</v>
      </c>
      <c r="B9" s="41">
        <v>222383.68</v>
      </c>
      <c r="C9" s="14"/>
    </row>
    <row r="10" spans="1:10" ht="24" customHeight="1">
      <c r="A10" s="40" t="s">
        <v>334</v>
      </c>
      <c r="B10" s="41">
        <f>B9</f>
        <v>222383.68</v>
      </c>
      <c r="C10" s="14"/>
    </row>
    <row r="11" spans="1:10" ht="24" customHeight="1">
      <c r="A11" s="40" t="s">
        <v>90</v>
      </c>
      <c r="B11" s="41">
        <v>15326</v>
      </c>
      <c r="C11" s="14"/>
    </row>
    <row r="12" spans="1:10" ht="24" customHeight="1">
      <c r="A12" s="40" t="s">
        <v>335</v>
      </c>
      <c r="B12" s="41">
        <v>0</v>
      </c>
      <c r="C12" s="14"/>
    </row>
    <row r="13" spans="1:10" ht="24" customHeight="1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4" customHeight="1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4" customHeight="1">
      <c r="A15" s="40" t="s">
        <v>338</v>
      </c>
      <c r="B15" s="45">
        <v>234515</v>
      </c>
      <c r="C15" s="9"/>
      <c r="D15" s="16"/>
      <c r="E15" s="16"/>
      <c r="F15" s="16"/>
      <c r="G15" s="16"/>
    </row>
    <row r="16" spans="1:10" ht="24" customHeight="1">
      <c r="A16" s="40" t="s">
        <v>339</v>
      </c>
      <c r="B16" s="45">
        <v>76314</v>
      </c>
      <c r="C16" s="9"/>
      <c r="D16" s="16"/>
      <c r="E16" s="16"/>
      <c r="F16" s="16"/>
      <c r="G16" s="16"/>
    </row>
    <row r="17" spans="1:9" ht="24" customHeight="1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9" ht="24" customHeight="1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9" ht="24" customHeight="1">
      <c r="A19" s="40" t="s">
        <v>342</v>
      </c>
      <c r="B19" s="45">
        <v>6</v>
      </c>
      <c r="C19" s="9"/>
    </row>
    <row r="20" spans="1:9" ht="24" customHeight="1">
      <c r="A20" s="40" t="s">
        <v>343</v>
      </c>
      <c r="B20" s="45">
        <v>3740</v>
      </c>
      <c r="C20" s="9"/>
    </row>
    <row r="21" spans="1:9" ht="24" customHeight="1">
      <c r="A21" s="40" t="s">
        <v>72</v>
      </c>
      <c r="B21" s="41">
        <v>0</v>
      </c>
      <c r="C21" s="9"/>
    </row>
    <row r="22" spans="1:9" ht="24" customHeight="1">
      <c r="A22" s="40" t="s">
        <v>344</v>
      </c>
      <c r="B22" s="42">
        <v>0</v>
      </c>
      <c r="C22" s="9"/>
    </row>
    <row r="23" spans="1:9" ht="24" customHeight="1">
      <c r="A23" s="158" t="s">
        <v>71</v>
      </c>
      <c r="B23" s="214">
        <v>86910.94</v>
      </c>
      <c r="C23" s="215">
        <f>B23-B41</f>
        <v>71584.94</v>
      </c>
      <c r="F23" s="43">
        <f>+B23-B41</f>
        <v>71584.94</v>
      </c>
    </row>
    <row r="24" spans="1:9" ht="24" customHeight="1">
      <c r="A24" s="158" t="s">
        <v>81</v>
      </c>
      <c r="B24" s="161">
        <v>75371.179999999993</v>
      </c>
      <c r="C24" s="162"/>
      <c r="I24">
        <v>7</v>
      </c>
    </row>
    <row r="25" spans="1:9" ht="24" customHeight="1">
      <c r="A25" s="40" t="s">
        <v>345</v>
      </c>
      <c r="B25" s="41">
        <v>11539.76</v>
      </c>
      <c r="C25" s="9"/>
    </row>
    <row r="26" spans="1:9" ht="24" customHeight="1">
      <c r="A26" s="40" t="s">
        <v>346</v>
      </c>
      <c r="B26" s="41">
        <v>95.06</v>
      </c>
      <c r="C26" s="9"/>
    </row>
    <row r="27" spans="1:9" ht="24" customHeight="1">
      <c r="A27" s="40" t="s">
        <v>347</v>
      </c>
      <c r="B27" s="41">
        <f>B26</f>
        <v>95.06</v>
      </c>
      <c r="C27" s="9"/>
    </row>
    <row r="28" spans="1:9" ht="24" customHeight="1">
      <c r="A28" s="40" t="s">
        <v>348</v>
      </c>
      <c r="B28" s="45">
        <v>0</v>
      </c>
      <c r="C28" s="20"/>
    </row>
    <row r="29" spans="1:9" ht="24" customHeight="1">
      <c r="A29" s="40" t="s">
        <v>349</v>
      </c>
      <c r="B29" s="45">
        <v>0</v>
      </c>
      <c r="C29" s="9"/>
    </row>
    <row r="30" spans="1:9" ht="24" customHeight="1">
      <c r="A30" s="40" t="s">
        <v>350</v>
      </c>
      <c r="B30" s="45">
        <v>0</v>
      </c>
      <c r="C30" s="9"/>
    </row>
    <row r="31" spans="1:9" ht="24" customHeight="1">
      <c r="A31" s="40" t="s">
        <v>351</v>
      </c>
      <c r="B31" s="45">
        <v>0</v>
      </c>
      <c r="C31" s="24"/>
    </row>
    <row r="32" spans="1:9" ht="24" customHeight="1">
      <c r="A32" s="40" t="s">
        <v>352</v>
      </c>
      <c r="B32" s="45">
        <v>3</v>
      </c>
      <c r="C32" s="9"/>
    </row>
    <row r="33" spans="1:62" ht="24" customHeight="1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40" t="s">
        <v>354</v>
      </c>
      <c r="B34" s="45">
        <v>12</v>
      </c>
      <c r="C34" s="27"/>
    </row>
    <row r="35" spans="1:62" ht="24" customHeight="1">
      <c r="A35" s="40" t="s">
        <v>355</v>
      </c>
      <c r="B35" s="45">
        <v>12</v>
      </c>
      <c r="C35" s="9"/>
    </row>
    <row r="36" spans="1:62" ht="24" customHeight="1">
      <c r="A36" s="40" t="s">
        <v>356</v>
      </c>
      <c r="B36" s="45">
        <v>1292</v>
      </c>
      <c r="C36" s="9"/>
    </row>
    <row r="37" spans="1:62" ht="24" customHeight="1">
      <c r="A37" s="40" t="s">
        <v>357</v>
      </c>
      <c r="B37" s="44">
        <v>0</v>
      </c>
      <c r="C37" s="9"/>
    </row>
    <row r="38" spans="1:62" ht="24" customHeight="1">
      <c r="A38" s="40" t="s">
        <v>358</v>
      </c>
      <c r="B38" s="41">
        <v>0</v>
      </c>
      <c r="C38" s="9"/>
    </row>
    <row r="39" spans="1:62" ht="24" customHeight="1">
      <c r="A39" s="40" t="s">
        <v>359</v>
      </c>
      <c r="B39" s="41">
        <v>0</v>
      </c>
      <c r="C39" s="9"/>
    </row>
    <row r="40" spans="1:62" ht="24" customHeight="1">
      <c r="A40" s="40" t="s">
        <v>360</v>
      </c>
      <c r="B40" s="44">
        <v>0</v>
      </c>
      <c r="C40" s="9"/>
    </row>
    <row r="41" spans="1:62" ht="24" customHeight="1">
      <c r="A41" s="40" t="s">
        <v>361</v>
      </c>
      <c r="B41" s="51">
        <v>15326</v>
      </c>
      <c r="C41" s="24" t="b">
        <f>B41=B11</f>
        <v>1</v>
      </c>
    </row>
    <row r="42" spans="1:62" ht="24" customHeight="1">
      <c r="A42" s="40" t="s">
        <v>362</v>
      </c>
      <c r="B42" s="45">
        <v>491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indexed="56"/>
  </sheetPr>
  <dimension ref="A1:BJ52"/>
  <sheetViews>
    <sheetView zoomScale="110" zoomScaleNormal="110" workbookViewId="0">
      <pane xSplit="2" ySplit="7" topLeftCell="C19" activePane="bottomRight" state="frozen"/>
      <selection activeCell="A8" sqref="A8"/>
      <selection pane="topRight" activeCell="A8" sqref="A8"/>
      <selection pane="bottomLeft" activeCell="A8" sqref="A8"/>
      <selection pane="bottomRight" activeCell="A8" sqref="A8"/>
    </sheetView>
  </sheetViews>
  <sheetFormatPr defaultColWidth="11" defaultRowHeight="14.25"/>
  <cols>
    <col min="1" max="1" width="44.140625" style="1" customWidth="1"/>
    <col min="2" max="2" width="30.140625" customWidth="1"/>
    <col min="3" max="3" width="4.85546875" customWidth="1"/>
    <col min="4" max="5" width="3.85546875" customWidth="1"/>
    <col min="6" max="6" width="10.5703125" customWidth="1"/>
    <col min="7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16</v>
      </c>
    </row>
    <row r="7" spans="1:62" ht="24" customHeight="1">
      <c r="A7" s="12" t="s">
        <v>6</v>
      </c>
      <c r="B7" s="112" t="s">
        <v>449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44665847</v>
      </c>
      <c r="C8" s="9"/>
      <c r="BB8" s="116"/>
    </row>
    <row r="9" spans="1:62" ht="24" customHeight="1">
      <c r="A9" s="14" t="s">
        <v>12</v>
      </c>
      <c r="B9" s="115">
        <v>42733380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v>42058594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674786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4.3299999999999998E-2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0.95660000000000001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78"/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15">
        <v>12952442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216" t="s">
        <v>212</v>
      </c>
      <c r="B16" s="217">
        <v>0</v>
      </c>
      <c r="C16" s="218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216" t="s">
        <v>230</v>
      </c>
      <c r="B17" s="217">
        <v>0</v>
      </c>
      <c r="C17" s="218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219">
        <v>7626350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216" t="s">
        <v>232</v>
      </c>
      <c r="B19" s="217">
        <v>5326092</v>
      </c>
      <c r="C19" s="218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450</v>
      </c>
      <c r="B21" s="115">
        <v>0</v>
      </c>
      <c r="C21" s="9"/>
      <c r="BB21" s="28"/>
    </row>
    <row r="22" spans="1:62" ht="24" customHeight="1">
      <c r="A22" s="14" t="s">
        <v>233</v>
      </c>
      <c r="B22" s="115">
        <v>11019975</v>
      </c>
      <c r="C22" s="9"/>
      <c r="BB22" s="28"/>
    </row>
    <row r="23" spans="1:62" ht="24" customHeight="1">
      <c r="A23" s="216" t="s">
        <v>213</v>
      </c>
      <c r="B23" s="217">
        <v>0</v>
      </c>
      <c r="C23" s="218"/>
      <c r="BB23" s="28"/>
    </row>
    <row r="24" spans="1:62" ht="24" customHeight="1">
      <c r="A24" s="216" t="s">
        <v>451</v>
      </c>
      <c r="B24" s="217">
        <v>0</v>
      </c>
      <c r="C24" s="218"/>
      <c r="BB24" s="28"/>
    </row>
    <row r="25" spans="1:62" ht="24" customHeight="1">
      <c r="A25" s="216" t="s">
        <v>452</v>
      </c>
      <c r="B25" s="217">
        <v>10324218</v>
      </c>
      <c r="C25" s="218"/>
      <c r="BB25" s="28"/>
    </row>
    <row r="26" spans="1:62" ht="24" customHeight="1">
      <c r="A26" s="14" t="s">
        <v>235</v>
      </c>
      <c r="B26" s="115">
        <v>674786</v>
      </c>
      <c r="C26" s="9"/>
      <c r="BB26" s="28"/>
    </row>
    <row r="27" spans="1:62" ht="24" customHeight="1">
      <c r="A27" s="14" t="s">
        <v>236</v>
      </c>
      <c r="B27" s="115">
        <v>20971</v>
      </c>
      <c r="C27" s="9"/>
      <c r="BB27" s="28"/>
    </row>
    <row r="28" spans="1:62" ht="8.25" customHeight="1">
      <c r="A28" s="18"/>
      <c r="B28" s="121"/>
      <c r="C28" s="122"/>
      <c r="BB28" s="28"/>
    </row>
    <row r="29" spans="1:62" ht="24" customHeight="1">
      <c r="A29" s="14" t="s">
        <v>237</v>
      </c>
      <c r="B29" s="115">
        <f>B18</f>
        <v>7626350</v>
      </c>
      <c r="C29" s="9"/>
      <c r="BB29" s="28"/>
    </row>
    <row r="30" spans="1:62" ht="24" customHeight="1">
      <c r="A30" s="14" t="s">
        <v>238</v>
      </c>
      <c r="B30" s="115">
        <f>B29</f>
        <v>7626350</v>
      </c>
      <c r="C30" s="9"/>
      <c r="F30" t="b">
        <f>B15=B19+B30</f>
        <v>1</v>
      </c>
      <c r="R30" s="93"/>
      <c r="BB30" s="28"/>
    </row>
    <row r="31" spans="1:62" ht="24" customHeight="1">
      <c r="A31" s="118" t="s">
        <v>239</v>
      </c>
      <c r="B31" s="115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18" t="s">
        <v>240</v>
      </c>
      <c r="B33" s="119">
        <v>0</v>
      </c>
      <c r="C33" s="120"/>
      <c r="BB33" s="28"/>
    </row>
    <row r="34" spans="1:54" ht="24" customHeight="1">
      <c r="B34" s="78"/>
      <c r="BB34" s="28"/>
    </row>
    <row r="35" spans="1:54" ht="24" customHeight="1">
      <c r="A35" s="14" t="s">
        <v>58</v>
      </c>
      <c r="B35" s="115">
        <v>729827</v>
      </c>
      <c r="C35" s="9"/>
      <c r="BB35" s="28"/>
    </row>
    <row r="36" spans="1:54" ht="24" customHeight="1">
      <c r="A36" s="14" t="s">
        <v>241</v>
      </c>
      <c r="B36" s="115">
        <v>369894</v>
      </c>
      <c r="C36" s="9"/>
      <c r="BB36" s="28"/>
    </row>
    <row r="37" spans="1:54" ht="24" customHeight="1">
      <c r="A37" s="14" t="s">
        <v>206</v>
      </c>
      <c r="B37" s="115">
        <v>359933</v>
      </c>
      <c r="C37" s="9"/>
      <c r="BB37" s="28"/>
    </row>
    <row r="38" spans="1:54" ht="24" customHeight="1">
      <c r="B38" s="78"/>
      <c r="BB38" s="28"/>
    </row>
    <row r="39" spans="1:54" ht="24" customHeight="1">
      <c r="A39" s="118" t="s">
        <v>115</v>
      </c>
      <c r="B39" s="119">
        <v>0</v>
      </c>
      <c r="C39" s="120"/>
      <c r="BB39" s="28"/>
    </row>
    <row r="40" spans="1:54" ht="24" customHeight="1">
      <c r="A40" s="118" t="s">
        <v>242</v>
      </c>
      <c r="B40" s="119">
        <v>0</v>
      </c>
      <c r="C40" s="120"/>
      <c r="BB40" s="28"/>
    </row>
    <row r="41" spans="1:54" ht="24" customHeight="1">
      <c r="A41" s="118" t="s">
        <v>117</v>
      </c>
      <c r="B41" s="119">
        <v>0</v>
      </c>
      <c r="C41" s="120"/>
      <c r="BB41" s="28"/>
    </row>
    <row r="42" spans="1:54" ht="8.25" customHeight="1">
      <c r="A42" s="18"/>
      <c r="B42" s="121"/>
      <c r="C42" s="122"/>
      <c r="BB42" s="28"/>
    </row>
    <row r="43" spans="1:54" ht="24" customHeight="1">
      <c r="B43" s="78"/>
      <c r="BB43" s="28"/>
    </row>
    <row r="44" spans="1:54" ht="24" customHeight="1">
      <c r="A44" s="14" t="s">
        <v>243</v>
      </c>
      <c r="B44" s="117">
        <f>B12</f>
        <v>4.3299999999999998E-2</v>
      </c>
      <c r="C44" s="9"/>
      <c r="BB44" s="28"/>
    </row>
    <row r="45" spans="1:54" ht="24" customHeight="1">
      <c r="A45" s="14" t="s">
        <v>244</v>
      </c>
      <c r="B45" s="117">
        <f>B13</f>
        <v>0.95660000000000001</v>
      </c>
      <c r="C45" s="9"/>
      <c r="BB45" s="28"/>
    </row>
    <row r="46" spans="1:54">
      <c r="B46" t="s">
        <v>447</v>
      </c>
    </row>
    <row r="47" spans="1:54" ht="23.25">
      <c r="A47" s="14" t="s">
        <v>245</v>
      </c>
      <c r="B47" s="115">
        <v>0</v>
      </c>
    </row>
    <row r="48" spans="1:54" ht="23.25">
      <c r="A48" s="14" t="s">
        <v>246</v>
      </c>
      <c r="B48" s="115">
        <v>0</v>
      </c>
    </row>
    <row r="49" spans="1:2" ht="23.25">
      <c r="A49" s="14" t="s">
        <v>247</v>
      </c>
      <c r="B49" s="115">
        <v>0</v>
      </c>
    </row>
    <row r="50" spans="1:2" ht="23.25">
      <c r="A50" s="14" t="s">
        <v>248</v>
      </c>
      <c r="B50" s="115">
        <v>0</v>
      </c>
    </row>
    <row r="51" spans="1:2" ht="23.25">
      <c r="A51" s="14" t="s">
        <v>249</v>
      </c>
      <c r="B51" s="115">
        <v>0</v>
      </c>
    </row>
    <row r="52" spans="1:2" ht="23.25">
      <c r="A52" s="14" t="s">
        <v>250</v>
      </c>
      <c r="B52" s="115">
        <v>0</v>
      </c>
    </row>
  </sheetData>
  <sheetProtection selectLockedCells="1" selectUnlockedCells="1"/>
  <pageMargins left="1.5354166666666667" right="0.70833333333333337" top="0.5" bottom="0.74791666666666667" header="0.51180555555555551" footer="0.51180555555555551"/>
  <pageSetup paperSize="9" scale="80" firstPageNumber="0" orientation="portrait" horizontalDpi="300" verticalDpi="300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indexed="56"/>
  </sheetPr>
  <dimension ref="A1:BJ57"/>
  <sheetViews>
    <sheetView zoomScale="110" zoomScaleNormal="110" workbookViewId="0">
      <pane xSplit="3" ySplit="7" topLeftCell="D8" activePane="bottomRight" state="frozen"/>
      <selection activeCell="A8" sqref="A8"/>
      <selection pane="topRight" activeCell="A8" sqref="A8"/>
      <selection pane="bottomLeft" activeCell="A8" sqref="A8"/>
      <selection pane="bottomRight" activeCell="A8" sqref="A8"/>
    </sheetView>
  </sheetViews>
  <sheetFormatPr defaultColWidth="11" defaultRowHeight="14.25"/>
  <cols>
    <col min="1" max="1" width="44.140625" style="1" customWidth="1"/>
    <col min="2" max="2" width="30.140625" customWidth="1"/>
    <col min="3" max="3" width="4.85546875" customWidth="1"/>
    <col min="4" max="6" width="3.85546875" customWidth="1"/>
    <col min="7" max="7" width="8.85546875" customWidth="1"/>
    <col min="8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18</v>
      </c>
    </row>
    <row r="7" spans="1:62" ht="24" customHeight="1">
      <c r="A7" s="12" t="s">
        <v>6</v>
      </c>
      <c r="B7" s="112" t="s">
        <v>441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109792</v>
      </c>
      <c r="C8" s="9"/>
      <c r="BB8" s="116"/>
    </row>
    <row r="9" spans="1:62" ht="24" customHeight="1">
      <c r="A9" s="14" t="s">
        <v>12</v>
      </c>
      <c r="B9" s="115">
        <v>83080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220">
        <f>B9</f>
        <v>83080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0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0.2432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0.75670000000000004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78"/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15">
        <v>170283</v>
      </c>
      <c r="C15" s="9"/>
      <c r="G15" t="s">
        <v>453</v>
      </c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>
        <v>0</v>
      </c>
      <c r="C16" s="120"/>
      <c r="G16" t="b">
        <f>B15=B18+B20+B16</f>
        <v>0</v>
      </c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5">
        <v>130500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39783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233</v>
      </c>
      <c r="B21" s="115">
        <v>143571</v>
      </c>
      <c r="C21" s="9"/>
      <c r="BB21" s="28"/>
    </row>
    <row r="22" spans="1:62" ht="24" customHeight="1">
      <c r="A22" s="118" t="s">
        <v>213</v>
      </c>
      <c r="B22" s="119">
        <v>0</v>
      </c>
      <c r="C22" s="120"/>
      <c r="BB22" s="28"/>
    </row>
    <row r="23" spans="1:62" ht="24" customHeight="1">
      <c r="A23" s="118" t="s">
        <v>234</v>
      </c>
      <c r="B23" s="119">
        <f>B21</f>
        <v>143571</v>
      </c>
      <c r="C23" s="120"/>
      <c r="BB23" s="28"/>
    </row>
    <row r="24" spans="1:62" ht="24" customHeight="1">
      <c r="A24" s="14" t="s">
        <v>235</v>
      </c>
      <c r="B24" s="115">
        <v>0</v>
      </c>
      <c r="C24" s="9"/>
      <c r="BB24" s="28"/>
    </row>
    <row r="25" spans="1:62" ht="24" customHeight="1">
      <c r="A25" s="14" t="s">
        <v>236</v>
      </c>
      <c r="B25" s="115">
        <v>0</v>
      </c>
      <c r="C25" s="9"/>
      <c r="BB25" s="28"/>
    </row>
    <row r="26" spans="1:62" ht="8.25" customHeight="1">
      <c r="A26" s="18"/>
      <c r="B26" s="121"/>
      <c r="C26" s="122"/>
      <c r="BB26" s="28"/>
    </row>
    <row r="27" spans="1:62" ht="24" customHeight="1">
      <c r="A27" s="14" t="s">
        <v>237</v>
      </c>
      <c r="B27" s="115">
        <f>+B18</f>
        <v>130500</v>
      </c>
      <c r="C27" s="9"/>
      <c r="BB27" s="28"/>
    </row>
    <row r="28" spans="1:62" ht="24" customHeight="1">
      <c r="A28" s="14" t="s">
        <v>238</v>
      </c>
      <c r="B28" s="115">
        <f>+B27</f>
        <v>130500</v>
      </c>
      <c r="C28" s="9"/>
      <c r="BB28" s="28"/>
    </row>
    <row r="29" spans="1:62" ht="24" customHeight="1">
      <c r="A29" s="118" t="s">
        <v>239</v>
      </c>
      <c r="B29" s="119">
        <v>0</v>
      </c>
      <c r="C29" s="120"/>
      <c r="BB29" s="28"/>
    </row>
    <row r="30" spans="1:62" ht="24" customHeight="1">
      <c r="B30" s="78"/>
      <c r="BB30" s="28"/>
    </row>
    <row r="31" spans="1:62" ht="24" customHeight="1">
      <c r="A31" s="118" t="s">
        <v>240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4" t="s">
        <v>58</v>
      </c>
      <c r="B33" s="115">
        <v>2355</v>
      </c>
      <c r="C33" s="9"/>
      <c r="BB33" s="28"/>
    </row>
    <row r="34" spans="1:54" ht="24" customHeight="1">
      <c r="A34" s="14" t="s">
        <v>241</v>
      </c>
      <c r="B34" s="115">
        <v>645</v>
      </c>
      <c r="C34" s="9"/>
      <c r="BB34" s="28"/>
    </row>
    <row r="35" spans="1:54" ht="24" customHeight="1">
      <c r="A35" s="14" t="s">
        <v>206</v>
      </c>
      <c r="B35" s="115">
        <v>1710</v>
      </c>
      <c r="C35" s="9"/>
      <c r="BB35" s="28"/>
    </row>
    <row r="36" spans="1:54" ht="24" customHeight="1">
      <c r="B36" s="78" t="s">
        <v>104</v>
      </c>
      <c r="BB36" s="28"/>
    </row>
    <row r="37" spans="1:54" ht="24" customHeight="1">
      <c r="A37" s="118" t="s">
        <v>115</v>
      </c>
      <c r="B37" s="119">
        <v>0</v>
      </c>
      <c r="C37" s="120"/>
      <c r="BB37" s="28"/>
    </row>
    <row r="38" spans="1:54" ht="24" customHeight="1">
      <c r="A38" s="118" t="s">
        <v>242</v>
      </c>
      <c r="B38" s="119">
        <v>0</v>
      </c>
      <c r="C38" s="120"/>
      <c r="BB38" s="28"/>
    </row>
    <row r="39" spans="1:54" ht="24" customHeight="1">
      <c r="A39" s="118" t="s">
        <v>117</v>
      </c>
      <c r="B39" s="119">
        <v>0</v>
      </c>
      <c r="C39" s="120"/>
      <c r="BB39" s="28"/>
    </row>
    <row r="40" spans="1:54" ht="8.25" customHeight="1">
      <c r="A40" s="18"/>
      <c r="B40" s="121"/>
      <c r="C40" s="122"/>
      <c r="BB40" s="28"/>
    </row>
    <row r="41" spans="1:54" ht="24" customHeight="1">
      <c r="B41" s="78"/>
      <c r="BB41" s="28"/>
    </row>
    <row r="42" spans="1:54" ht="24" customHeight="1">
      <c r="A42" s="14" t="s">
        <v>243</v>
      </c>
      <c r="B42" s="117">
        <f>B12</f>
        <v>0.2432</v>
      </c>
      <c r="C42" s="9"/>
      <c r="BB42" s="28"/>
    </row>
    <row r="43" spans="1:54" ht="24" customHeight="1">
      <c r="A43" s="14" t="s">
        <v>244</v>
      </c>
      <c r="B43" s="117">
        <f>B13</f>
        <v>0.75670000000000004</v>
      </c>
      <c r="C43" s="9"/>
      <c r="D43" s="221"/>
      <c r="BB43" s="28"/>
    </row>
    <row r="45" spans="1:54">
      <c r="A45" s="14" t="s">
        <v>245</v>
      </c>
      <c r="B45" s="14">
        <v>0</v>
      </c>
      <c r="E45" s="108"/>
    </row>
    <row r="46" spans="1:54">
      <c r="A46" s="14" t="s">
        <v>246</v>
      </c>
      <c r="B46" s="14">
        <v>0</v>
      </c>
      <c r="C46" s="108"/>
    </row>
    <row r="47" spans="1:54">
      <c r="A47" s="14" t="s">
        <v>247</v>
      </c>
      <c r="B47" s="14">
        <v>0</v>
      </c>
      <c r="E47" s="16"/>
    </row>
    <row r="48" spans="1:54">
      <c r="A48" s="14" t="s">
        <v>248</v>
      </c>
      <c r="B48" s="14">
        <v>0</v>
      </c>
      <c r="C48" s="16"/>
    </row>
    <row r="49" spans="1:5">
      <c r="A49" s="14" t="s">
        <v>249</v>
      </c>
      <c r="B49" s="14">
        <v>0</v>
      </c>
      <c r="E49" s="16"/>
    </row>
    <row r="50" spans="1:5">
      <c r="A50" s="14" t="s">
        <v>250</v>
      </c>
      <c r="B50" s="14">
        <v>0</v>
      </c>
      <c r="C50" s="16"/>
    </row>
    <row r="51" spans="1:5">
      <c r="A51" s="14"/>
      <c r="B51" s="14">
        <v>0</v>
      </c>
    </row>
    <row r="52" spans="1:5">
      <c r="A52" s="14" t="s">
        <v>251</v>
      </c>
      <c r="B52" s="14">
        <v>0</v>
      </c>
    </row>
    <row r="53" spans="1:5" ht="12">
      <c r="A53" s="16"/>
    </row>
    <row r="54" spans="1:5" ht="12">
      <c r="A54"/>
      <c r="C54" s="124"/>
    </row>
    <row r="55" spans="1:5" ht="12">
      <c r="A55" s="16"/>
    </row>
    <row r="56" spans="1:5">
      <c r="C56" s="124"/>
    </row>
    <row r="57" spans="1:5">
      <c r="A57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indexed="56"/>
  </sheetPr>
  <dimension ref="A1:BJ57"/>
  <sheetViews>
    <sheetView workbookViewId="0">
      <pane xSplit="2" ySplit="7" topLeftCell="C16" activePane="bottomRight" state="frozen"/>
      <selection activeCell="A8" sqref="A8"/>
      <selection pane="topRight" activeCell="A8" sqref="A8"/>
      <selection pane="bottomLeft" activeCell="A8" sqref="A8"/>
      <selection pane="bottomRight" activeCell="A8" sqref="A8"/>
    </sheetView>
  </sheetViews>
  <sheetFormatPr defaultColWidth="11" defaultRowHeight="14.25"/>
  <cols>
    <col min="1" max="1" width="44.140625" style="1" customWidth="1"/>
    <col min="2" max="2" width="30.140625" customWidth="1"/>
    <col min="3" max="3" width="4.85546875" customWidth="1"/>
    <col min="4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>
      <c r="B5" s="125"/>
    </row>
    <row r="6" spans="1:62" ht="23.25">
      <c r="A6" s="11" t="s">
        <v>5</v>
      </c>
      <c r="B6" s="74">
        <v>13</v>
      </c>
    </row>
    <row r="7" spans="1:62" ht="24" customHeight="1">
      <c r="A7" s="12" t="s">
        <v>6</v>
      </c>
      <c r="B7" s="112" t="s">
        <v>454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22407480</v>
      </c>
      <c r="C8" s="9"/>
      <c r="BB8" s="116"/>
    </row>
    <row r="9" spans="1:62" ht="24" customHeight="1">
      <c r="A9" s="14" t="s">
        <v>12</v>
      </c>
      <c r="B9" s="115">
        <v>21163415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v>20846141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317274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5.7299999999999997E-2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0.94259999999999999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78"/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15">
        <v>7325465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>
        <v>0</v>
      </c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/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26">
        <v>4474000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2851465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233</v>
      </c>
      <c r="B21" s="115">
        <v>6081400</v>
      </c>
      <c r="C21" s="9"/>
      <c r="BB21" s="28"/>
    </row>
    <row r="22" spans="1:62" ht="24" customHeight="1">
      <c r="A22" s="118" t="s">
        <v>213</v>
      </c>
      <c r="B22" s="119">
        <v>0</v>
      </c>
      <c r="C22" s="120"/>
      <c r="BB22" s="28"/>
    </row>
    <row r="23" spans="1:62" ht="24" customHeight="1">
      <c r="A23" s="118" t="s">
        <v>234</v>
      </c>
      <c r="B23" s="119">
        <v>5740981</v>
      </c>
      <c r="C23" s="120"/>
      <c r="BB23" s="28"/>
    </row>
    <row r="24" spans="1:62" ht="24" customHeight="1">
      <c r="A24" s="14" t="s">
        <v>235</v>
      </c>
      <c r="B24" s="115">
        <v>317274</v>
      </c>
      <c r="C24" s="9"/>
      <c r="BB24" s="28"/>
    </row>
    <row r="25" spans="1:62" ht="24" customHeight="1">
      <c r="A25" s="14" t="s">
        <v>236</v>
      </c>
      <c r="B25" s="115">
        <v>23145</v>
      </c>
      <c r="C25" s="9"/>
      <c r="BB25" s="28"/>
    </row>
    <row r="26" spans="1:62" ht="8.25" customHeight="1">
      <c r="A26" s="18"/>
      <c r="B26" s="121"/>
      <c r="C26" s="122"/>
      <c r="BB26" s="28"/>
    </row>
    <row r="27" spans="1:62" ht="24" customHeight="1">
      <c r="A27" s="14" t="s">
        <v>237</v>
      </c>
      <c r="B27" s="115">
        <f>B18</f>
        <v>4474000</v>
      </c>
      <c r="C27" s="9"/>
      <c r="BB27" s="28"/>
    </row>
    <row r="28" spans="1:62" ht="24" customHeight="1">
      <c r="A28" s="14" t="s">
        <v>238</v>
      </c>
      <c r="B28" s="115">
        <f>B27</f>
        <v>4474000</v>
      </c>
      <c r="C28" s="9"/>
      <c r="BB28" s="28"/>
    </row>
    <row r="29" spans="1:62" ht="24" customHeight="1">
      <c r="A29" s="118" t="s">
        <v>239</v>
      </c>
      <c r="B29" s="119">
        <v>0</v>
      </c>
      <c r="C29" s="120"/>
      <c r="BB29" s="28"/>
    </row>
    <row r="30" spans="1:62" ht="24" customHeight="1">
      <c r="B30" s="78"/>
      <c r="BB30" s="28"/>
    </row>
    <row r="31" spans="1:62" ht="24" customHeight="1">
      <c r="A31" s="118" t="s">
        <v>240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4" t="s">
        <v>58</v>
      </c>
      <c r="B33" s="115">
        <v>455565</v>
      </c>
      <c r="C33" s="9"/>
      <c r="BB33" s="28"/>
    </row>
    <row r="34" spans="1:54" ht="24" customHeight="1">
      <c r="A34" s="14" t="s">
        <v>241</v>
      </c>
      <c r="B34" s="115">
        <v>195256</v>
      </c>
      <c r="C34" s="9"/>
      <c r="BB34" s="28"/>
    </row>
    <row r="35" spans="1:54" ht="24" customHeight="1">
      <c r="A35" s="14" t="s">
        <v>206</v>
      </c>
      <c r="B35" s="115">
        <v>260309</v>
      </c>
      <c r="C35" s="9"/>
      <c r="BB35" s="28"/>
    </row>
    <row r="36" spans="1:54" ht="24" customHeight="1">
      <c r="B36" s="78"/>
      <c r="BB36" s="28"/>
    </row>
    <row r="37" spans="1:54" ht="24" customHeight="1">
      <c r="A37" s="118" t="s">
        <v>115</v>
      </c>
      <c r="B37" s="119">
        <v>0</v>
      </c>
      <c r="C37" s="120"/>
      <c r="BB37" s="28"/>
    </row>
    <row r="38" spans="1:54" ht="24" customHeight="1">
      <c r="A38" s="118" t="s">
        <v>242</v>
      </c>
      <c r="B38" s="119">
        <v>0</v>
      </c>
      <c r="C38" s="120"/>
      <c r="BB38" s="28"/>
    </row>
    <row r="39" spans="1:54" ht="24" customHeight="1">
      <c r="A39" s="118" t="s">
        <v>117</v>
      </c>
      <c r="B39" s="119">
        <v>0</v>
      </c>
      <c r="C39" s="120"/>
      <c r="BB39" s="28"/>
    </row>
    <row r="40" spans="1:54" ht="8.25" customHeight="1">
      <c r="A40" s="18"/>
      <c r="B40" s="121"/>
      <c r="C40" s="122"/>
      <c r="BB40" s="28"/>
    </row>
    <row r="41" spans="1:54" ht="24" customHeight="1">
      <c r="B41" s="78"/>
      <c r="BB41" s="28"/>
    </row>
    <row r="42" spans="1:54" ht="24" customHeight="1">
      <c r="A42" s="14" t="s">
        <v>243</v>
      </c>
      <c r="B42" s="117">
        <f>B12</f>
        <v>5.7299999999999997E-2</v>
      </c>
      <c r="C42" s="9"/>
      <c r="BB42" s="28"/>
    </row>
    <row r="43" spans="1:54" ht="24" customHeight="1">
      <c r="A43" s="14" t="s">
        <v>244</v>
      </c>
      <c r="B43" s="117">
        <f>B13</f>
        <v>0.94259999999999999</v>
      </c>
      <c r="C43" s="9"/>
      <c r="BB43" s="28"/>
    </row>
    <row r="45" spans="1:54" ht="23.25">
      <c r="A45" s="14" t="s">
        <v>245</v>
      </c>
      <c r="B45" s="115">
        <v>0</v>
      </c>
      <c r="E45" s="108"/>
    </row>
    <row r="46" spans="1:54" ht="23.25">
      <c r="A46" s="14" t="s">
        <v>246</v>
      </c>
      <c r="B46" s="115">
        <v>0</v>
      </c>
      <c r="C46" s="108"/>
    </row>
    <row r="47" spans="1:54" ht="23.25">
      <c r="A47" s="14" t="s">
        <v>247</v>
      </c>
      <c r="B47" s="115">
        <v>0</v>
      </c>
      <c r="E47" s="16"/>
    </row>
    <row r="48" spans="1:54" ht="23.25">
      <c r="A48" s="14" t="s">
        <v>248</v>
      </c>
      <c r="B48" s="115">
        <v>0</v>
      </c>
      <c r="C48" s="16"/>
    </row>
    <row r="49" spans="1:5" ht="23.25">
      <c r="A49" s="14" t="s">
        <v>249</v>
      </c>
      <c r="B49" s="115">
        <v>0</v>
      </c>
      <c r="E49" s="16"/>
    </row>
    <row r="50" spans="1:5" ht="23.25">
      <c r="A50" s="14" t="s">
        <v>250</v>
      </c>
      <c r="B50" s="115">
        <v>0</v>
      </c>
      <c r="C50" s="16"/>
    </row>
    <row r="51" spans="1:5" ht="12">
      <c r="A51" s="108" t="s">
        <v>218</v>
      </c>
    </row>
    <row r="52" spans="1:5" ht="12">
      <c r="A52" s="16"/>
    </row>
    <row r="53" spans="1:5" ht="12">
      <c r="A53" s="16"/>
    </row>
    <row r="54" spans="1:5" ht="12">
      <c r="A54"/>
      <c r="C54" s="124"/>
    </row>
    <row r="55" spans="1:5" ht="12">
      <c r="A55" s="16"/>
    </row>
    <row r="56" spans="1:5">
      <c r="C56" s="124"/>
    </row>
    <row r="57" spans="1:5">
      <c r="A57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indexed="11"/>
  </sheetPr>
  <dimension ref="A1:BJ76"/>
  <sheetViews>
    <sheetView workbookViewId="0">
      <pane xSplit="2" ySplit="7" topLeftCell="C18" activePane="bottomRight" state="frozen"/>
      <selection activeCell="A8" sqref="A8"/>
      <selection pane="topRight" activeCell="A8" sqref="A8"/>
      <selection pane="bottomLeft" activeCell="A8" sqref="A8"/>
      <selection pane="bottomRight" activeCell="A8" sqref="A8"/>
    </sheetView>
  </sheetViews>
  <sheetFormatPr defaultColWidth="11" defaultRowHeight="14.25"/>
  <cols>
    <col min="1" max="1" width="41" style="1" customWidth="1"/>
    <col min="2" max="2" width="43.42578125" style="2" customWidth="1"/>
    <col min="3" max="3" width="54.7109375" style="9" customWidth="1"/>
    <col min="4" max="4" width="23.85546875" customWidth="1"/>
    <col min="5" max="5" width="19.2851562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222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</row>
    <row r="4" spans="1:10" ht="24" customHeight="1">
      <c r="A4" s="6" t="s">
        <v>4</v>
      </c>
      <c r="B4" s="10">
        <v>1</v>
      </c>
    </row>
    <row r="5" spans="1:10" ht="24" customHeight="1">
      <c r="B5" s="37" t="s">
        <v>456</v>
      </c>
    </row>
    <row r="6" spans="1:10" ht="24" customHeight="1">
      <c r="A6" s="11" t="s">
        <v>5</v>
      </c>
      <c r="B6" s="38">
        <v>50</v>
      </c>
    </row>
    <row r="7" spans="1:10" ht="24" customHeight="1">
      <c r="A7" s="12" t="s">
        <v>6</v>
      </c>
      <c r="B7" s="223" t="s">
        <v>457</v>
      </c>
    </row>
    <row r="8" spans="1:10" ht="24" customHeight="1">
      <c r="A8" s="61" t="s">
        <v>76</v>
      </c>
      <c r="B8" s="224">
        <v>57258.94</v>
      </c>
      <c r="C8" s="14"/>
    </row>
    <row r="9" spans="1:10" ht="24" customHeight="1">
      <c r="A9" s="61" t="s">
        <v>333</v>
      </c>
      <c r="B9" s="224">
        <v>56609.440000000002</v>
      </c>
      <c r="C9" s="14"/>
    </row>
    <row r="10" spans="1:10" ht="24" customHeight="1">
      <c r="A10" s="61" t="s">
        <v>334</v>
      </c>
      <c r="B10" s="224">
        <f>B9</f>
        <v>56609.440000000002</v>
      </c>
      <c r="C10" s="14"/>
    </row>
    <row r="11" spans="1:10" ht="24" customHeight="1">
      <c r="A11" s="61" t="s">
        <v>90</v>
      </c>
      <c r="B11" s="224">
        <v>17292</v>
      </c>
      <c r="C11" s="14"/>
    </row>
    <row r="12" spans="1:10" ht="24" customHeight="1">
      <c r="A12" s="61" t="s">
        <v>335</v>
      </c>
      <c r="B12" s="224">
        <v>0</v>
      </c>
      <c r="C12" s="14"/>
    </row>
    <row r="13" spans="1:10" ht="24" customHeight="1">
      <c r="A13" s="61" t="s">
        <v>336</v>
      </c>
      <c r="B13" s="224">
        <v>0</v>
      </c>
      <c r="D13" s="16"/>
      <c r="E13" s="16"/>
      <c r="F13" s="16"/>
      <c r="G13" s="16"/>
    </row>
    <row r="14" spans="1:10" ht="24" customHeight="1">
      <c r="A14" s="61" t="s">
        <v>337</v>
      </c>
      <c r="B14" s="224">
        <v>0</v>
      </c>
      <c r="D14" s="16"/>
      <c r="E14" s="16"/>
      <c r="F14" s="16"/>
      <c r="G14" s="16"/>
    </row>
    <row r="15" spans="1:10" ht="24" customHeight="1">
      <c r="A15" s="61" t="s">
        <v>338</v>
      </c>
      <c r="B15" s="133">
        <v>45092</v>
      </c>
      <c r="D15" s="16"/>
      <c r="E15" s="16"/>
      <c r="F15" s="16"/>
      <c r="G15" s="16"/>
    </row>
    <row r="16" spans="1:10" ht="24" customHeight="1">
      <c r="A16" s="61" t="s">
        <v>339</v>
      </c>
      <c r="B16" s="133">
        <v>13402</v>
      </c>
      <c r="D16" s="16"/>
      <c r="E16" s="16"/>
      <c r="F16" s="16"/>
      <c r="G16" s="16"/>
    </row>
    <row r="17" spans="1:7" ht="24" customHeight="1">
      <c r="A17" s="61" t="s">
        <v>340</v>
      </c>
      <c r="B17" s="224">
        <v>0</v>
      </c>
      <c r="D17" s="16"/>
      <c r="E17" s="16"/>
      <c r="F17" s="16"/>
      <c r="G17" s="16"/>
    </row>
    <row r="18" spans="1:7" ht="24" customHeight="1">
      <c r="A18" s="61" t="s">
        <v>341</v>
      </c>
      <c r="B18" s="224">
        <v>0</v>
      </c>
      <c r="D18" s="16"/>
      <c r="E18" s="16"/>
      <c r="F18" s="16"/>
      <c r="G18" s="16"/>
    </row>
    <row r="19" spans="1:7" ht="24" customHeight="1">
      <c r="A19" s="61" t="s">
        <v>342</v>
      </c>
      <c r="B19" s="133">
        <v>109</v>
      </c>
    </row>
    <row r="20" spans="1:7" ht="24" customHeight="1">
      <c r="A20" s="61" t="s">
        <v>343</v>
      </c>
      <c r="B20" s="133">
        <v>190</v>
      </c>
    </row>
    <row r="21" spans="1:7" ht="24" customHeight="1">
      <c r="A21" s="61" t="s">
        <v>72</v>
      </c>
      <c r="B21" s="224">
        <v>0</v>
      </c>
    </row>
    <row r="22" spans="1:7" ht="24" customHeight="1">
      <c r="A22" s="61" t="s">
        <v>344</v>
      </c>
      <c r="B22" s="224">
        <v>0</v>
      </c>
    </row>
    <row r="23" spans="1:7" ht="24" customHeight="1">
      <c r="A23" s="225" t="s">
        <v>71</v>
      </c>
      <c r="B23" s="159">
        <v>46149.31</v>
      </c>
      <c r="C23" s="226">
        <f>B23-B41</f>
        <v>28857.309999999998</v>
      </c>
      <c r="D23" s="159"/>
    </row>
    <row r="24" spans="1:7" ht="24" customHeight="1">
      <c r="A24" s="225" t="s">
        <v>81</v>
      </c>
      <c r="B24" s="159">
        <v>45499.81</v>
      </c>
      <c r="C24" s="162"/>
    </row>
    <row r="25" spans="1:7" ht="24" customHeight="1">
      <c r="A25" s="61" t="s">
        <v>345</v>
      </c>
      <c r="B25" s="224">
        <v>5466.37</v>
      </c>
    </row>
    <row r="26" spans="1:7" ht="24" customHeight="1">
      <c r="A26" s="61" t="s">
        <v>346</v>
      </c>
      <c r="B26" s="117">
        <v>0.90549999999999997</v>
      </c>
    </row>
    <row r="27" spans="1:7" ht="24" customHeight="1">
      <c r="A27" s="61" t="s">
        <v>347</v>
      </c>
      <c r="B27" s="117">
        <f>B26</f>
        <v>0.90549999999999997</v>
      </c>
    </row>
    <row r="28" spans="1:7" ht="24" customHeight="1">
      <c r="A28" s="61" t="s">
        <v>348</v>
      </c>
      <c r="B28" s="133">
        <v>0</v>
      </c>
      <c r="C28" s="121"/>
    </row>
    <row r="29" spans="1:7" ht="24" customHeight="1">
      <c r="A29" s="61" t="s">
        <v>349</v>
      </c>
      <c r="B29" s="133">
        <v>0</v>
      </c>
    </row>
    <row r="30" spans="1:7" ht="24" customHeight="1">
      <c r="A30" s="61" t="s">
        <v>350</v>
      </c>
      <c r="B30" s="133">
        <v>0</v>
      </c>
    </row>
    <row r="31" spans="1:7" ht="24" customHeight="1">
      <c r="A31" s="67" t="s">
        <v>351</v>
      </c>
      <c r="B31" s="133">
        <v>0</v>
      </c>
    </row>
    <row r="32" spans="1:7" ht="24" customHeight="1">
      <c r="A32" s="61" t="s">
        <v>352</v>
      </c>
      <c r="B32" s="133">
        <v>5</v>
      </c>
    </row>
    <row r="33" spans="1:62" ht="24" customHeight="1">
      <c r="A33" s="1" t="s">
        <v>353</v>
      </c>
      <c r="B33" s="133">
        <v>0</v>
      </c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61" t="s">
        <v>354</v>
      </c>
      <c r="B34" s="133">
        <v>28</v>
      </c>
    </row>
    <row r="35" spans="1:62" ht="24" customHeight="1">
      <c r="A35" s="61" t="s">
        <v>355</v>
      </c>
      <c r="B35" s="133">
        <f>B34</f>
        <v>28</v>
      </c>
    </row>
    <row r="36" spans="1:62" ht="24" customHeight="1">
      <c r="A36" s="61" t="s">
        <v>356</v>
      </c>
      <c r="B36" s="133">
        <f>B35</f>
        <v>28</v>
      </c>
    </row>
    <row r="37" spans="1:62" ht="24" customHeight="1">
      <c r="A37" s="61" t="s">
        <v>357</v>
      </c>
      <c r="B37" s="117">
        <v>0</v>
      </c>
    </row>
    <row r="38" spans="1:62" ht="24" customHeight="1">
      <c r="A38" s="67" t="s">
        <v>358</v>
      </c>
      <c r="B38" s="224">
        <v>0</v>
      </c>
    </row>
    <row r="39" spans="1:62" ht="24" customHeight="1">
      <c r="A39" s="61" t="s">
        <v>359</v>
      </c>
      <c r="B39" s="224">
        <v>0</v>
      </c>
    </row>
    <row r="40" spans="1:62" ht="24" customHeight="1">
      <c r="A40" s="137" t="s">
        <v>360</v>
      </c>
      <c r="B40" s="117">
        <v>0</v>
      </c>
    </row>
    <row r="41" spans="1:62" ht="24" customHeight="1">
      <c r="A41" s="61" t="s">
        <v>361</v>
      </c>
      <c r="B41" s="227">
        <f>B11</f>
        <v>17292</v>
      </c>
    </row>
    <row r="42" spans="1:62" ht="24" customHeight="1">
      <c r="A42" s="1" t="s">
        <v>362</v>
      </c>
      <c r="B42" s="133">
        <v>239</v>
      </c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4" customHeight="1">
      <c r="A43" s="14"/>
      <c r="B43" s="17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31"/>
      <c r="B44" s="178"/>
    </row>
    <row r="45" spans="1:62" ht="24" customHeight="1">
      <c r="A45" s="14"/>
      <c r="B45" s="17"/>
    </row>
    <row r="46" spans="1:62" ht="24" customHeight="1">
      <c r="A46" s="14"/>
      <c r="B46" s="17" t="s">
        <v>36</v>
      </c>
    </row>
    <row r="47" spans="1:62" ht="24" customHeight="1">
      <c r="A47" s="14"/>
      <c r="B47" s="17"/>
    </row>
    <row r="48" spans="1:62" ht="24" customHeight="1">
      <c r="A48" s="14"/>
      <c r="B48" s="17"/>
    </row>
    <row r="49" spans="1:3" ht="24" customHeight="1">
      <c r="A49" s="14"/>
      <c r="B49" s="17"/>
    </row>
    <row r="50" spans="1:3" ht="24" customHeight="1">
      <c r="A50" s="14"/>
      <c r="B50" s="17"/>
    </row>
    <row r="51" spans="1:3" ht="24" customHeight="1">
      <c r="A51" s="18"/>
      <c r="B51" s="19"/>
      <c r="C51" s="121"/>
    </row>
    <row r="52" spans="1:3" ht="24" customHeight="1">
      <c r="A52" s="14"/>
      <c r="B52" s="17"/>
    </row>
    <row r="53" spans="1:3" ht="24" customHeight="1">
      <c r="A53" s="14"/>
      <c r="B53" s="17"/>
    </row>
    <row r="54" spans="1:3" ht="24" customHeight="1">
      <c r="A54" s="14"/>
      <c r="B54" s="17"/>
    </row>
    <row r="55" spans="1:3" ht="24" customHeight="1">
      <c r="A55" s="14"/>
      <c r="B55" s="17"/>
    </row>
    <row r="56" spans="1:3" ht="24" customHeight="1">
      <c r="A56" s="14"/>
      <c r="B56" s="17"/>
    </row>
    <row r="57" spans="1:3" ht="24" customHeight="1">
      <c r="A57" s="14"/>
      <c r="B57" s="17"/>
    </row>
    <row r="58" spans="1:3" ht="24" customHeight="1">
      <c r="A58" s="14"/>
      <c r="B58" s="17"/>
    </row>
    <row r="59" spans="1:3" ht="24" customHeight="1">
      <c r="A59" s="14"/>
      <c r="B59" s="17"/>
    </row>
    <row r="60" spans="1:3" ht="24" customHeight="1">
      <c r="A60" s="14"/>
      <c r="B60" s="17"/>
    </row>
    <row r="61" spans="1:3" ht="24" customHeight="1">
      <c r="A61" s="14"/>
      <c r="B61" s="17"/>
    </row>
    <row r="62" spans="1:3" ht="24" customHeight="1">
      <c r="A62" s="14"/>
      <c r="B62" s="17"/>
    </row>
    <row r="63" spans="1:3" ht="24" customHeight="1">
      <c r="A63" s="14"/>
      <c r="B63" s="17"/>
    </row>
    <row r="64" spans="1:3" ht="24" customHeight="1">
      <c r="A64" s="14"/>
      <c r="B64" s="17"/>
    </row>
    <row r="65" spans="1:2" ht="24" customHeight="1">
      <c r="A65" s="14"/>
      <c r="B65" s="35"/>
    </row>
    <row r="66" spans="1:2" ht="24" customHeight="1">
      <c r="A66" s="14"/>
      <c r="B66" s="35"/>
    </row>
    <row r="67" spans="1:2" ht="24" customHeight="1">
      <c r="A67" s="14"/>
      <c r="B67" s="35"/>
    </row>
    <row r="68" spans="1:2" ht="24" customHeight="1">
      <c r="A68" s="14"/>
      <c r="B68" s="35"/>
    </row>
    <row r="69" spans="1:2" ht="24" customHeight="1">
      <c r="A69" s="14"/>
      <c r="B69" s="35"/>
    </row>
    <row r="70" spans="1:2" ht="24" customHeight="1">
      <c r="A70" s="14"/>
      <c r="B70" s="17"/>
    </row>
    <row r="71" spans="1:2" ht="24" customHeight="1">
      <c r="A71" s="14"/>
      <c r="B71" s="17"/>
    </row>
    <row r="72" spans="1:2" ht="24" customHeight="1">
      <c r="A72" s="14"/>
      <c r="B72" s="17"/>
    </row>
    <row r="73" spans="1:2" ht="24" customHeight="1">
      <c r="A73" s="14"/>
      <c r="B73" s="17"/>
    </row>
    <row r="74" spans="1:2" ht="24" customHeight="1">
      <c r="A74" s="14"/>
      <c r="B74" s="17"/>
    </row>
    <row r="75" spans="1:2" ht="24" customHeight="1">
      <c r="A75" s="14"/>
      <c r="B75" s="17"/>
    </row>
    <row r="76" spans="1:2" ht="24" customHeight="1">
      <c r="A76" s="14"/>
      <c r="B76" s="17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BJ42"/>
  <sheetViews>
    <sheetView workbookViewId="0">
      <selection activeCell="A8" sqref="A8"/>
    </sheetView>
  </sheetViews>
  <sheetFormatPr defaultColWidth="11" defaultRowHeight="14.25"/>
  <cols>
    <col min="1" max="1" width="49.28515625" style="1" customWidth="1"/>
    <col min="2" max="2" width="23.42578125" style="2" customWidth="1"/>
    <col min="3" max="3" width="22" customWidth="1"/>
    <col min="4" max="5" width="14.8554687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/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61</v>
      </c>
      <c r="C6" s="9"/>
    </row>
    <row r="7" spans="1:10" ht="24" customHeight="1">
      <c r="A7" s="12" t="s">
        <v>6</v>
      </c>
      <c r="B7" s="13" t="s">
        <v>458</v>
      </c>
      <c r="C7" s="9"/>
    </row>
    <row r="8" spans="1:10" ht="24" customHeight="1">
      <c r="A8" s="40" t="s">
        <v>76</v>
      </c>
      <c r="B8" s="41">
        <v>32328.26</v>
      </c>
      <c r="C8" s="14"/>
    </row>
    <row r="9" spans="1:10" ht="24" customHeight="1">
      <c r="A9" s="40" t="s">
        <v>333</v>
      </c>
      <c r="B9" s="41">
        <v>29440.400000000001</v>
      </c>
      <c r="C9" s="14"/>
    </row>
    <row r="10" spans="1:10" ht="24" customHeight="1">
      <c r="A10" s="40" t="s">
        <v>334</v>
      </c>
      <c r="B10" s="41">
        <v>29440.400000000001</v>
      </c>
      <c r="C10" s="14"/>
    </row>
    <row r="11" spans="1:10" ht="24" customHeight="1">
      <c r="A11" s="40" t="s">
        <v>90</v>
      </c>
      <c r="B11" s="41">
        <v>7893</v>
      </c>
      <c r="C11" s="14"/>
    </row>
    <row r="12" spans="1:10" ht="24" customHeight="1">
      <c r="A12" s="40" t="s">
        <v>335</v>
      </c>
      <c r="B12" s="41">
        <v>0</v>
      </c>
      <c r="C12" s="14"/>
    </row>
    <row r="13" spans="1:10" ht="24" customHeight="1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4" customHeight="1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4" customHeight="1">
      <c r="A15" s="40" t="s">
        <v>338</v>
      </c>
      <c r="B15" s="45">
        <v>34686</v>
      </c>
      <c r="C15" s="9"/>
      <c r="D15" s="16"/>
      <c r="E15" s="16"/>
      <c r="F15" s="16"/>
      <c r="G15" s="16"/>
    </row>
    <row r="16" spans="1:10" ht="24" customHeight="1">
      <c r="A16" s="40" t="s">
        <v>339</v>
      </c>
      <c r="B16" s="45">
        <v>11366</v>
      </c>
      <c r="C16" s="9"/>
      <c r="D16" s="16"/>
      <c r="E16" s="16"/>
      <c r="F16" s="16"/>
      <c r="G16" s="16"/>
    </row>
    <row r="17" spans="1:7" ht="24" customHeight="1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4" customHeight="1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4" customHeight="1">
      <c r="A19" s="40" t="s">
        <v>342</v>
      </c>
      <c r="B19" s="45">
        <v>0</v>
      </c>
      <c r="C19" s="9"/>
    </row>
    <row r="20" spans="1:7" ht="24" customHeight="1">
      <c r="A20" s="40" t="s">
        <v>343</v>
      </c>
      <c r="B20" s="228">
        <v>1754</v>
      </c>
      <c r="C20" s="9"/>
    </row>
    <row r="21" spans="1:7" ht="24" customHeight="1">
      <c r="A21" s="40" t="s">
        <v>72</v>
      </c>
      <c r="B21" s="224">
        <v>0</v>
      </c>
      <c r="C21" s="65"/>
    </row>
    <row r="22" spans="1:7" ht="24" customHeight="1">
      <c r="A22" s="40" t="s">
        <v>344</v>
      </c>
      <c r="B22" s="224">
        <v>0</v>
      </c>
      <c r="C22" s="62"/>
    </row>
    <row r="23" spans="1:7" ht="24" customHeight="1">
      <c r="A23" s="158" t="s">
        <v>71</v>
      </c>
      <c r="B23" s="159">
        <v>17043.89</v>
      </c>
      <c r="C23" s="159">
        <f>B23-B41</f>
        <v>9150.89</v>
      </c>
      <c r="F23" s="43">
        <f>+B23-B41</f>
        <v>9150.89</v>
      </c>
    </row>
    <row r="24" spans="1:7" ht="24" customHeight="1">
      <c r="A24" s="158" t="s">
        <v>81</v>
      </c>
      <c r="B24" s="159">
        <v>14156.03</v>
      </c>
      <c r="C24" s="162"/>
    </row>
    <row r="25" spans="1:7" ht="24" customHeight="1">
      <c r="A25" s="40" t="s">
        <v>345</v>
      </c>
      <c r="B25" s="229">
        <v>2887.86</v>
      </c>
      <c r="C25" s="27"/>
    </row>
    <row r="26" spans="1:7" ht="24" customHeight="1">
      <c r="A26" s="40" t="s">
        <v>346</v>
      </c>
      <c r="B26" s="44">
        <v>0.91059999999999997</v>
      </c>
      <c r="C26" s="9"/>
    </row>
    <row r="27" spans="1:7" ht="24" customHeight="1">
      <c r="A27" s="40" t="s">
        <v>347</v>
      </c>
      <c r="B27" s="44">
        <v>0.91059999999999997</v>
      </c>
      <c r="C27" s="9"/>
    </row>
    <row r="28" spans="1:7" ht="24" customHeight="1">
      <c r="A28" s="40" t="s">
        <v>348</v>
      </c>
      <c r="B28" s="45">
        <v>0</v>
      </c>
      <c r="C28" s="20"/>
    </row>
    <row r="29" spans="1:7" ht="24" customHeight="1">
      <c r="A29" s="40" t="s">
        <v>349</v>
      </c>
      <c r="B29" s="45">
        <v>0</v>
      </c>
      <c r="C29" s="9"/>
    </row>
    <row r="30" spans="1:7" ht="24" customHeight="1">
      <c r="A30" s="40" t="s">
        <v>350</v>
      </c>
      <c r="B30" s="45">
        <v>0</v>
      </c>
      <c r="C30" s="9"/>
    </row>
    <row r="31" spans="1:7" ht="24" customHeight="1">
      <c r="A31" s="40" t="s">
        <v>351</v>
      </c>
      <c r="B31" s="45">
        <v>0</v>
      </c>
      <c r="C31" s="24"/>
    </row>
    <row r="32" spans="1:7" ht="24" customHeight="1">
      <c r="A32" s="40" t="s">
        <v>352</v>
      </c>
      <c r="B32" s="45">
        <v>3</v>
      </c>
      <c r="C32" s="9"/>
    </row>
    <row r="33" spans="1:62" ht="24" customHeight="1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40" t="s">
        <v>354</v>
      </c>
      <c r="B34" s="45">
        <v>693</v>
      </c>
      <c r="C34" s="27"/>
    </row>
    <row r="35" spans="1:62" ht="24" customHeight="1">
      <c r="A35" s="40" t="s">
        <v>355</v>
      </c>
      <c r="B35" s="45">
        <f>B34</f>
        <v>693</v>
      </c>
      <c r="C35" s="9"/>
    </row>
    <row r="36" spans="1:62" ht="24" customHeight="1">
      <c r="A36" s="40" t="s">
        <v>356</v>
      </c>
      <c r="B36" s="45">
        <v>615</v>
      </c>
      <c r="C36" s="9"/>
    </row>
    <row r="37" spans="1:62" ht="24" customHeight="1">
      <c r="A37" s="40" t="s">
        <v>357</v>
      </c>
      <c r="B37" s="44">
        <v>0</v>
      </c>
      <c r="C37" s="9"/>
    </row>
    <row r="38" spans="1:62" ht="24" customHeight="1">
      <c r="A38" s="40" t="s">
        <v>358</v>
      </c>
      <c r="B38" s="41">
        <v>0</v>
      </c>
      <c r="C38" s="9"/>
    </row>
    <row r="39" spans="1:62" ht="24" customHeight="1">
      <c r="A39" s="40" t="s">
        <v>359</v>
      </c>
      <c r="B39" s="41">
        <v>0</v>
      </c>
      <c r="C39" s="9"/>
    </row>
    <row r="40" spans="1:62" ht="24" customHeight="1">
      <c r="A40" s="40" t="s">
        <v>360</v>
      </c>
      <c r="B40" s="44">
        <v>0</v>
      </c>
      <c r="C40" s="9"/>
    </row>
    <row r="41" spans="1:62" ht="24" customHeight="1">
      <c r="A41" s="40" t="s">
        <v>361</v>
      </c>
      <c r="B41" s="51">
        <v>7893</v>
      </c>
      <c r="C41" s="24"/>
    </row>
    <row r="42" spans="1:62" ht="24" customHeight="1">
      <c r="A42" s="40" t="s">
        <v>362</v>
      </c>
      <c r="B42" s="45">
        <v>313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indexed="11"/>
  </sheetPr>
  <dimension ref="A1:BI77"/>
  <sheetViews>
    <sheetView zoomScale="110" zoomScaleNormal="110" workbookViewId="0">
      <pane xSplit="2" ySplit="7" topLeftCell="C8" activePane="bottomRight" state="frozen"/>
      <selection activeCell="A8" sqref="A8"/>
      <selection pane="topRight" activeCell="A8" sqref="A8"/>
      <selection pane="bottomLeft" activeCell="A8" sqref="A8"/>
      <selection pane="bottomRight" activeCell="A8" sqref="A8"/>
    </sheetView>
  </sheetViews>
  <sheetFormatPr defaultColWidth="11" defaultRowHeight="14.25"/>
  <cols>
    <col min="1" max="1" width="41" style="1" customWidth="1"/>
    <col min="2" max="2" width="30" style="2" customWidth="1"/>
    <col min="3" max="3" width="26.42578125" customWidth="1"/>
    <col min="4" max="191" width="11.42578125" customWidth="1"/>
    <col min="192" max="192" width="31.5703125" customWidth="1"/>
    <col min="193" max="193" width="30" customWidth="1"/>
    <col min="194" max="194" width="4.85546875" customWidth="1"/>
    <col min="195" max="195" width="2.28515625" customWidth="1"/>
    <col min="196" max="200" width="0" hidden="1" customWidth="1"/>
    <col min="201" max="201" width="0.42578125" customWidth="1"/>
    <col min="202" max="209" width="3.85546875" customWidth="1"/>
    <col min="210" max="210" width="0.42578125" customWidth="1"/>
    <col min="211" max="211" width="3" customWidth="1"/>
    <col min="212" max="218" width="3.140625" customWidth="1"/>
    <col min="219" max="219" width="0.42578125" customWidth="1"/>
    <col min="220" max="227" width="3.140625" customWidth="1"/>
    <col min="228" max="228" width="0.42578125" customWidth="1"/>
    <col min="229" max="234" width="3.140625" customWidth="1"/>
    <col min="235" max="235" width="3.28515625" customWidth="1"/>
    <col min="236" max="236" width="3.7109375" customWidth="1"/>
    <col min="237" max="237" width="0.85546875" customWidth="1"/>
    <col min="238" max="244" width="3.140625" customWidth="1"/>
    <col min="245" max="245" width="0.42578125" customWidth="1"/>
    <col min="246" max="253" width="3.140625" customWidth="1"/>
    <col min="254" max="254" width="0.28515625" customWidth="1"/>
  </cols>
  <sheetData>
    <row r="1" spans="1:9">
      <c r="A1" s="3"/>
      <c r="B1" s="4"/>
      <c r="I1" t="s">
        <v>69</v>
      </c>
    </row>
    <row r="2" spans="1:9" ht="15">
      <c r="A2" s="6" t="s">
        <v>0</v>
      </c>
      <c r="B2" s="7" t="s">
        <v>70</v>
      </c>
    </row>
    <row r="3" spans="1:9" ht="15">
      <c r="A3" s="6"/>
      <c r="B3" s="7" t="s">
        <v>368</v>
      </c>
    </row>
    <row r="4" spans="1:9" ht="24" customHeight="1">
      <c r="A4" s="6" t="s">
        <v>4</v>
      </c>
      <c r="B4" s="10">
        <v>1</v>
      </c>
    </row>
    <row r="5" spans="1:9" ht="24" customHeight="1"/>
    <row r="6" spans="1:9" ht="24" customHeight="1">
      <c r="A6" s="11" t="s">
        <v>5</v>
      </c>
      <c r="B6" s="38">
        <v>49</v>
      </c>
    </row>
    <row r="7" spans="1:9" ht="24" customHeight="1">
      <c r="A7" s="12" t="s">
        <v>6</v>
      </c>
      <c r="B7" s="223"/>
    </row>
    <row r="8" spans="1:9" ht="24" customHeight="1">
      <c r="A8" s="61" t="s">
        <v>76</v>
      </c>
      <c r="B8" s="224">
        <v>71083.44</v>
      </c>
    </row>
    <row r="9" spans="1:9" ht="24" customHeight="1">
      <c r="A9" s="61" t="s">
        <v>446</v>
      </c>
      <c r="B9" s="224">
        <v>57999.75</v>
      </c>
    </row>
    <row r="10" spans="1:9" ht="24" customHeight="1">
      <c r="A10" s="61" t="s">
        <v>333</v>
      </c>
      <c r="B10" s="224">
        <v>67681.759999999995</v>
      </c>
    </row>
    <row r="11" spans="1:9" ht="24" customHeight="1">
      <c r="A11" s="61" t="s">
        <v>334</v>
      </c>
      <c r="B11" s="224">
        <f>B10</f>
        <v>67681.759999999995</v>
      </c>
    </row>
    <row r="12" spans="1:9" ht="24" customHeight="1">
      <c r="A12" s="61" t="s">
        <v>90</v>
      </c>
      <c r="B12" s="224">
        <v>29136</v>
      </c>
    </row>
    <row r="13" spans="1:9" ht="24" customHeight="1">
      <c r="A13" s="61" t="s">
        <v>335</v>
      </c>
      <c r="B13" s="224">
        <v>0</v>
      </c>
    </row>
    <row r="14" spans="1:9" ht="24" customHeight="1">
      <c r="A14" s="61" t="s">
        <v>336</v>
      </c>
      <c r="B14" s="224">
        <v>0</v>
      </c>
      <c r="C14" s="16"/>
      <c r="D14" s="16"/>
      <c r="E14" s="16"/>
      <c r="F14" s="16"/>
    </row>
    <row r="15" spans="1:9" ht="24" customHeight="1">
      <c r="A15" s="61" t="s">
        <v>337</v>
      </c>
      <c r="B15" s="224">
        <v>0</v>
      </c>
      <c r="C15" s="16"/>
      <c r="D15" s="16"/>
      <c r="E15" s="16"/>
      <c r="F15" s="16"/>
    </row>
    <row r="16" spans="1:9" ht="24" customHeight="1">
      <c r="A16" s="61" t="s">
        <v>338</v>
      </c>
      <c r="B16" s="133">
        <v>107920</v>
      </c>
      <c r="C16" s="16"/>
      <c r="D16" s="16"/>
      <c r="E16" s="16"/>
      <c r="F16" s="16"/>
    </row>
    <row r="17" spans="1:7" ht="24" customHeight="1">
      <c r="A17" s="61" t="s">
        <v>339</v>
      </c>
      <c r="B17" s="133">
        <v>28071</v>
      </c>
      <c r="C17" s="16"/>
      <c r="D17" s="16"/>
      <c r="E17" s="16"/>
      <c r="F17" s="16"/>
    </row>
    <row r="18" spans="1:7" ht="24" customHeight="1">
      <c r="A18" s="61" t="s">
        <v>340</v>
      </c>
      <c r="B18" s="224">
        <v>0</v>
      </c>
      <c r="C18" s="16"/>
      <c r="D18" s="16"/>
      <c r="E18" s="16"/>
      <c r="F18" s="16"/>
    </row>
    <row r="19" spans="1:7" ht="24" customHeight="1">
      <c r="A19" s="61" t="s">
        <v>341</v>
      </c>
      <c r="B19" s="224">
        <v>0</v>
      </c>
      <c r="C19" s="16"/>
      <c r="D19" s="16"/>
      <c r="E19" s="16"/>
      <c r="F19" s="16"/>
    </row>
    <row r="20" spans="1:7" ht="24" customHeight="1">
      <c r="A20" s="61" t="s">
        <v>342</v>
      </c>
      <c r="B20" s="133">
        <v>238</v>
      </c>
    </row>
    <row r="21" spans="1:7" ht="24" customHeight="1">
      <c r="A21" s="61" t="s">
        <v>343</v>
      </c>
      <c r="B21" s="133">
        <v>1201</v>
      </c>
    </row>
    <row r="22" spans="1:7" ht="24" customHeight="1">
      <c r="A22" s="61" t="s">
        <v>72</v>
      </c>
      <c r="B22" s="224">
        <v>0</v>
      </c>
    </row>
    <row r="23" spans="1:7" ht="24" customHeight="1">
      <c r="A23" s="61" t="s">
        <v>344</v>
      </c>
      <c r="B23" s="224">
        <v>0</v>
      </c>
    </row>
    <row r="24" spans="1:7" ht="24" customHeight="1">
      <c r="A24" s="225" t="s">
        <v>71</v>
      </c>
      <c r="B24" s="159">
        <v>50133.73</v>
      </c>
      <c r="C24" s="159">
        <f>B24-B42</f>
        <v>20997.730000000003</v>
      </c>
    </row>
    <row r="25" spans="1:7" ht="24" customHeight="1">
      <c r="A25" s="225" t="s">
        <v>81</v>
      </c>
      <c r="B25" s="159">
        <v>46732.05</v>
      </c>
    </row>
    <row r="26" spans="1:7" ht="24" customHeight="1">
      <c r="A26" s="61" t="s">
        <v>345</v>
      </c>
      <c r="B26" s="224">
        <v>13083.69</v>
      </c>
    </row>
    <row r="27" spans="1:7" ht="24" customHeight="1">
      <c r="A27" s="61" t="s">
        <v>346</v>
      </c>
      <c r="B27" s="117">
        <v>0.81610000000000005</v>
      </c>
    </row>
    <row r="28" spans="1:7" ht="24" customHeight="1">
      <c r="A28" s="61" t="s">
        <v>347</v>
      </c>
      <c r="B28" s="117">
        <f>B27</f>
        <v>0.81610000000000005</v>
      </c>
    </row>
    <row r="29" spans="1:7" ht="24" customHeight="1">
      <c r="A29" s="61" t="s">
        <v>348</v>
      </c>
      <c r="B29" s="133">
        <v>0</v>
      </c>
    </row>
    <row r="30" spans="1:7" ht="24" customHeight="1">
      <c r="A30" s="61" t="s">
        <v>349</v>
      </c>
      <c r="B30" s="133">
        <v>0</v>
      </c>
    </row>
    <row r="31" spans="1:7" ht="24" customHeight="1">
      <c r="A31" s="61" t="s">
        <v>350</v>
      </c>
      <c r="B31" s="133">
        <v>0</v>
      </c>
    </row>
    <row r="32" spans="1:7" ht="24" customHeight="1">
      <c r="A32" s="67" t="s">
        <v>351</v>
      </c>
      <c r="B32" s="133">
        <v>0</v>
      </c>
      <c r="G32">
        <v>1</v>
      </c>
    </row>
    <row r="33" spans="1:61" ht="24" customHeight="1">
      <c r="A33" s="61" t="s">
        <v>352</v>
      </c>
      <c r="B33" s="133">
        <v>27</v>
      </c>
    </row>
    <row r="34" spans="1:61" ht="24" customHeight="1">
      <c r="A34" s="1" t="s">
        <v>353</v>
      </c>
      <c r="B34" s="133">
        <v>0</v>
      </c>
      <c r="BA34" s="28"/>
      <c r="BB34" s="16"/>
      <c r="BC34" s="16"/>
      <c r="BD34" s="16"/>
      <c r="BE34" s="16"/>
      <c r="BF34" s="16"/>
      <c r="BG34" s="16"/>
      <c r="BH34" s="16"/>
      <c r="BI34" s="16"/>
    </row>
    <row r="35" spans="1:61" ht="24" customHeight="1">
      <c r="A35" s="61" t="s">
        <v>354</v>
      </c>
      <c r="B35" s="133">
        <v>355</v>
      </c>
    </row>
    <row r="36" spans="1:61" ht="24" customHeight="1">
      <c r="A36" s="61" t="s">
        <v>355</v>
      </c>
      <c r="B36" s="133">
        <f>B35</f>
        <v>355</v>
      </c>
    </row>
    <row r="37" spans="1:61" ht="24" customHeight="1">
      <c r="A37" s="61" t="s">
        <v>356</v>
      </c>
      <c r="B37" s="133">
        <v>349</v>
      </c>
    </row>
    <row r="38" spans="1:61" ht="24" customHeight="1">
      <c r="A38" s="61" t="s">
        <v>357</v>
      </c>
      <c r="B38" s="117">
        <v>0</v>
      </c>
    </row>
    <row r="39" spans="1:61" ht="24" customHeight="1">
      <c r="A39" s="67" t="s">
        <v>358</v>
      </c>
      <c r="B39" s="224">
        <v>0</v>
      </c>
    </row>
    <row r="40" spans="1:61" ht="24" customHeight="1">
      <c r="A40" s="61" t="s">
        <v>359</v>
      </c>
      <c r="B40" s="224">
        <v>0</v>
      </c>
    </row>
    <row r="41" spans="1:61" ht="24" customHeight="1">
      <c r="A41" s="137" t="s">
        <v>360</v>
      </c>
      <c r="B41" s="117">
        <v>0</v>
      </c>
    </row>
    <row r="42" spans="1:61" ht="24" customHeight="1">
      <c r="A42" s="61" t="s">
        <v>361</v>
      </c>
      <c r="B42" s="227">
        <v>29136</v>
      </c>
    </row>
    <row r="43" spans="1:61" ht="24" customHeight="1">
      <c r="A43" s="1" t="s">
        <v>362</v>
      </c>
      <c r="B43" s="133">
        <v>821</v>
      </c>
      <c r="BA43" s="28"/>
      <c r="BB43" s="16"/>
      <c r="BC43" s="16"/>
      <c r="BD43" s="16"/>
      <c r="BE43" s="16"/>
      <c r="BF43" s="16"/>
      <c r="BG43" s="16"/>
      <c r="BH43" s="16"/>
      <c r="BI43" s="16"/>
    </row>
    <row r="44" spans="1:61" ht="24" customHeight="1">
      <c r="A44" s="61"/>
      <c r="B44" s="29"/>
      <c r="BA44" s="16"/>
      <c r="BB44" s="16"/>
      <c r="BC44" s="16"/>
      <c r="BD44" s="16"/>
      <c r="BE44" s="16"/>
      <c r="BF44" s="16"/>
      <c r="BG44" s="16"/>
      <c r="BH44" s="16"/>
      <c r="BI44" s="16"/>
    </row>
    <row r="45" spans="1:61" ht="24" customHeight="1">
      <c r="A45" s="230"/>
      <c r="B45" s="29"/>
    </row>
    <row r="46" spans="1:61" ht="24" customHeight="1">
      <c r="A46" s="61"/>
      <c r="B46" s="29"/>
    </row>
    <row r="47" spans="1:61" ht="24" customHeight="1">
      <c r="A47" s="61"/>
      <c r="B47" s="29"/>
    </row>
    <row r="48" spans="1:61" ht="24" customHeight="1">
      <c r="A48" s="61"/>
      <c r="B48" s="29"/>
    </row>
    <row r="49" spans="1:2" ht="24" customHeight="1">
      <c r="A49" s="61"/>
      <c r="B49" s="29"/>
    </row>
    <row r="50" spans="1:2" ht="24" customHeight="1">
      <c r="A50" s="61"/>
      <c r="B50" s="29"/>
    </row>
    <row r="51" spans="1:2" ht="24" customHeight="1">
      <c r="A51" s="61"/>
      <c r="B51" s="29"/>
    </row>
    <row r="52" spans="1:2" ht="24" customHeight="1">
      <c r="A52" s="231"/>
      <c r="B52" s="232"/>
    </row>
    <row r="53" spans="1:2" ht="24" customHeight="1">
      <c r="A53" s="61"/>
      <c r="B53" s="29"/>
    </row>
    <row r="54" spans="1:2" ht="24" customHeight="1">
      <c r="A54" s="61"/>
      <c r="B54" s="29"/>
    </row>
    <row r="55" spans="1:2" ht="24" customHeight="1">
      <c r="A55" s="61"/>
      <c r="B55" s="29"/>
    </row>
    <row r="56" spans="1:2" ht="24" customHeight="1">
      <c r="A56" s="61"/>
      <c r="B56" s="29"/>
    </row>
    <row r="57" spans="1:2" ht="24" customHeight="1">
      <c r="A57" s="61"/>
      <c r="B57" s="29"/>
    </row>
    <row r="58" spans="1:2" ht="24" customHeight="1">
      <c r="A58" s="61"/>
      <c r="B58" s="29"/>
    </row>
    <row r="59" spans="1:2" ht="24" customHeight="1">
      <c r="A59" s="61"/>
      <c r="B59" s="29"/>
    </row>
    <row r="60" spans="1:2" ht="24" customHeight="1">
      <c r="A60" s="61"/>
      <c r="B60" s="29"/>
    </row>
    <row r="61" spans="1:2" ht="24" customHeight="1">
      <c r="A61" s="61"/>
      <c r="B61" s="29"/>
    </row>
    <row r="62" spans="1:2" ht="24" customHeight="1">
      <c r="A62" s="61"/>
      <c r="B62" s="29"/>
    </row>
    <row r="63" spans="1:2" ht="24" customHeight="1">
      <c r="A63" s="61"/>
      <c r="B63" s="29"/>
    </row>
    <row r="64" spans="1:2" ht="24" customHeight="1">
      <c r="A64" s="61"/>
      <c r="B64" s="29"/>
    </row>
    <row r="65" spans="1:2" ht="24" customHeight="1">
      <c r="A65" s="61"/>
      <c r="B65" s="29"/>
    </row>
    <row r="66" spans="1:2" ht="24" customHeight="1">
      <c r="A66" s="61"/>
      <c r="B66" s="133">
        <v>363</v>
      </c>
    </row>
    <row r="67" spans="1:2" ht="24" customHeight="1">
      <c r="A67" s="61"/>
      <c r="B67" s="133"/>
    </row>
    <row r="68" spans="1:2" ht="24" customHeight="1">
      <c r="A68" s="61"/>
      <c r="B68" s="133"/>
    </row>
    <row r="69" spans="1:2" ht="24" customHeight="1">
      <c r="A69" s="61"/>
      <c r="B69" s="133"/>
    </row>
    <row r="70" spans="1:2" ht="24" customHeight="1">
      <c r="A70" s="61"/>
      <c r="B70" s="133"/>
    </row>
    <row r="71" spans="1:2" ht="24" customHeight="1">
      <c r="A71" s="61"/>
      <c r="B71" s="29"/>
    </row>
    <row r="72" spans="1:2" ht="24" customHeight="1">
      <c r="A72" s="61"/>
      <c r="B72" s="29"/>
    </row>
    <row r="73" spans="1:2" ht="24" customHeight="1">
      <c r="A73" s="61"/>
      <c r="B73" s="29"/>
    </row>
    <row r="74" spans="1:2" ht="24" customHeight="1">
      <c r="A74" s="61"/>
      <c r="B74" s="29"/>
    </row>
    <row r="75" spans="1:2" ht="24" customHeight="1">
      <c r="A75" s="61"/>
      <c r="B75" s="29"/>
    </row>
    <row r="76" spans="1:2" ht="24" customHeight="1">
      <c r="A76" s="61"/>
      <c r="B76" s="29"/>
    </row>
    <row r="77" spans="1:2" ht="24" customHeight="1">
      <c r="A77" s="61"/>
      <c r="B77" s="2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indexed="50"/>
  </sheetPr>
  <dimension ref="A1:BJ77"/>
  <sheetViews>
    <sheetView workbookViewId="0">
      <pane ySplit="7" topLeftCell="A44" activePane="bottomLeft" state="frozen"/>
      <selection activeCell="A8" sqref="A8"/>
      <selection pane="bottomLeft" activeCell="A8" sqref="A8"/>
    </sheetView>
  </sheetViews>
  <sheetFormatPr defaultColWidth="11" defaultRowHeight="14.25"/>
  <cols>
    <col min="1" max="1" width="44.140625" style="1" customWidth="1"/>
    <col min="2" max="2" width="34.42578125" customWidth="1"/>
    <col min="3" max="3" width="4.85546875" customWidth="1"/>
    <col min="4" max="4" width="3.85546875" customWidth="1"/>
    <col min="5" max="5" width="8.140625" customWidth="1"/>
    <col min="6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233"/>
      <c r="B1" s="234"/>
      <c r="C1" s="234"/>
    </row>
    <row r="2" spans="1:62" ht="15">
      <c r="A2" s="6" t="s">
        <v>0</v>
      </c>
      <c r="B2" s="71" t="s">
        <v>111</v>
      </c>
      <c r="C2" s="111" t="s">
        <v>459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v>0.01</v>
      </c>
      <c r="C4" s="111" t="s">
        <v>222</v>
      </c>
    </row>
    <row r="5" spans="1:62" ht="12.75" customHeight="1"/>
    <row r="6" spans="1:62" ht="23.25">
      <c r="A6" s="11" t="s">
        <v>5</v>
      </c>
      <c r="B6" s="74">
        <v>26</v>
      </c>
    </row>
    <row r="7" spans="1:62" ht="24" customHeight="1">
      <c r="A7" s="12" t="s">
        <v>6</v>
      </c>
      <c r="B7" s="112" t="s">
        <v>460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271424221</v>
      </c>
      <c r="C8" s="9"/>
      <c r="BB8" s="116"/>
    </row>
    <row r="9" spans="1:62" ht="24" customHeight="1">
      <c r="A9" s="14" t="s">
        <v>12</v>
      </c>
      <c r="B9" s="115">
        <v>257698492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63" t="s">
        <v>461</v>
      </c>
      <c r="B10" s="115">
        <f>B9</f>
        <v>257698492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462</v>
      </c>
      <c r="B11" s="115">
        <f>B10</f>
        <v>257698492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463</v>
      </c>
      <c r="B12" s="115">
        <v>0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464</v>
      </c>
      <c r="B13" s="115">
        <v>0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A14" s="63" t="s">
        <v>465</v>
      </c>
      <c r="B14" s="115">
        <v>0</v>
      </c>
      <c r="C14" s="9"/>
      <c r="BB14" s="116"/>
    </row>
    <row r="15" spans="1:62" ht="24" customHeight="1">
      <c r="A15" s="14" t="s">
        <v>462</v>
      </c>
      <c r="B15" s="115">
        <f>B14</f>
        <v>0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4" t="s">
        <v>464</v>
      </c>
      <c r="B16" s="115">
        <v>0</v>
      </c>
      <c r="C16" s="9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4"/>
      <c r="B17" s="115"/>
      <c r="C17" s="9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175</v>
      </c>
      <c r="B18" s="117"/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4" t="s">
        <v>227</v>
      </c>
      <c r="B19" s="117">
        <v>5.0500000000000003E-2</v>
      </c>
      <c r="C19" s="9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466</v>
      </c>
      <c r="B20" s="117">
        <v>0.94940000000000002</v>
      </c>
      <c r="C20" s="9"/>
      <c r="BB20" s="28"/>
      <c r="BC20" s="16"/>
      <c r="BD20" s="16"/>
      <c r="BE20" s="16"/>
      <c r="BF20" s="16"/>
      <c r="BG20" s="16"/>
      <c r="BH20" s="16"/>
      <c r="BI20" s="16"/>
      <c r="BJ20" s="16"/>
    </row>
    <row r="21" spans="1:62" ht="24" customHeight="1">
      <c r="A21" s="14"/>
      <c r="B21" s="235"/>
      <c r="C21" s="9"/>
      <c r="BB21" s="28"/>
      <c r="BC21" s="16"/>
      <c r="BD21" s="16"/>
      <c r="BE21" s="16"/>
      <c r="BF21" s="16"/>
      <c r="BG21" s="16"/>
      <c r="BH21" s="16"/>
      <c r="BI21" s="16"/>
      <c r="BJ21" s="16"/>
    </row>
    <row r="22" spans="1:62" ht="24" customHeight="1">
      <c r="A22" s="14" t="s">
        <v>243</v>
      </c>
      <c r="B22" s="117">
        <f>B19</f>
        <v>5.0500000000000003E-2</v>
      </c>
      <c r="C22" s="9"/>
      <c r="BB22" s="28"/>
      <c r="BC22" s="16"/>
      <c r="BD22" s="16"/>
      <c r="BE22" s="16"/>
      <c r="BF22" s="16"/>
      <c r="BG22" s="16"/>
      <c r="BH22" s="16"/>
      <c r="BI22" s="16"/>
      <c r="BJ22" s="16"/>
    </row>
    <row r="23" spans="1:62" ht="24" customHeight="1">
      <c r="A23" s="14" t="s">
        <v>467</v>
      </c>
      <c r="B23" s="117">
        <f>B20</f>
        <v>0.94940000000000002</v>
      </c>
      <c r="C23" s="9"/>
      <c r="BB23" s="28"/>
      <c r="BC23" s="16"/>
      <c r="BD23" s="16"/>
      <c r="BE23" s="16"/>
      <c r="BF23" s="16"/>
      <c r="BG23" s="16"/>
      <c r="BH23" s="16"/>
      <c r="BI23" s="16"/>
      <c r="BJ23" s="16"/>
    </row>
    <row r="24" spans="1:62" ht="10.5" customHeight="1">
      <c r="A24" s="18"/>
      <c r="B24" s="236"/>
      <c r="C24" s="122"/>
      <c r="BB24" s="28"/>
      <c r="BC24" s="16"/>
      <c r="BD24" s="16"/>
      <c r="BE24" s="16"/>
      <c r="BF24" s="16"/>
      <c r="BG24" s="16"/>
      <c r="BH24" s="16"/>
      <c r="BI24" s="16"/>
      <c r="BJ24" s="16"/>
    </row>
    <row r="25" spans="1:62" ht="24" customHeight="1">
      <c r="A25" s="63" t="s">
        <v>24</v>
      </c>
      <c r="B25" s="115">
        <v>52917090</v>
      </c>
      <c r="C25" s="9"/>
      <c r="BB25" s="28"/>
    </row>
    <row r="26" spans="1:62" ht="24" customHeight="1">
      <c r="A26" s="14" t="s">
        <v>212</v>
      </c>
      <c r="B26" s="115">
        <v>0</v>
      </c>
      <c r="C26" s="9"/>
      <c r="BB26" s="28"/>
    </row>
    <row r="27" spans="1:62" ht="24" customHeight="1">
      <c r="A27" s="14" t="s">
        <v>468</v>
      </c>
      <c r="B27" s="115">
        <v>37511500</v>
      </c>
      <c r="C27" s="9"/>
      <c r="BB27" s="28"/>
      <c r="BC27" s="16"/>
      <c r="BD27" s="16"/>
      <c r="BE27" s="16"/>
      <c r="BF27" s="16"/>
      <c r="BG27" s="16"/>
      <c r="BH27" s="16"/>
      <c r="BI27" s="16"/>
      <c r="BJ27" s="16"/>
    </row>
    <row r="28" spans="1:62" ht="24" customHeight="1">
      <c r="A28" s="14" t="s">
        <v>183</v>
      </c>
      <c r="B28" s="115">
        <v>15405590</v>
      </c>
      <c r="C28" s="9"/>
      <c r="BB28" s="28"/>
    </row>
    <row r="29" spans="1:62" ht="24" customHeight="1">
      <c r="A29" s="14" t="s">
        <v>99</v>
      </c>
      <c r="B29" s="115"/>
      <c r="C29" s="9"/>
      <c r="BB29" s="28"/>
    </row>
    <row r="30" spans="1:62" ht="24" customHeight="1">
      <c r="A30" s="63" t="s">
        <v>37</v>
      </c>
      <c r="B30" s="115">
        <v>39018244</v>
      </c>
      <c r="C30" s="9"/>
      <c r="BB30" s="28"/>
    </row>
    <row r="31" spans="1:62" ht="24" customHeight="1">
      <c r="A31" s="14" t="s">
        <v>213</v>
      </c>
      <c r="B31" s="115">
        <v>0</v>
      </c>
      <c r="C31" s="9"/>
      <c r="BB31" s="28"/>
    </row>
    <row r="32" spans="1:62" ht="24" customHeight="1">
      <c r="A32" s="14" t="s">
        <v>41</v>
      </c>
      <c r="B32" s="115">
        <v>0</v>
      </c>
      <c r="C32" s="9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44</v>
      </c>
      <c r="B33" s="115">
        <v>38988943</v>
      </c>
      <c r="C33" s="9"/>
      <c r="BB33" s="28"/>
    </row>
    <row r="34" spans="1:62" ht="24" customHeight="1">
      <c r="A34" s="14" t="s">
        <v>469</v>
      </c>
      <c r="B34" s="115">
        <v>0</v>
      </c>
      <c r="C34" s="9"/>
      <c r="E34" t="b">
        <f>B30=B34+B35</f>
        <v>0</v>
      </c>
      <c r="BB34" s="28"/>
    </row>
    <row r="35" spans="1:62" ht="24" customHeight="1">
      <c r="A35" s="14" t="s">
        <v>118</v>
      </c>
      <c r="B35" s="115">
        <v>29301</v>
      </c>
      <c r="C35" s="9"/>
      <c r="BB35" s="28"/>
    </row>
    <row r="36" spans="1:62" ht="12" customHeight="1">
      <c r="A36" s="18"/>
      <c r="B36" s="121"/>
      <c r="C36" s="122"/>
      <c r="BB36" s="28"/>
    </row>
    <row r="37" spans="1:62" ht="24" customHeight="1">
      <c r="A37" s="14" t="s">
        <v>237</v>
      </c>
      <c r="B37" s="237">
        <v>37511500</v>
      </c>
      <c r="C37" s="9"/>
      <c r="BB37" s="28"/>
      <c r="BC37" s="16"/>
      <c r="BD37" s="16"/>
      <c r="BE37" s="16"/>
      <c r="BF37" s="16"/>
      <c r="BG37" s="16"/>
      <c r="BH37" s="16"/>
      <c r="BI37" s="16"/>
      <c r="BJ37" s="16"/>
    </row>
    <row r="38" spans="1:62" ht="24" customHeight="1">
      <c r="A38" s="14" t="s">
        <v>470</v>
      </c>
      <c r="B38" s="238">
        <f>+B37</f>
        <v>37511500</v>
      </c>
      <c r="C38" s="9"/>
      <c r="BB38" s="28"/>
    </row>
    <row r="39" spans="1:62" ht="24" customHeight="1">
      <c r="A39" s="14" t="s">
        <v>239</v>
      </c>
      <c r="B39" s="238">
        <f>B26</f>
        <v>0</v>
      </c>
      <c r="C39" s="9"/>
      <c r="BB39" s="28"/>
    </row>
    <row r="40" spans="1:62" ht="24" customHeight="1">
      <c r="A40" s="14" t="s">
        <v>471</v>
      </c>
      <c r="B40" s="238">
        <v>0</v>
      </c>
      <c r="C40" s="9"/>
      <c r="BB40" s="28"/>
    </row>
    <row r="41" spans="1:62" ht="24" customHeight="1">
      <c r="B41" s="239"/>
      <c r="BB41" s="28"/>
    </row>
    <row r="42" spans="1:62" ht="24" customHeight="1">
      <c r="A42" s="14" t="s">
        <v>58</v>
      </c>
      <c r="B42" s="238">
        <v>1057983</v>
      </c>
      <c r="C42" s="9"/>
      <c r="BB42" s="28"/>
    </row>
    <row r="43" spans="1:62" ht="24" customHeight="1">
      <c r="A43" s="14" t="s">
        <v>205</v>
      </c>
      <c r="B43" s="238">
        <v>500286</v>
      </c>
      <c r="C43" s="9"/>
      <c r="BB43" s="28"/>
    </row>
    <row r="44" spans="1:62" ht="24" customHeight="1">
      <c r="A44" s="14" t="s">
        <v>206</v>
      </c>
      <c r="B44" s="238">
        <v>557697</v>
      </c>
      <c r="C44" s="9"/>
      <c r="BB44" s="28"/>
      <c r="BC44" s="16"/>
      <c r="BD44" s="16"/>
      <c r="BE44" s="16"/>
      <c r="BF44" s="16"/>
      <c r="BG44" s="16"/>
      <c r="BH44" s="16"/>
      <c r="BI44" s="16"/>
      <c r="BJ44" s="16"/>
    </row>
    <row r="45" spans="1:62" ht="24" customHeight="1">
      <c r="A45" s="14"/>
      <c r="B45" s="238"/>
      <c r="C45" s="9"/>
      <c r="BB45" s="28"/>
    </row>
    <row r="46" spans="1:62" ht="24" customHeight="1">
      <c r="A46" s="14" t="s">
        <v>472</v>
      </c>
      <c r="B46" s="238">
        <v>0</v>
      </c>
      <c r="C46" s="9"/>
      <c r="BB46" s="28"/>
    </row>
    <row r="47" spans="1:62" ht="24" customHeight="1">
      <c r="A47" s="14" t="s">
        <v>473</v>
      </c>
      <c r="B47" s="238">
        <v>0</v>
      </c>
      <c r="C47" s="9"/>
      <c r="BB47" s="28"/>
    </row>
    <row r="48" spans="1:62" ht="24" customHeight="1">
      <c r="A48" s="14"/>
      <c r="B48" s="238"/>
      <c r="C48" s="9"/>
      <c r="BB48" s="28"/>
    </row>
    <row r="49" spans="1:54" ht="24" customHeight="1">
      <c r="A49" s="14" t="s">
        <v>115</v>
      </c>
      <c r="B49" s="238">
        <v>0</v>
      </c>
      <c r="C49" s="9"/>
      <c r="BB49" s="28"/>
    </row>
    <row r="50" spans="1:54" ht="24" customHeight="1">
      <c r="A50" s="14" t="s">
        <v>117</v>
      </c>
      <c r="B50" s="238">
        <v>0</v>
      </c>
      <c r="C50" s="9"/>
      <c r="BB50" s="28"/>
    </row>
    <row r="51" spans="1:54" ht="11.25" customHeight="1">
      <c r="A51" s="18"/>
      <c r="B51" s="240"/>
      <c r="C51" s="122"/>
      <c r="BB51" s="28"/>
    </row>
    <row r="52" spans="1:54">
      <c r="B52" s="241"/>
    </row>
    <row r="53" spans="1:54" ht="12">
      <c r="A53" s="124"/>
      <c r="B53" s="242"/>
      <c r="D53" s="108"/>
    </row>
    <row r="54" spans="1:54" ht="12">
      <c r="A54" s="108"/>
      <c r="B54" s="243"/>
    </row>
    <row r="55" spans="1:54" ht="12">
      <c r="A55"/>
      <c r="B55" s="242"/>
      <c r="D55" s="16"/>
    </row>
    <row r="56" spans="1:54" ht="12">
      <c r="A56" s="16"/>
      <c r="B56" s="242"/>
    </row>
    <row r="57" spans="1:54" ht="12">
      <c r="A57"/>
      <c r="B57" s="242"/>
      <c r="D57" s="16"/>
    </row>
    <row r="58" spans="1:54" ht="12">
      <c r="A58" s="16"/>
      <c r="B58" s="242"/>
    </row>
    <row r="59" spans="1:54" ht="12">
      <c r="A59"/>
      <c r="B59" s="242"/>
    </row>
    <row r="60" spans="1:54" ht="12">
      <c r="A60"/>
      <c r="B60" s="242"/>
    </row>
    <row r="61" spans="1:54" ht="12">
      <c r="A61"/>
      <c r="B61" s="242"/>
    </row>
    <row r="62" spans="1:54" ht="12">
      <c r="A62"/>
      <c r="B62" s="242"/>
    </row>
    <row r="63" spans="1:54" ht="12">
      <c r="A63"/>
      <c r="B63" s="242"/>
    </row>
    <row r="64" spans="1:54" ht="12">
      <c r="A64"/>
      <c r="B64" s="242"/>
    </row>
    <row r="65" spans="1:2">
      <c r="A65" s="104"/>
      <c r="B65" s="242"/>
    </row>
    <row r="66" spans="1:2">
      <c r="B66" s="242"/>
    </row>
    <row r="67" spans="1:2">
      <c r="B67" s="242"/>
    </row>
    <row r="68" spans="1:2">
      <c r="B68" s="242"/>
    </row>
    <row r="69" spans="1:2">
      <c r="B69" s="242"/>
    </row>
    <row r="70" spans="1:2">
      <c r="B70" s="242"/>
    </row>
    <row r="71" spans="1:2">
      <c r="B71" s="242"/>
    </row>
    <row r="72" spans="1:2">
      <c r="B72" s="242"/>
    </row>
    <row r="73" spans="1:2">
      <c r="B73" s="242"/>
    </row>
    <row r="74" spans="1:2">
      <c r="B74" s="242"/>
    </row>
    <row r="75" spans="1:2">
      <c r="B75" s="242"/>
    </row>
    <row r="76" spans="1:2">
      <c r="B76" s="242"/>
    </row>
    <row r="77" spans="1:2">
      <c r="B77" s="242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BJ42"/>
  <sheetViews>
    <sheetView workbookViewId="0">
      <pane ySplit="7" topLeftCell="A38" activePane="bottomLeft" state="frozen"/>
      <selection activeCell="A8" sqref="A8"/>
      <selection pane="bottomLeft" activeCell="A8" sqref="A8"/>
    </sheetView>
  </sheetViews>
  <sheetFormatPr defaultColWidth="11" defaultRowHeight="14.25"/>
  <cols>
    <col min="1" max="1" width="49.28515625" style="1" customWidth="1"/>
    <col min="2" max="2" width="51.28515625" style="2" customWidth="1"/>
    <col min="3" max="3" width="47.140625" customWidth="1"/>
    <col min="4" max="5" width="21.85546875" customWidth="1"/>
    <col min="6" max="6" width="17.1406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/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56</v>
      </c>
      <c r="C6" s="9"/>
    </row>
    <row r="7" spans="1:10" ht="24" customHeight="1">
      <c r="A7" s="12" t="s">
        <v>6</v>
      </c>
      <c r="B7" s="223" t="s">
        <v>474</v>
      </c>
      <c r="C7" s="9"/>
    </row>
    <row r="8" spans="1:10" ht="24" customHeight="1">
      <c r="A8" s="40" t="s">
        <v>76</v>
      </c>
      <c r="B8" s="224">
        <v>643546.6</v>
      </c>
      <c r="C8" s="83"/>
    </row>
    <row r="9" spans="1:10" ht="24" customHeight="1">
      <c r="A9" s="40" t="s">
        <v>333</v>
      </c>
      <c r="B9" s="224">
        <v>602256.85</v>
      </c>
      <c r="C9" s="83"/>
    </row>
    <row r="10" spans="1:10" ht="24" customHeight="1">
      <c r="A10" s="40" t="s">
        <v>334</v>
      </c>
      <c r="B10" s="224">
        <f>B9</f>
        <v>602256.85</v>
      </c>
      <c r="C10" s="83"/>
    </row>
    <row r="11" spans="1:10" ht="24" customHeight="1">
      <c r="A11" s="40" t="s">
        <v>90</v>
      </c>
      <c r="B11" s="224">
        <v>132905</v>
      </c>
      <c r="C11" s="83"/>
    </row>
    <row r="12" spans="1:10" ht="24" customHeight="1">
      <c r="A12" s="40" t="s">
        <v>335</v>
      </c>
      <c r="B12" s="224">
        <v>0</v>
      </c>
      <c r="C12" s="83"/>
    </row>
    <row r="13" spans="1:10" ht="24" customHeight="1">
      <c r="A13" s="40" t="s">
        <v>336</v>
      </c>
      <c r="B13" s="224">
        <v>0</v>
      </c>
      <c r="C13" s="65"/>
      <c r="D13" s="16"/>
      <c r="E13" s="16"/>
      <c r="F13" s="16"/>
      <c r="G13" s="16"/>
    </row>
    <row r="14" spans="1:10" ht="24" customHeight="1">
      <c r="A14" s="40" t="s">
        <v>337</v>
      </c>
      <c r="B14" s="224">
        <v>0</v>
      </c>
      <c r="C14" s="65"/>
      <c r="D14" s="16"/>
      <c r="E14" s="16" t="s">
        <v>253</v>
      </c>
      <c r="F14" s="16"/>
      <c r="G14" s="16"/>
    </row>
    <row r="15" spans="1:10" ht="24" customHeight="1">
      <c r="A15" s="40" t="s">
        <v>338</v>
      </c>
      <c r="B15" s="133">
        <v>573363</v>
      </c>
      <c r="C15" s="65"/>
      <c r="D15" s="16"/>
      <c r="E15" s="16"/>
      <c r="F15" s="16"/>
      <c r="G15" s="16"/>
    </row>
    <row r="16" spans="1:10" ht="24" customHeight="1">
      <c r="A16" s="40" t="s">
        <v>339</v>
      </c>
      <c r="B16" s="133">
        <v>184330</v>
      </c>
      <c r="C16" s="65"/>
      <c r="D16" s="16"/>
      <c r="E16" s="16"/>
      <c r="F16" s="16"/>
      <c r="G16" s="16"/>
    </row>
    <row r="17" spans="1:7" ht="24" customHeight="1">
      <c r="A17" s="40" t="s">
        <v>340</v>
      </c>
      <c r="B17" s="224">
        <v>0</v>
      </c>
      <c r="C17" s="65"/>
      <c r="D17" s="16"/>
      <c r="E17" s="16"/>
      <c r="F17" s="16"/>
      <c r="G17" s="16"/>
    </row>
    <row r="18" spans="1:7" ht="24" customHeight="1">
      <c r="A18" s="40" t="s">
        <v>341</v>
      </c>
      <c r="B18" s="224">
        <v>0</v>
      </c>
      <c r="C18" s="65"/>
      <c r="D18" s="16"/>
      <c r="E18" s="16"/>
      <c r="F18" s="16"/>
      <c r="G18" s="16"/>
    </row>
    <row r="19" spans="1:7" ht="24" customHeight="1">
      <c r="A19" s="40" t="s">
        <v>342</v>
      </c>
      <c r="B19" s="133">
        <v>0</v>
      </c>
      <c r="C19" s="65"/>
    </row>
    <row r="20" spans="1:7" ht="24" customHeight="1">
      <c r="A20" s="40" t="s">
        <v>343</v>
      </c>
      <c r="B20" s="133">
        <v>4905</v>
      </c>
      <c r="C20" s="65"/>
      <c r="D20">
        <v>146359.25</v>
      </c>
    </row>
    <row r="21" spans="1:7" ht="24" customHeight="1">
      <c r="A21" s="40" t="s">
        <v>72</v>
      </c>
      <c r="B21" s="224">
        <v>0</v>
      </c>
      <c r="C21" s="65"/>
      <c r="D21">
        <v>132905</v>
      </c>
    </row>
    <row r="22" spans="1:7" ht="24" customHeight="1">
      <c r="A22" s="40" t="s">
        <v>344</v>
      </c>
      <c r="B22" s="224">
        <v>0</v>
      </c>
      <c r="C22" s="65"/>
      <c r="D22">
        <f>D20+D21</f>
        <v>279264.25</v>
      </c>
    </row>
    <row r="23" spans="1:7" ht="24" customHeight="1">
      <c r="A23" s="158" t="s">
        <v>71</v>
      </c>
      <c r="B23" s="159">
        <v>279264.25</v>
      </c>
      <c r="C23" s="160">
        <f>B23-B41</f>
        <v>146359.25</v>
      </c>
      <c r="F23" s="43">
        <f>+B23-B41</f>
        <v>146359.25</v>
      </c>
    </row>
    <row r="24" spans="1:7" ht="24" customHeight="1">
      <c r="A24" s="158" t="s">
        <v>81</v>
      </c>
      <c r="B24" s="159">
        <v>237974.5</v>
      </c>
      <c r="C24" s="244"/>
    </row>
    <row r="25" spans="1:7" ht="24" customHeight="1">
      <c r="A25" s="40" t="s">
        <v>345</v>
      </c>
      <c r="B25" s="224">
        <v>41289.75</v>
      </c>
      <c r="C25" s="65"/>
    </row>
    <row r="26" spans="1:7" ht="24" customHeight="1">
      <c r="A26" s="40" t="s">
        <v>346</v>
      </c>
      <c r="B26" s="117">
        <v>0.93579999999999997</v>
      </c>
      <c r="C26" s="65"/>
    </row>
    <row r="27" spans="1:7" ht="24" customHeight="1">
      <c r="A27" s="40" t="s">
        <v>347</v>
      </c>
      <c r="B27" s="117">
        <f>B26</f>
        <v>0.93579999999999997</v>
      </c>
      <c r="C27" s="65"/>
    </row>
    <row r="28" spans="1:7" ht="24" customHeight="1">
      <c r="A28" s="40" t="s">
        <v>348</v>
      </c>
      <c r="B28" s="133">
        <v>0</v>
      </c>
      <c r="C28" s="245"/>
    </row>
    <row r="29" spans="1:7" ht="24" customHeight="1">
      <c r="A29" s="40" t="s">
        <v>349</v>
      </c>
      <c r="B29" s="133">
        <v>0</v>
      </c>
      <c r="C29" s="65"/>
    </row>
    <row r="30" spans="1:7" ht="24" customHeight="1">
      <c r="A30" s="40" t="s">
        <v>350</v>
      </c>
      <c r="B30" s="133">
        <v>0</v>
      </c>
      <c r="C30" s="65"/>
    </row>
    <row r="31" spans="1:7" ht="24" customHeight="1">
      <c r="A31" s="40" t="s">
        <v>351</v>
      </c>
      <c r="B31" s="133">
        <v>0</v>
      </c>
      <c r="C31" s="62"/>
    </row>
    <row r="32" spans="1:7" ht="24" customHeight="1">
      <c r="A32" s="40" t="s">
        <v>352</v>
      </c>
      <c r="B32" s="133">
        <v>32</v>
      </c>
      <c r="C32" s="65"/>
    </row>
    <row r="33" spans="1:62" ht="24" customHeight="1">
      <c r="A33" s="40" t="s">
        <v>353</v>
      </c>
      <c r="B33" s="133">
        <v>0</v>
      </c>
      <c r="C33" s="65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40" t="s">
        <v>354</v>
      </c>
      <c r="B34" s="133">
        <v>0</v>
      </c>
      <c r="C34" s="246"/>
    </row>
    <row r="35" spans="1:62" ht="24" customHeight="1">
      <c r="A35" s="40" t="s">
        <v>355</v>
      </c>
      <c r="B35" s="133">
        <v>0</v>
      </c>
      <c r="C35" s="65"/>
    </row>
    <row r="36" spans="1:62" ht="24" customHeight="1">
      <c r="A36" s="40" t="s">
        <v>356</v>
      </c>
      <c r="B36" s="133">
        <v>1701</v>
      </c>
      <c r="C36" s="65"/>
    </row>
    <row r="37" spans="1:62" ht="24" customHeight="1">
      <c r="A37" s="40" t="s">
        <v>357</v>
      </c>
      <c r="B37" s="117">
        <v>0</v>
      </c>
      <c r="C37" s="65"/>
    </row>
    <row r="38" spans="1:62" ht="24" customHeight="1">
      <c r="A38" s="40" t="s">
        <v>358</v>
      </c>
      <c r="B38" s="224">
        <v>0</v>
      </c>
      <c r="C38" s="65"/>
    </row>
    <row r="39" spans="1:62" ht="24" customHeight="1">
      <c r="A39" s="40" t="s">
        <v>359</v>
      </c>
      <c r="B39" s="224">
        <v>0</v>
      </c>
      <c r="C39" s="65"/>
    </row>
    <row r="40" spans="1:62" ht="24" customHeight="1">
      <c r="A40" s="40" t="s">
        <v>360</v>
      </c>
      <c r="B40" s="117">
        <v>0</v>
      </c>
      <c r="C40" s="65"/>
    </row>
    <row r="41" spans="1:62" ht="24" customHeight="1">
      <c r="A41" s="40" t="s">
        <v>361</v>
      </c>
      <c r="B41" s="227">
        <f>B11</f>
        <v>132905</v>
      </c>
      <c r="C41" s="62"/>
    </row>
    <row r="42" spans="1:62" ht="24" customHeight="1">
      <c r="A42" s="40" t="s">
        <v>362</v>
      </c>
      <c r="B42" s="133">
        <v>3806</v>
      </c>
      <c r="C42" s="65"/>
      <c r="BB42" s="28"/>
      <c r="BC42" s="16"/>
      <c r="BD42" s="16"/>
      <c r="BE42" s="16"/>
      <c r="BF42" s="16"/>
      <c r="BG42" s="16"/>
      <c r="BH42" s="16"/>
      <c r="BI42" s="16"/>
      <c r="BJ42" s="1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BJ46"/>
  <sheetViews>
    <sheetView workbookViewId="0">
      <pane ySplit="7" topLeftCell="A41" activePane="bottomLeft" state="frozen"/>
      <selection activeCell="A8" sqref="A8"/>
      <selection pane="bottomLeft" activeCell="A8" sqref="A8"/>
    </sheetView>
  </sheetViews>
  <sheetFormatPr defaultColWidth="11" defaultRowHeight="14.25"/>
  <cols>
    <col min="1" max="1" width="49.28515625" style="1" customWidth="1"/>
    <col min="2" max="2" width="25.7109375" style="2" customWidth="1"/>
    <col min="3" max="3" width="22.42578125" customWidth="1"/>
    <col min="4" max="5" width="19.7109375" customWidth="1"/>
    <col min="6" max="6" width="13.1406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/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60</v>
      </c>
      <c r="C6" s="9"/>
    </row>
    <row r="7" spans="1:10" ht="24" customHeight="1">
      <c r="A7" s="12" t="s">
        <v>6</v>
      </c>
      <c r="B7" s="247" t="s">
        <v>475</v>
      </c>
      <c r="C7" s="9"/>
    </row>
    <row r="8" spans="1:10" ht="24" customHeight="1">
      <c r="A8" s="40" t="s">
        <v>76</v>
      </c>
      <c r="B8" s="224">
        <v>316750.74</v>
      </c>
      <c r="C8" s="83"/>
    </row>
    <row r="9" spans="1:10" ht="24" customHeight="1">
      <c r="A9" s="40" t="s">
        <v>446</v>
      </c>
      <c r="B9" s="224">
        <v>295435.52000000002</v>
      </c>
      <c r="C9" s="83"/>
    </row>
    <row r="10" spans="1:10" ht="24" customHeight="1">
      <c r="A10" s="40" t="s">
        <v>333</v>
      </c>
      <c r="B10" s="224">
        <f>B9</f>
        <v>295435.52000000002</v>
      </c>
      <c r="C10" s="83"/>
    </row>
    <row r="11" spans="1:10" ht="24" customHeight="1">
      <c r="A11" s="40" t="s">
        <v>334</v>
      </c>
      <c r="B11" s="224">
        <f>B10</f>
        <v>295435.52000000002</v>
      </c>
      <c r="C11" s="83"/>
    </row>
    <row r="12" spans="1:10" ht="24" customHeight="1">
      <c r="A12" s="40" t="s">
        <v>90</v>
      </c>
      <c r="B12" s="224">
        <v>106682</v>
      </c>
      <c r="C12" s="83"/>
    </row>
    <row r="13" spans="1:10" ht="24" customHeight="1">
      <c r="A13" s="40" t="s">
        <v>335</v>
      </c>
      <c r="B13" s="224">
        <v>0</v>
      </c>
      <c r="C13" s="83"/>
    </row>
    <row r="14" spans="1:10" ht="24" customHeight="1">
      <c r="A14" s="40" t="s">
        <v>336</v>
      </c>
      <c r="B14" s="224">
        <v>22.6</v>
      </c>
      <c r="C14" s="65"/>
      <c r="D14" s="16"/>
      <c r="E14" s="16"/>
      <c r="F14" s="16"/>
      <c r="G14" s="16"/>
    </row>
    <row r="15" spans="1:10" ht="24" customHeight="1">
      <c r="A15" s="40" t="s">
        <v>337</v>
      </c>
      <c r="B15" s="224">
        <v>22.6</v>
      </c>
      <c r="C15" s="65"/>
      <c r="D15" s="16"/>
      <c r="E15" s="16"/>
      <c r="F15" s="16"/>
      <c r="G15" s="16"/>
    </row>
    <row r="16" spans="1:10" ht="24" customHeight="1">
      <c r="A16" s="40" t="s">
        <v>338</v>
      </c>
      <c r="B16" s="133">
        <v>419894</v>
      </c>
      <c r="C16" s="65"/>
      <c r="D16" s="16"/>
      <c r="E16" s="16"/>
      <c r="F16" s="16"/>
      <c r="G16" s="16"/>
    </row>
    <row r="17" spans="1:7" ht="24" customHeight="1">
      <c r="A17" s="40" t="s">
        <v>339</v>
      </c>
      <c r="B17" s="133">
        <v>129782</v>
      </c>
      <c r="C17" s="65"/>
      <c r="D17" s="16"/>
      <c r="E17" s="16"/>
      <c r="F17" s="16"/>
      <c r="G17" s="16"/>
    </row>
    <row r="18" spans="1:7" ht="24" customHeight="1">
      <c r="A18" s="40" t="s">
        <v>340</v>
      </c>
      <c r="B18" s="224">
        <v>0</v>
      </c>
      <c r="C18" s="65"/>
      <c r="D18" s="16"/>
      <c r="E18" s="16"/>
      <c r="F18" s="16"/>
      <c r="G18" s="16"/>
    </row>
    <row r="19" spans="1:7" ht="24" customHeight="1">
      <c r="A19" s="40" t="s">
        <v>341</v>
      </c>
      <c r="B19" s="224">
        <v>0</v>
      </c>
      <c r="C19" s="65"/>
      <c r="D19" s="16"/>
      <c r="E19" s="16"/>
      <c r="F19" s="16"/>
      <c r="G19" s="16"/>
    </row>
    <row r="20" spans="1:7" ht="24" customHeight="1">
      <c r="A20" s="40" t="s">
        <v>342</v>
      </c>
      <c r="B20" s="133">
        <v>0</v>
      </c>
      <c r="C20" s="65"/>
    </row>
    <row r="21" spans="1:7" ht="24" customHeight="1">
      <c r="A21" s="40" t="s">
        <v>343</v>
      </c>
      <c r="B21" s="133">
        <v>4311</v>
      </c>
      <c r="C21" s="65"/>
    </row>
    <row r="22" spans="1:7" ht="24" customHeight="1">
      <c r="A22" s="40" t="s">
        <v>72</v>
      </c>
      <c r="B22" s="224">
        <v>0</v>
      </c>
      <c r="C22" s="65"/>
    </row>
    <row r="23" spans="1:7" ht="24" customHeight="1">
      <c r="A23" s="40" t="s">
        <v>344</v>
      </c>
      <c r="B23" s="224">
        <v>0</v>
      </c>
      <c r="C23" s="65"/>
    </row>
    <row r="24" spans="1:7" ht="24" customHeight="1">
      <c r="A24" s="158" t="s">
        <v>71</v>
      </c>
      <c r="B24" s="159">
        <v>249121.23</v>
      </c>
      <c r="C24" s="160">
        <f>B24-B42</f>
        <v>142439.23000000001</v>
      </c>
      <c r="F24" s="43">
        <f>+B24-B42</f>
        <v>142439.23000000001</v>
      </c>
    </row>
    <row r="25" spans="1:7" ht="24" customHeight="1">
      <c r="A25" s="158" t="s">
        <v>81</v>
      </c>
      <c r="B25" s="159">
        <v>227806.01</v>
      </c>
      <c r="C25" s="244"/>
    </row>
    <row r="26" spans="1:7" ht="24" customHeight="1">
      <c r="A26" s="40" t="s">
        <v>345</v>
      </c>
      <c r="B26" s="224">
        <v>21315.22</v>
      </c>
      <c r="C26" s="65">
        <v>4</v>
      </c>
    </row>
    <row r="27" spans="1:7" ht="24" customHeight="1">
      <c r="A27" s="40" t="s">
        <v>346</v>
      </c>
      <c r="B27" s="117">
        <v>0.93269999999999997</v>
      </c>
      <c r="C27" s="65"/>
    </row>
    <row r="28" spans="1:7" ht="24" customHeight="1">
      <c r="A28" s="40" t="s">
        <v>347</v>
      </c>
      <c r="B28" s="117">
        <f>+B27</f>
        <v>0.93269999999999997</v>
      </c>
      <c r="C28" s="65"/>
    </row>
    <row r="29" spans="1:7" ht="24" customHeight="1">
      <c r="A29" s="40" t="s">
        <v>348</v>
      </c>
      <c r="B29" s="133">
        <v>0</v>
      </c>
      <c r="C29" s="245"/>
    </row>
    <row r="30" spans="1:7" ht="24" customHeight="1">
      <c r="A30" s="40" t="s">
        <v>349</v>
      </c>
      <c r="B30" s="133">
        <v>0</v>
      </c>
      <c r="C30" s="65"/>
    </row>
    <row r="31" spans="1:7" ht="24" customHeight="1">
      <c r="A31" s="40" t="s">
        <v>350</v>
      </c>
      <c r="B31" s="133">
        <v>0</v>
      </c>
      <c r="C31" s="65"/>
    </row>
    <row r="32" spans="1:7" ht="24" customHeight="1">
      <c r="A32" s="40" t="s">
        <v>351</v>
      </c>
      <c r="B32" s="133">
        <v>0</v>
      </c>
      <c r="C32" s="62"/>
    </row>
    <row r="33" spans="1:62" ht="24" customHeight="1">
      <c r="A33" s="40" t="s">
        <v>352</v>
      </c>
      <c r="B33" s="133">
        <v>16</v>
      </c>
      <c r="C33" s="65"/>
    </row>
    <row r="34" spans="1:62" ht="24" customHeight="1">
      <c r="A34" s="40" t="s">
        <v>353</v>
      </c>
      <c r="B34" s="133">
        <v>0</v>
      </c>
      <c r="C34" s="65"/>
      <c r="BB34" s="28"/>
      <c r="BC34" s="16"/>
      <c r="BD34" s="16"/>
      <c r="BE34" s="16"/>
      <c r="BF34" s="16"/>
      <c r="BG34" s="16"/>
      <c r="BH34" s="16"/>
      <c r="BI34" s="16"/>
      <c r="BJ34" s="16"/>
    </row>
    <row r="35" spans="1:62" ht="24" customHeight="1">
      <c r="A35" s="40" t="s">
        <v>354</v>
      </c>
      <c r="B35" s="133">
        <v>109</v>
      </c>
      <c r="C35" s="246"/>
    </row>
    <row r="36" spans="1:62" ht="24" customHeight="1">
      <c r="A36" s="40" t="s">
        <v>355</v>
      </c>
      <c r="B36" s="133">
        <f>B35</f>
        <v>109</v>
      </c>
      <c r="C36" s="65"/>
    </row>
    <row r="37" spans="1:62" ht="24" customHeight="1">
      <c r="A37" s="40" t="s">
        <v>356</v>
      </c>
      <c r="B37" s="133">
        <v>1416</v>
      </c>
      <c r="C37" s="65"/>
    </row>
    <row r="38" spans="1:62" ht="24" customHeight="1">
      <c r="A38" s="40" t="s">
        <v>357</v>
      </c>
      <c r="B38" s="117">
        <v>0</v>
      </c>
      <c r="C38" s="65"/>
    </row>
    <row r="39" spans="1:62" ht="24" customHeight="1">
      <c r="A39" s="40" t="s">
        <v>358</v>
      </c>
      <c r="B39" s="224">
        <v>0</v>
      </c>
      <c r="C39" s="65"/>
    </row>
    <row r="40" spans="1:62" ht="24" customHeight="1">
      <c r="A40" s="40" t="s">
        <v>359</v>
      </c>
      <c r="B40" s="224">
        <v>0</v>
      </c>
      <c r="C40" s="65"/>
    </row>
    <row r="41" spans="1:62" ht="24" customHeight="1">
      <c r="A41" s="40" t="s">
        <v>360</v>
      </c>
      <c r="B41" s="117">
        <v>0</v>
      </c>
      <c r="C41" s="65"/>
    </row>
    <row r="42" spans="1:62" ht="24" customHeight="1">
      <c r="A42" s="40" t="s">
        <v>361</v>
      </c>
      <c r="B42" s="227">
        <f>B12</f>
        <v>106682</v>
      </c>
      <c r="C42" s="62" t="b">
        <f>B42=B12</f>
        <v>1</v>
      </c>
    </row>
    <row r="43" spans="1:62" ht="24" customHeight="1">
      <c r="A43" s="40" t="s">
        <v>362</v>
      </c>
      <c r="B43" s="133">
        <v>2858</v>
      </c>
      <c r="C43" s="65"/>
      <c r="BB43" s="28"/>
      <c r="BC43" s="16"/>
      <c r="BD43" s="16"/>
      <c r="BE43" s="16"/>
      <c r="BF43" s="16"/>
      <c r="BG43" s="16"/>
      <c r="BH43" s="16"/>
      <c r="BI43" s="16"/>
      <c r="BJ43" s="16"/>
    </row>
    <row r="46" spans="1:62">
      <c r="B46" s="2" t="s">
        <v>36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indexed="50"/>
  </sheetPr>
  <dimension ref="A1:BJ66"/>
  <sheetViews>
    <sheetView workbookViewId="0">
      <pane ySplit="7" topLeftCell="A23" activePane="bottomLeft" state="frozen"/>
      <selection activeCell="A8" sqref="A8"/>
      <selection pane="bottomLeft" activeCell="A8" sqref="A8"/>
    </sheetView>
  </sheetViews>
  <sheetFormatPr defaultColWidth="11" defaultRowHeight="14.25"/>
  <cols>
    <col min="1" max="1" width="44.140625" style="1" customWidth="1"/>
    <col min="2" max="2" width="34.42578125" customWidth="1"/>
    <col min="3" max="3" width="4.85546875" customWidth="1"/>
    <col min="4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459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24</v>
      </c>
    </row>
    <row r="7" spans="1:62" ht="24" customHeight="1">
      <c r="A7" s="12" t="s">
        <v>6</v>
      </c>
      <c r="B7" s="112" t="s">
        <v>477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27336195</v>
      </c>
      <c r="C8" s="9"/>
      <c r="BB8" s="116"/>
    </row>
    <row r="9" spans="1:62" ht="24" customHeight="1">
      <c r="A9" s="14" t="s">
        <v>12</v>
      </c>
      <c r="B9" s="115">
        <v>25203969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63" t="s">
        <v>461</v>
      </c>
      <c r="B10" s="115">
        <f>+B9</f>
        <v>25203969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462</v>
      </c>
      <c r="B11" s="115">
        <f>+B10</f>
        <v>25203969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463</v>
      </c>
      <c r="B12" s="115">
        <v>0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464</v>
      </c>
      <c r="B13" s="133">
        <v>0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A14" s="63" t="s">
        <v>465</v>
      </c>
      <c r="B14" s="115">
        <v>0</v>
      </c>
      <c r="C14" s="9"/>
      <c r="BB14" s="116"/>
    </row>
    <row r="15" spans="1:62" ht="24" customHeight="1">
      <c r="A15" s="14" t="s">
        <v>462</v>
      </c>
      <c r="B15" s="115">
        <v>0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4" t="s">
        <v>464</v>
      </c>
      <c r="B16" s="115">
        <v>0</v>
      </c>
      <c r="C16" s="9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4"/>
      <c r="B17" s="115">
        <v>0</v>
      </c>
      <c r="C17" s="9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175</v>
      </c>
      <c r="B18" s="133">
        <v>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4" t="s">
        <v>227</v>
      </c>
      <c r="B19" s="117">
        <v>7.8E-2</v>
      </c>
      <c r="C19" s="9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466</v>
      </c>
      <c r="B20" s="117">
        <v>0.92190000000000005</v>
      </c>
      <c r="C20" s="9"/>
      <c r="BB20" s="28"/>
      <c r="BC20" s="16"/>
      <c r="BD20" s="16"/>
      <c r="BE20" s="16"/>
      <c r="BF20" s="16"/>
      <c r="BG20" s="16"/>
      <c r="BH20" s="16"/>
      <c r="BI20" s="16"/>
      <c r="BJ20" s="16"/>
    </row>
    <row r="21" spans="1:62" ht="24" customHeight="1">
      <c r="A21" s="14"/>
      <c r="B21" s="117"/>
      <c r="C21" s="9"/>
      <c r="BB21" s="28"/>
      <c r="BC21" s="16"/>
      <c r="BD21" s="16"/>
      <c r="BE21" s="16"/>
      <c r="BF21" s="16"/>
      <c r="BG21" s="16"/>
      <c r="BH21" s="16"/>
      <c r="BI21" s="16"/>
      <c r="BJ21" s="16"/>
    </row>
    <row r="22" spans="1:62" ht="24" customHeight="1">
      <c r="A22" s="14" t="s">
        <v>243</v>
      </c>
      <c r="B22" s="117">
        <f>B19</f>
        <v>7.8E-2</v>
      </c>
      <c r="C22" s="9"/>
      <c r="BB22" s="28"/>
      <c r="BC22" s="16"/>
      <c r="BD22" s="16"/>
      <c r="BE22" s="16"/>
      <c r="BF22" s="16"/>
      <c r="BG22" s="16"/>
      <c r="BH22" s="16"/>
      <c r="BI22" s="16"/>
      <c r="BJ22" s="16"/>
    </row>
    <row r="23" spans="1:62" ht="24" customHeight="1">
      <c r="A23" s="14" t="s">
        <v>467</v>
      </c>
      <c r="B23" s="117">
        <f>B20</f>
        <v>0.92190000000000005</v>
      </c>
      <c r="C23" s="9"/>
      <c r="BB23" s="28"/>
      <c r="BC23" s="16"/>
      <c r="BD23" s="16"/>
      <c r="BE23" s="16"/>
      <c r="BF23" s="16"/>
      <c r="BG23" s="16"/>
      <c r="BH23" s="16"/>
      <c r="BI23" s="16"/>
      <c r="BJ23" s="16"/>
    </row>
    <row r="24" spans="1:62" ht="10.5" customHeight="1">
      <c r="A24" s="18"/>
      <c r="B24" s="236"/>
      <c r="C24" s="122"/>
      <c r="BB24" s="28"/>
      <c r="BC24" s="16"/>
      <c r="BD24" s="16"/>
      <c r="BE24" s="16"/>
      <c r="BF24" s="16"/>
      <c r="BG24" s="16"/>
      <c r="BH24" s="16"/>
      <c r="BI24" s="16"/>
      <c r="BJ24" s="16"/>
    </row>
    <row r="25" spans="1:62" ht="24" customHeight="1">
      <c r="A25" s="63" t="s">
        <v>24</v>
      </c>
      <c r="B25" s="115">
        <v>10911733</v>
      </c>
      <c r="C25" s="9"/>
      <c r="BB25" s="28"/>
    </row>
    <row r="26" spans="1:62" ht="24" customHeight="1">
      <c r="A26" s="14" t="s">
        <v>212</v>
      </c>
      <c r="B26" s="115">
        <v>0</v>
      </c>
      <c r="C26" s="9"/>
      <c r="BB26" s="28"/>
    </row>
    <row r="27" spans="1:62" ht="24" customHeight="1">
      <c r="A27" s="14" t="s">
        <v>468</v>
      </c>
      <c r="B27" s="115">
        <v>4086500</v>
      </c>
      <c r="C27" s="9"/>
      <c r="BB27" s="28"/>
      <c r="BC27" s="16"/>
      <c r="BD27" s="16"/>
      <c r="BE27" s="16"/>
      <c r="BF27" s="16"/>
      <c r="BG27" s="16"/>
      <c r="BH27" s="16"/>
      <c r="BI27" s="16"/>
      <c r="BJ27" s="16"/>
    </row>
    <row r="28" spans="1:62" ht="24" customHeight="1">
      <c r="A28" s="14" t="s">
        <v>183</v>
      </c>
      <c r="B28" s="115">
        <v>6825233</v>
      </c>
      <c r="C28" s="9"/>
      <c r="BB28" s="28"/>
    </row>
    <row r="29" spans="1:62" ht="24" customHeight="1">
      <c r="A29" s="14" t="s">
        <v>99</v>
      </c>
      <c r="B29" s="115">
        <v>0</v>
      </c>
      <c r="C29" s="9"/>
      <c r="BB29" s="28"/>
    </row>
    <row r="30" spans="1:62" ht="24" customHeight="1">
      <c r="A30" s="63" t="s">
        <v>37</v>
      </c>
      <c r="B30" s="115">
        <v>8769507</v>
      </c>
      <c r="C30" s="9"/>
      <c r="BB30" s="28"/>
    </row>
    <row r="31" spans="1:62" ht="24" customHeight="1">
      <c r="A31" s="14" t="s">
        <v>213</v>
      </c>
      <c r="B31" s="115">
        <v>0</v>
      </c>
      <c r="C31" s="9"/>
      <c r="BB31" s="28"/>
    </row>
    <row r="32" spans="1:62" ht="24" customHeight="1">
      <c r="A32" s="14" t="s">
        <v>41</v>
      </c>
      <c r="B32" s="115">
        <v>0</v>
      </c>
      <c r="C32" s="9"/>
      <c r="BB32" s="28"/>
      <c r="BC32" s="16"/>
      <c r="BD32" s="16"/>
      <c r="BE32" s="16"/>
      <c r="BF32" s="16"/>
      <c r="BG32" s="16"/>
      <c r="BH32" s="16"/>
      <c r="BI32" s="16"/>
      <c r="BJ32" s="16"/>
    </row>
    <row r="33" spans="1:62" ht="24" customHeight="1">
      <c r="A33" s="14" t="s">
        <v>44</v>
      </c>
      <c r="B33" s="115">
        <v>8712610</v>
      </c>
      <c r="C33" s="9"/>
      <c r="BB33" s="28"/>
    </row>
    <row r="34" spans="1:62" ht="24" customHeight="1">
      <c r="A34" s="14" t="s">
        <v>469</v>
      </c>
      <c r="B34" s="115">
        <v>0</v>
      </c>
      <c r="C34" s="9"/>
      <c r="BB34" s="28"/>
    </row>
    <row r="35" spans="1:62" ht="24" customHeight="1">
      <c r="A35" s="14" t="s">
        <v>118</v>
      </c>
      <c r="B35" s="115">
        <v>56897</v>
      </c>
      <c r="C35" s="9"/>
      <c r="BB35" s="28"/>
    </row>
    <row r="36" spans="1:62" ht="12" customHeight="1">
      <c r="A36" s="18"/>
      <c r="B36" s="121"/>
      <c r="C36" s="122"/>
      <c r="BB36" s="28"/>
    </row>
    <row r="37" spans="1:62" ht="24" customHeight="1">
      <c r="A37" s="14" t="s">
        <v>237</v>
      </c>
      <c r="B37" s="115">
        <v>4086500</v>
      </c>
      <c r="C37" s="9"/>
      <c r="BB37" s="28"/>
      <c r="BC37" s="16"/>
      <c r="BD37" s="16"/>
      <c r="BE37" s="16"/>
      <c r="BF37" s="16"/>
      <c r="BG37" s="16"/>
      <c r="BH37" s="16"/>
      <c r="BI37" s="16"/>
      <c r="BJ37" s="16"/>
    </row>
    <row r="38" spans="1:62" ht="24" customHeight="1">
      <c r="A38" s="14" t="s">
        <v>470</v>
      </c>
      <c r="B38" s="115">
        <f>B37</f>
        <v>4086500</v>
      </c>
      <c r="C38" s="9"/>
      <c r="BB38" s="28"/>
    </row>
    <row r="39" spans="1:62" ht="24" customHeight="1">
      <c r="A39" s="14" t="s">
        <v>239</v>
      </c>
      <c r="B39" s="115">
        <f>B26</f>
        <v>0</v>
      </c>
      <c r="C39" s="9"/>
      <c r="BB39" s="28"/>
    </row>
    <row r="40" spans="1:62" ht="24" customHeight="1">
      <c r="A40" s="14" t="s">
        <v>471</v>
      </c>
      <c r="B40" s="115">
        <v>0</v>
      </c>
      <c r="C40" s="9"/>
      <c r="BB40" s="28"/>
    </row>
    <row r="41" spans="1:62" ht="24" customHeight="1">
      <c r="B41" s="78"/>
      <c r="BB41" s="28"/>
    </row>
    <row r="42" spans="1:62" ht="24" customHeight="1">
      <c r="A42" s="14" t="s">
        <v>58</v>
      </c>
      <c r="B42" s="115">
        <v>204687</v>
      </c>
      <c r="C42" s="9"/>
      <c r="BB42" s="28"/>
    </row>
    <row r="43" spans="1:62" ht="24" customHeight="1">
      <c r="A43" s="14" t="s">
        <v>205</v>
      </c>
      <c r="B43" s="115">
        <v>53462</v>
      </c>
      <c r="C43" s="9"/>
      <c r="BB43" s="28"/>
    </row>
    <row r="44" spans="1:62" ht="24" customHeight="1">
      <c r="A44" s="14" t="s">
        <v>206</v>
      </c>
      <c r="B44" s="115">
        <v>151225</v>
      </c>
      <c r="C44" s="9"/>
      <c r="BB44" s="28"/>
      <c r="BC44" s="16"/>
      <c r="BD44" s="16"/>
      <c r="BE44" s="16"/>
      <c r="BF44" s="16"/>
      <c r="BG44" s="16"/>
      <c r="BH44" s="16"/>
      <c r="BI44" s="16"/>
      <c r="BJ44" s="16"/>
    </row>
    <row r="45" spans="1:62" ht="24" customHeight="1">
      <c r="A45" s="14"/>
      <c r="B45" s="115" t="s">
        <v>478</v>
      </c>
      <c r="C45" s="9"/>
      <c r="BB45" s="28"/>
    </row>
    <row r="46" spans="1:62" ht="24" customHeight="1">
      <c r="A46" s="14" t="s">
        <v>472</v>
      </c>
      <c r="B46" s="115">
        <v>0</v>
      </c>
      <c r="C46" s="9"/>
      <c r="BB46" s="28"/>
    </row>
    <row r="47" spans="1:62" ht="24" customHeight="1">
      <c r="A47" s="14" t="s">
        <v>473</v>
      </c>
      <c r="B47" s="115">
        <v>0</v>
      </c>
      <c r="C47" s="9"/>
      <c r="BB47" s="28"/>
    </row>
    <row r="48" spans="1:62" ht="24" customHeight="1">
      <c r="A48" s="14"/>
      <c r="B48" s="115"/>
      <c r="C48" s="9"/>
      <c r="BB48" s="28"/>
    </row>
    <row r="49" spans="1:54" ht="24" customHeight="1">
      <c r="A49" s="14" t="s">
        <v>115</v>
      </c>
      <c r="B49" s="115">
        <v>0</v>
      </c>
      <c r="C49" s="9"/>
      <c r="BB49" s="28"/>
    </row>
    <row r="50" spans="1:54" ht="24" customHeight="1">
      <c r="A50" s="14" t="s">
        <v>117</v>
      </c>
      <c r="B50" s="115">
        <v>0</v>
      </c>
      <c r="C50" s="9"/>
      <c r="BB50" s="28"/>
    </row>
    <row r="51" spans="1:54" ht="11.25" customHeight="1">
      <c r="A51" s="18"/>
      <c r="B51" s="121"/>
      <c r="C51" s="122"/>
      <c r="BB51" s="28"/>
    </row>
    <row r="52" spans="1:54" ht="24" customHeight="1">
      <c r="A52" s="63" t="s">
        <v>211</v>
      </c>
      <c r="B52" s="115"/>
      <c r="C52" s="9"/>
      <c r="BB52" s="28"/>
    </row>
    <row r="53" spans="1:54" ht="24" customHeight="1">
      <c r="A53" s="14" t="s">
        <v>212</v>
      </c>
      <c r="B53" s="115">
        <v>27336195</v>
      </c>
      <c r="C53" s="9"/>
      <c r="BB53" s="28"/>
    </row>
    <row r="54" spans="1:54" ht="24" customHeight="1">
      <c r="A54" s="14" t="s">
        <v>213</v>
      </c>
      <c r="B54" s="115">
        <v>25203969</v>
      </c>
      <c r="C54" s="9"/>
      <c r="BB54" s="28"/>
    </row>
    <row r="55" spans="1:54" ht="24" customHeight="1">
      <c r="A55" s="14" t="s">
        <v>52</v>
      </c>
      <c r="B55" s="115">
        <f>+B39</f>
        <v>0</v>
      </c>
      <c r="C55" s="9"/>
      <c r="BB55" s="28"/>
    </row>
    <row r="56" spans="1:54" ht="24" customHeight="1">
      <c r="A56" s="1" t="s">
        <v>327</v>
      </c>
      <c r="B56" s="115">
        <v>56897</v>
      </c>
      <c r="C56" s="9"/>
      <c r="BB56" s="28"/>
    </row>
    <row r="57" spans="1:54" ht="24" customHeight="1">
      <c r="A57" s="14" t="s">
        <v>139</v>
      </c>
      <c r="B57" s="115">
        <v>4086500</v>
      </c>
      <c r="C57" s="9"/>
      <c r="BB57" s="28"/>
    </row>
    <row r="58" spans="1:54" ht="24" customHeight="1">
      <c r="A58" s="14" t="s">
        <v>125</v>
      </c>
      <c r="B58" s="115">
        <v>204687</v>
      </c>
      <c r="C58" s="9"/>
      <c r="BB58" s="28"/>
    </row>
    <row r="59" spans="1:54" ht="24" customHeight="1">
      <c r="A59" s="14"/>
      <c r="B59" s="115"/>
      <c r="C59" s="9"/>
      <c r="BB59" s="28"/>
    </row>
    <row r="61" spans="1:54" ht="12">
      <c r="A61" s="16"/>
    </row>
    <row r="62" spans="1:54" ht="12">
      <c r="A62" s="16"/>
      <c r="B62" t="s">
        <v>36</v>
      </c>
    </row>
    <row r="63" spans="1:54" ht="12">
      <c r="A63"/>
      <c r="C63" s="124"/>
    </row>
    <row r="64" spans="1:54" ht="12">
      <c r="A64" s="16"/>
    </row>
    <row r="65" spans="1:3">
      <c r="C65" s="124"/>
    </row>
    <row r="66" spans="1:3">
      <c r="A66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BH92"/>
  <sheetViews>
    <sheetView zoomScale="110" zoomScaleNormal="110" workbookViewId="0">
      <selection activeCell="A8" sqref="A8"/>
    </sheetView>
  </sheetViews>
  <sheetFormatPr defaultColWidth="11" defaultRowHeight="14.25"/>
  <cols>
    <col min="1" max="1" width="45" style="1" customWidth="1"/>
    <col min="2" max="2" width="30" style="2" customWidth="1"/>
    <col min="3" max="3" width="4.85546875" customWidth="1"/>
    <col min="4" max="4" width="27.140625" customWidth="1"/>
    <col min="5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415</v>
      </c>
      <c r="C2" s="8" t="s">
        <v>2</v>
      </c>
    </row>
    <row r="3" spans="1:7" ht="15">
      <c r="A3" s="6"/>
      <c r="B3" s="7" t="s">
        <v>479</v>
      </c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68</v>
      </c>
      <c r="C6" s="9"/>
    </row>
    <row r="7" spans="1:7" ht="24" customHeight="1">
      <c r="A7" s="12" t="s">
        <v>6</v>
      </c>
      <c r="B7" s="13" t="s">
        <v>480</v>
      </c>
      <c r="C7" s="9"/>
    </row>
    <row r="8" spans="1:7" ht="24" customHeight="1">
      <c r="A8" s="12"/>
      <c r="B8" s="13" t="s">
        <v>36</v>
      </c>
    </row>
    <row r="9" spans="1:7" ht="23.25" customHeight="1">
      <c r="A9" s="14" t="s">
        <v>481</v>
      </c>
      <c r="B9" s="15">
        <v>33312.1</v>
      </c>
      <c r="C9" s="14"/>
    </row>
    <row r="10" spans="1:7" ht="23.25" customHeight="1">
      <c r="A10" s="14" t="s">
        <v>482</v>
      </c>
      <c r="B10" s="15">
        <v>0</v>
      </c>
      <c r="C10" s="14"/>
    </row>
    <row r="11" spans="1:7" ht="23.25" customHeight="1">
      <c r="A11" s="14" t="s">
        <v>483</v>
      </c>
      <c r="B11" s="15">
        <v>0</v>
      </c>
      <c r="C11" s="14"/>
    </row>
    <row r="12" spans="1:7" ht="23.25" customHeight="1">
      <c r="A12" s="14"/>
      <c r="B12" s="15">
        <v>0</v>
      </c>
      <c r="C12" s="14"/>
    </row>
    <row r="13" spans="1:7" ht="23.25" customHeight="1">
      <c r="A13" s="14" t="s">
        <v>484</v>
      </c>
      <c r="B13" s="15">
        <v>28490.63</v>
      </c>
      <c r="C13" s="14"/>
    </row>
    <row r="14" spans="1:7" ht="23.25" customHeight="1">
      <c r="A14" s="14" t="s">
        <v>485</v>
      </c>
      <c r="B14" s="15">
        <v>31046.28</v>
      </c>
      <c r="C14" s="14"/>
    </row>
    <row r="15" spans="1:7" ht="23.25" customHeight="1">
      <c r="A15" s="14"/>
      <c r="B15" s="15" t="s">
        <v>36</v>
      </c>
      <c r="C15" s="14"/>
    </row>
    <row r="16" spans="1:7" ht="23.25" customHeight="1">
      <c r="A16" s="14" t="s">
        <v>486</v>
      </c>
      <c r="B16" s="15">
        <v>6.81</v>
      </c>
      <c r="C16" s="14"/>
    </row>
    <row r="17" spans="1:5" ht="23.25" customHeight="1">
      <c r="A17" s="14" t="s">
        <v>487</v>
      </c>
      <c r="B17" s="15">
        <v>93.19</v>
      </c>
      <c r="C17" s="14"/>
    </row>
    <row r="18" spans="1:5" ht="23.25" customHeight="1">
      <c r="A18" s="14" t="s">
        <v>488</v>
      </c>
      <c r="B18" s="15">
        <v>92.33</v>
      </c>
      <c r="C18" s="14"/>
    </row>
    <row r="19" spans="1:5" ht="23.25" customHeight="1">
      <c r="A19" s="14"/>
      <c r="B19" s="15" t="s">
        <v>36</v>
      </c>
      <c r="C19" s="14"/>
      <c r="E19">
        <v>2</v>
      </c>
    </row>
    <row r="20" spans="1:5" ht="23.25" customHeight="1">
      <c r="A20" s="18"/>
      <c r="B20" s="53"/>
      <c r="C20" s="14"/>
    </row>
    <row r="21" spans="1:5" ht="23.25" customHeight="1">
      <c r="A21" s="14" t="s">
        <v>489</v>
      </c>
      <c r="B21" s="15">
        <v>7211</v>
      </c>
      <c r="C21" s="14"/>
    </row>
    <row r="22" spans="1:5" ht="23.25" customHeight="1">
      <c r="A22" s="14" t="s">
        <v>490</v>
      </c>
      <c r="B22" s="15">
        <v>0</v>
      </c>
      <c r="C22" s="14"/>
    </row>
    <row r="23" spans="1:5" ht="23.25" customHeight="1">
      <c r="A23" s="14" t="s">
        <v>491</v>
      </c>
      <c r="B23" s="15">
        <f>B21</f>
        <v>7211</v>
      </c>
      <c r="C23" s="9"/>
    </row>
    <row r="24" spans="1:5" ht="23.25" customHeight="1">
      <c r="A24" s="14" t="s">
        <v>492</v>
      </c>
      <c r="B24" s="15">
        <v>0</v>
      </c>
      <c r="C24" s="15"/>
    </row>
    <row r="25" spans="1:5" ht="23.25" customHeight="1">
      <c r="A25" s="14" t="s">
        <v>493</v>
      </c>
      <c r="B25" s="15">
        <v>0</v>
      </c>
      <c r="C25" s="14"/>
    </row>
    <row r="26" spans="1:5" ht="23.25" customHeight="1">
      <c r="A26" s="14" t="s">
        <v>494</v>
      </c>
      <c r="B26" s="15">
        <v>0</v>
      </c>
      <c r="C26" s="14"/>
    </row>
    <row r="27" spans="1:5" ht="23.25" customHeight="1">
      <c r="A27" s="14" t="s">
        <v>495</v>
      </c>
      <c r="B27" s="15">
        <v>0</v>
      </c>
      <c r="C27" s="14"/>
    </row>
    <row r="28" spans="1:5" ht="23.25" customHeight="1">
      <c r="A28" s="14" t="s">
        <v>496</v>
      </c>
      <c r="B28" s="15">
        <v>0</v>
      </c>
      <c r="C28" s="14"/>
    </row>
    <row r="29" spans="1:5" ht="23.25" customHeight="1">
      <c r="A29" s="18"/>
      <c r="B29" s="53"/>
      <c r="C29" s="14"/>
    </row>
    <row r="30" spans="1:5" ht="23.25" customHeight="1">
      <c r="A30" s="14" t="s">
        <v>497</v>
      </c>
      <c r="B30" s="15">
        <v>4945.17</v>
      </c>
      <c r="C30" s="14"/>
    </row>
    <row r="31" spans="1:5" ht="23.25" customHeight="1">
      <c r="A31" s="14" t="s">
        <v>498</v>
      </c>
      <c r="B31" s="15">
        <v>0</v>
      </c>
      <c r="C31" s="14"/>
    </row>
    <row r="32" spans="1:5" ht="23.25" customHeight="1">
      <c r="A32" s="14" t="s">
        <v>499</v>
      </c>
      <c r="B32" s="15">
        <v>0</v>
      </c>
      <c r="C32" s="14"/>
    </row>
    <row r="33" spans="1:60" ht="23.25" customHeight="1">
      <c r="A33" s="14" t="s">
        <v>500</v>
      </c>
      <c r="B33" s="15">
        <v>0</v>
      </c>
      <c r="C33" s="14"/>
    </row>
    <row r="34" spans="1:60" ht="23.25" customHeight="1">
      <c r="A34" s="14" t="s">
        <v>501</v>
      </c>
      <c r="B34" s="15">
        <v>2</v>
      </c>
      <c r="C34" s="14"/>
    </row>
    <row r="35" spans="1:60" ht="23.25" customHeight="1">
      <c r="A35" s="14" t="s">
        <v>502</v>
      </c>
      <c r="B35" s="15">
        <v>0</v>
      </c>
      <c r="C35" s="14"/>
    </row>
    <row r="36" spans="1:60" ht="23.25" customHeight="1">
      <c r="A36" s="14" t="s">
        <v>503</v>
      </c>
      <c r="B36" s="15">
        <v>4943.17</v>
      </c>
      <c r="C36" s="14"/>
    </row>
    <row r="37" spans="1:60" ht="23.25" customHeight="1">
      <c r="A37" s="14" t="s">
        <v>504</v>
      </c>
      <c r="B37" s="15">
        <v>0</v>
      </c>
      <c r="C37" s="14"/>
    </row>
    <row r="38" spans="1:60" s="138" customFormat="1" ht="23.25" customHeight="1">
      <c r="A38" s="130"/>
      <c r="B38" s="130"/>
      <c r="C38" s="130"/>
    </row>
    <row r="39" spans="1:60" ht="23.25" customHeight="1">
      <c r="A39" s="14" t="s">
        <v>505</v>
      </c>
      <c r="B39" s="15">
        <f>B23</f>
        <v>7211</v>
      </c>
      <c r="C39" s="14"/>
    </row>
    <row r="40" spans="1:60" ht="23.25" customHeight="1">
      <c r="A40" s="14" t="s">
        <v>506</v>
      </c>
      <c r="B40" s="15">
        <v>0</v>
      </c>
      <c r="C40" s="14"/>
    </row>
    <row r="41" spans="1:60" ht="23.25" customHeight="1">
      <c r="A41" s="14" t="s">
        <v>507</v>
      </c>
      <c r="B41" s="15">
        <v>0</v>
      </c>
      <c r="C41" s="14"/>
    </row>
    <row r="42" spans="1:60" ht="24" customHeight="1">
      <c r="A42" s="14" t="s">
        <v>508</v>
      </c>
      <c r="B42" s="15">
        <f>B39</f>
        <v>7211</v>
      </c>
      <c r="C42" s="9"/>
      <c r="AZ42" s="16"/>
      <c r="BA42" s="16"/>
      <c r="BB42" s="16"/>
      <c r="BC42" s="16"/>
      <c r="BD42" s="16"/>
      <c r="BE42" s="16"/>
      <c r="BF42" s="16"/>
      <c r="BG42" s="16"/>
      <c r="BH42" s="16"/>
    </row>
    <row r="43" spans="1:60" ht="23.25" customHeight="1">
      <c r="A43" s="14" t="s">
        <v>509</v>
      </c>
      <c r="B43" s="15">
        <f>B42</f>
        <v>7211</v>
      </c>
      <c r="C43" s="14"/>
    </row>
    <row r="44" spans="1:60" ht="23.25" customHeight="1">
      <c r="A44" s="14" t="s">
        <v>510</v>
      </c>
      <c r="B44" s="15">
        <v>0</v>
      </c>
      <c r="C44" s="14"/>
    </row>
    <row r="45" spans="1:60" ht="23.25" customHeight="1">
      <c r="A45" s="14"/>
      <c r="B45" s="15" t="s">
        <v>36</v>
      </c>
      <c r="C45" s="14"/>
    </row>
    <row r="46" spans="1:60" ht="23.25" customHeight="1">
      <c r="A46" s="14" t="s">
        <v>511</v>
      </c>
      <c r="B46" s="15">
        <v>0</v>
      </c>
      <c r="C46" s="14"/>
    </row>
    <row r="47" spans="1:60" ht="23.25" customHeight="1">
      <c r="A47" s="14"/>
      <c r="B47" s="15"/>
      <c r="C47" s="14"/>
    </row>
    <row r="48" spans="1:60" ht="23.25" customHeight="1">
      <c r="A48" s="14" t="s">
        <v>512</v>
      </c>
      <c r="B48" s="15">
        <v>52039</v>
      </c>
      <c r="C48" s="14"/>
    </row>
    <row r="49" spans="1:3" ht="23.25" customHeight="1">
      <c r="A49" s="14" t="s">
        <v>513</v>
      </c>
      <c r="B49" s="15">
        <v>35368</v>
      </c>
      <c r="C49" s="14"/>
    </row>
    <row r="50" spans="1:3" ht="23.25" customHeight="1">
      <c r="A50" s="14" t="s">
        <v>514</v>
      </c>
      <c r="B50" s="15">
        <v>16671</v>
      </c>
      <c r="C50" s="14"/>
    </row>
    <row r="51" spans="1:3" ht="23.25">
      <c r="A51" s="18"/>
      <c r="B51" s="53">
        <v>0</v>
      </c>
      <c r="C51" s="20"/>
    </row>
    <row r="52" spans="1:3" ht="23.25" customHeight="1">
      <c r="A52" s="14" t="s">
        <v>515</v>
      </c>
      <c r="B52" s="15">
        <v>0</v>
      </c>
      <c r="C52" s="14"/>
    </row>
    <row r="53" spans="1:3" ht="23.25" customHeight="1">
      <c r="A53" s="14" t="s">
        <v>516</v>
      </c>
      <c r="B53" s="15">
        <v>0</v>
      </c>
      <c r="C53" s="14"/>
    </row>
    <row r="54" spans="1:3" ht="23.25" customHeight="1">
      <c r="A54" s="14" t="s">
        <v>517</v>
      </c>
      <c r="B54" s="15">
        <v>0</v>
      </c>
      <c r="C54" s="14"/>
    </row>
    <row r="55" spans="1:3" ht="23.25" customHeight="1">
      <c r="A55" s="14" t="s">
        <v>518</v>
      </c>
      <c r="B55" s="15">
        <v>0</v>
      </c>
      <c r="C55" s="14"/>
    </row>
    <row r="56" spans="1:3" ht="23.25" customHeight="1">
      <c r="A56" s="14" t="s">
        <v>519</v>
      </c>
      <c r="B56" s="15">
        <v>0</v>
      </c>
      <c r="C56" s="14"/>
    </row>
    <row r="57" spans="1:3" ht="23.25" customHeight="1">
      <c r="A57" s="14" t="s">
        <v>520</v>
      </c>
      <c r="B57" s="15">
        <v>0</v>
      </c>
      <c r="C57" s="14"/>
    </row>
    <row r="58" spans="1:3" ht="23.25" customHeight="1">
      <c r="A58" s="14" t="s">
        <v>521</v>
      </c>
      <c r="B58" s="15">
        <v>0</v>
      </c>
      <c r="C58" s="14"/>
    </row>
    <row r="59" spans="1:3" ht="23.25" customHeight="1">
      <c r="A59" s="14"/>
      <c r="B59" s="15" t="s">
        <v>36</v>
      </c>
      <c r="C59" s="14"/>
    </row>
    <row r="60" spans="1:3" ht="23.25" customHeight="1">
      <c r="A60" s="14" t="s">
        <v>522</v>
      </c>
      <c r="B60" s="15">
        <v>0</v>
      </c>
      <c r="C60" s="14"/>
    </row>
    <row r="61" spans="1:3" ht="23.25" customHeight="1">
      <c r="A61" s="14" t="s">
        <v>523</v>
      </c>
      <c r="B61" s="15">
        <f>B36</f>
        <v>4943.17</v>
      </c>
      <c r="C61" s="14"/>
    </row>
    <row r="62" spans="1:3" ht="23.25" customHeight="1">
      <c r="A62" s="14"/>
      <c r="B62" s="15"/>
      <c r="C62" s="14"/>
    </row>
    <row r="63" spans="1:3" ht="23.25" customHeight="1">
      <c r="A63" s="14" t="s">
        <v>524</v>
      </c>
      <c r="B63" s="15">
        <v>2</v>
      </c>
      <c r="C63" s="14"/>
    </row>
    <row r="64" spans="1:3" ht="23.25" customHeight="1">
      <c r="A64" s="14" t="s">
        <v>525</v>
      </c>
      <c r="B64" s="15">
        <v>2</v>
      </c>
      <c r="C64" s="14"/>
    </row>
    <row r="65" spans="1:4" ht="23.25" customHeight="1">
      <c r="A65" s="14" t="s">
        <v>526</v>
      </c>
      <c r="B65" s="15">
        <v>0</v>
      </c>
      <c r="C65" s="14"/>
    </row>
    <row r="66" spans="1:4" ht="23.25" customHeight="1">
      <c r="A66" s="130"/>
      <c r="B66" s="34" t="s">
        <v>36</v>
      </c>
      <c r="C66" s="130"/>
      <c r="D66" s="138"/>
    </row>
    <row r="67" spans="1:4" ht="23.25" customHeight="1">
      <c r="A67" s="14" t="s">
        <v>496</v>
      </c>
      <c r="B67" s="15">
        <v>0</v>
      </c>
      <c r="C67" s="14"/>
    </row>
    <row r="68" spans="1:4" ht="23.25" customHeight="1">
      <c r="A68" s="14" t="s">
        <v>527</v>
      </c>
      <c r="B68" s="15">
        <v>0</v>
      </c>
      <c r="C68" s="14"/>
    </row>
    <row r="69" spans="1:4" ht="23.25" customHeight="1">
      <c r="A69" s="14" t="s">
        <v>528</v>
      </c>
      <c r="B69" s="15">
        <v>0</v>
      </c>
      <c r="C69" s="14"/>
    </row>
    <row r="70" spans="1:4" ht="23.25" customHeight="1">
      <c r="A70" s="14" t="s">
        <v>529</v>
      </c>
      <c r="B70" s="15">
        <v>0</v>
      </c>
      <c r="C70" s="14"/>
    </row>
    <row r="71" spans="1:4" ht="23.25" customHeight="1">
      <c r="A71" s="14" t="s">
        <v>530</v>
      </c>
      <c r="B71" s="15">
        <v>0</v>
      </c>
      <c r="C71" s="14"/>
    </row>
    <row r="72" spans="1:4" ht="23.25" customHeight="1">
      <c r="A72" s="14" t="s">
        <v>531</v>
      </c>
      <c r="B72" s="15">
        <v>0</v>
      </c>
      <c r="C72" s="14"/>
    </row>
    <row r="73" spans="1:4" ht="23.25" customHeight="1">
      <c r="A73" s="14"/>
      <c r="B73" s="15"/>
      <c r="C73" s="14"/>
    </row>
    <row r="74" spans="1:4" ht="23.25" customHeight="1">
      <c r="A74" s="14" t="s">
        <v>532</v>
      </c>
      <c r="B74" s="15">
        <v>0</v>
      </c>
      <c r="C74" s="14"/>
    </row>
    <row r="75" spans="1:4" ht="23.25" customHeight="1">
      <c r="A75" s="14" t="s">
        <v>533</v>
      </c>
      <c r="B75" s="15">
        <v>0</v>
      </c>
      <c r="C75" s="14"/>
    </row>
    <row r="76" spans="1:4" ht="23.25" customHeight="1">
      <c r="A76" s="14" t="s">
        <v>534</v>
      </c>
      <c r="B76" s="15">
        <v>0</v>
      </c>
      <c r="C76" s="14"/>
    </row>
    <row r="77" spans="1:4" ht="23.25" customHeight="1">
      <c r="A77" s="14" t="s">
        <v>535</v>
      </c>
      <c r="B77" s="15">
        <v>0</v>
      </c>
      <c r="C77" s="14"/>
    </row>
    <row r="78" spans="1:4" ht="23.25" customHeight="1">
      <c r="A78" s="14"/>
      <c r="B78" s="15"/>
      <c r="C78" s="14"/>
    </row>
    <row r="79" spans="1:4" ht="23.25">
      <c r="A79" s="14" t="s">
        <v>536</v>
      </c>
      <c r="B79" s="15">
        <v>0</v>
      </c>
      <c r="C79" s="14"/>
    </row>
    <row r="80" spans="1:4" ht="23.25">
      <c r="A80" s="14" t="s">
        <v>537</v>
      </c>
      <c r="B80" s="15">
        <v>0</v>
      </c>
      <c r="C80" s="14"/>
    </row>
    <row r="81" spans="1:4" ht="23.25">
      <c r="A81" s="14" t="s">
        <v>538</v>
      </c>
      <c r="B81" s="15">
        <v>2553.65</v>
      </c>
      <c r="C81" s="14"/>
    </row>
    <row r="82" spans="1:4" ht="23.25">
      <c r="A82" s="63" t="s">
        <v>539</v>
      </c>
      <c r="B82" s="15">
        <v>0</v>
      </c>
      <c r="C82" s="14"/>
    </row>
    <row r="83" spans="1:4" ht="23.25">
      <c r="A83" s="14"/>
      <c r="B83" s="15"/>
      <c r="C83" s="14"/>
    </row>
    <row r="84" spans="1:4" ht="23.25">
      <c r="A84" s="14"/>
      <c r="B84" s="15"/>
      <c r="C84" s="14"/>
    </row>
    <row r="86" spans="1:4">
      <c r="A86" s="1" t="s">
        <v>540</v>
      </c>
    </row>
    <row r="87" spans="1:4" ht="15">
      <c r="B87" s="248" t="s">
        <v>36</v>
      </c>
    </row>
    <row r="88" spans="1:4" ht="23.25">
      <c r="A88" s="103" t="s">
        <v>541</v>
      </c>
      <c r="B88" s="15">
        <v>15</v>
      </c>
      <c r="D88" s="78"/>
    </row>
    <row r="89" spans="1:4" ht="23.25">
      <c r="A89" s="103" t="s">
        <v>542</v>
      </c>
      <c r="B89" s="15">
        <v>56.59</v>
      </c>
      <c r="D89" s="78"/>
    </row>
    <row r="90" spans="1:4" ht="23.25">
      <c r="A90" s="103" t="s">
        <v>543</v>
      </c>
      <c r="B90" s="15">
        <v>104.94</v>
      </c>
      <c r="D90" s="78"/>
    </row>
    <row r="91" spans="1:4" ht="23.25">
      <c r="A91" s="103" t="s">
        <v>544</v>
      </c>
      <c r="B91" s="15">
        <v>1003.29</v>
      </c>
      <c r="D91" s="78"/>
    </row>
    <row r="92" spans="1:4" ht="23.25">
      <c r="A92" s="103" t="s">
        <v>545</v>
      </c>
      <c r="B92" s="15">
        <v>10001.65</v>
      </c>
      <c r="D92" s="78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indexed="56"/>
  </sheetPr>
  <dimension ref="A1:BJ57"/>
  <sheetViews>
    <sheetView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1" defaultRowHeight="14.25"/>
  <cols>
    <col min="1" max="1" width="44.140625" style="1" customWidth="1"/>
    <col min="2" max="2" width="32.42578125" customWidth="1"/>
    <col min="3" max="3" width="4.85546875" customWidth="1"/>
    <col min="4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14</v>
      </c>
    </row>
    <row r="7" spans="1:62" ht="24" customHeight="1">
      <c r="A7" s="12" t="s">
        <v>6</v>
      </c>
      <c r="B7" s="112" t="s">
        <v>477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3937766</v>
      </c>
      <c r="C8" s="9"/>
      <c r="BB8" s="116"/>
    </row>
    <row r="9" spans="1:62" ht="24" customHeight="1">
      <c r="A9" s="14" t="s">
        <v>12</v>
      </c>
      <c r="B9" s="115">
        <v>3576212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v>3518212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58000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9.1800000000000007E-2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0.90810000000000002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78"/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61" t="s">
        <v>229</v>
      </c>
      <c r="B15" s="115">
        <v>2051536</v>
      </c>
      <c r="C15" s="65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249">
        <v>0</v>
      </c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26">
        <v>958500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1093036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233</v>
      </c>
      <c r="B21" s="115">
        <v>1689982</v>
      </c>
      <c r="C21" s="9"/>
      <c r="BB21" s="28"/>
    </row>
    <row r="22" spans="1:62" ht="24" customHeight="1">
      <c r="A22" s="118" t="s">
        <v>213</v>
      </c>
      <c r="B22" s="119">
        <v>0</v>
      </c>
      <c r="C22" s="120"/>
      <c r="BB22" s="28"/>
    </row>
    <row r="23" spans="1:62" ht="24" customHeight="1">
      <c r="A23" s="118" t="s">
        <v>234</v>
      </c>
      <c r="B23" s="119">
        <v>1631982</v>
      </c>
      <c r="C23" s="120"/>
      <c r="BB23" s="28"/>
    </row>
    <row r="24" spans="1:62" ht="24" customHeight="1">
      <c r="A24" s="14" t="s">
        <v>235</v>
      </c>
      <c r="B24" s="115">
        <v>58000</v>
      </c>
      <c r="C24" s="9"/>
      <c r="BB24" s="28"/>
    </row>
    <row r="25" spans="1:62" ht="24" customHeight="1">
      <c r="A25" s="14" t="s">
        <v>236</v>
      </c>
      <c r="B25" s="115">
        <v>0</v>
      </c>
      <c r="C25" s="9"/>
      <c r="BB25" s="28"/>
    </row>
    <row r="26" spans="1:62" ht="8.25" customHeight="1">
      <c r="A26" s="18"/>
      <c r="B26" s="121"/>
      <c r="C26" s="122"/>
      <c r="BB26" s="28"/>
    </row>
    <row r="27" spans="1:62" ht="24" customHeight="1">
      <c r="A27" s="14" t="s">
        <v>237</v>
      </c>
      <c r="B27" s="115">
        <v>958500</v>
      </c>
      <c r="C27" s="9"/>
      <c r="BB27" s="28"/>
    </row>
    <row r="28" spans="1:62" ht="24" customHeight="1">
      <c r="A28" s="14" t="s">
        <v>238</v>
      </c>
      <c r="B28" s="115">
        <f>B27</f>
        <v>958500</v>
      </c>
      <c r="C28" s="9"/>
      <c r="BB28" s="28"/>
    </row>
    <row r="29" spans="1:62" ht="24" customHeight="1">
      <c r="A29" s="118" t="s">
        <v>239</v>
      </c>
      <c r="B29" s="119">
        <v>0</v>
      </c>
      <c r="C29" s="120"/>
      <c r="BB29" s="28"/>
    </row>
    <row r="30" spans="1:62" ht="24" customHeight="1">
      <c r="B30" s="78"/>
      <c r="BB30" s="28"/>
    </row>
    <row r="31" spans="1:62" ht="24" customHeight="1">
      <c r="A31" s="118" t="s">
        <v>240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4" t="s">
        <v>58</v>
      </c>
      <c r="B33" s="115">
        <v>56632</v>
      </c>
      <c r="C33" s="9"/>
      <c r="BB33" s="28"/>
    </row>
    <row r="34" spans="1:54" ht="24" customHeight="1">
      <c r="A34" s="14" t="s">
        <v>241</v>
      </c>
      <c r="B34" s="115">
        <v>14398</v>
      </c>
      <c r="C34" s="9"/>
      <c r="BB34" s="28"/>
    </row>
    <row r="35" spans="1:54" ht="24" customHeight="1">
      <c r="A35" s="14" t="s">
        <v>206</v>
      </c>
      <c r="B35" s="115">
        <v>42234</v>
      </c>
      <c r="C35" s="9"/>
      <c r="BB35" s="28"/>
    </row>
    <row r="36" spans="1:54" ht="24" customHeight="1">
      <c r="B36" s="78"/>
      <c r="BB36" s="28"/>
    </row>
    <row r="37" spans="1:54" ht="24" customHeight="1">
      <c r="A37" s="118" t="s">
        <v>115</v>
      </c>
      <c r="B37" s="119">
        <v>0</v>
      </c>
      <c r="C37" s="120"/>
      <c r="BB37" s="28"/>
    </row>
    <row r="38" spans="1:54" ht="24" customHeight="1">
      <c r="A38" s="118" t="s">
        <v>242</v>
      </c>
      <c r="B38" s="119">
        <v>0</v>
      </c>
      <c r="C38" s="120"/>
      <c r="BB38" s="28"/>
    </row>
    <row r="39" spans="1:54" ht="24" customHeight="1">
      <c r="A39" s="118" t="s">
        <v>117</v>
      </c>
      <c r="B39" s="119">
        <v>0</v>
      </c>
      <c r="C39" s="120"/>
      <c r="BB39" s="28"/>
    </row>
    <row r="40" spans="1:54" ht="8.25" customHeight="1">
      <c r="A40" s="18"/>
      <c r="B40" s="121"/>
      <c r="C40" s="122"/>
      <c r="BB40" s="28"/>
    </row>
    <row r="41" spans="1:54" ht="24" customHeight="1">
      <c r="B41" s="78"/>
      <c r="BB41" s="28"/>
    </row>
    <row r="42" spans="1:54" ht="24" customHeight="1">
      <c r="A42" s="14" t="s">
        <v>243</v>
      </c>
      <c r="B42" s="117">
        <f>B12</f>
        <v>9.1800000000000007E-2</v>
      </c>
      <c r="C42" s="9"/>
      <c r="BB42" s="28"/>
    </row>
    <row r="43" spans="1:54" ht="24" customHeight="1">
      <c r="A43" s="14" t="s">
        <v>244</v>
      </c>
      <c r="B43" s="117">
        <f>B13</f>
        <v>0.90810000000000002</v>
      </c>
      <c r="C43" s="9"/>
      <c r="BB43" s="28"/>
    </row>
    <row r="45" spans="1:54" ht="23.25">
      <c r="A45" s="14" t="s">
        <v>245</v>
      </c>
      <c r="B45" s="115">
        <v>0</v>
      </c>
      <c r="E45" s="108"/>
    </row>
    <row r="46" spans="1:54" ht="23.25">
      <c r="A46" s="14" t="s">
        <v>246</v>
      </c>
      <c r="B46" s="115">
        <v>0</v>
      </c>
      <c r="C46" s="108"/>
    </row>
    <row r="47" spans="1:54" ht="23.25">
      <c r="A47" s="14" t="s">
        <v>247</v>
      </c>
      <c r="B47" s="115">
        <v>0</v>
      </c>
      <c r="E47" s="16"/>
    </row>
    <row r="48" spans="1:54" ht="23.25">
      <c r="A48" s="14" t="s">
        <v>248</v>
      </c>
      <c r="B48" s="115">
        <v>0</v>
      </c>
      <c r="C48" s="16"/>
    </row>
    <row r="49" spans="1:5" ht="23.25">
      <c r="A49" s="14" t="s">
        <v>249</v>
      </c>
      <c r="B49" s="115">
        <v>0</v>
      </c>
      <c r="E49" s="16"/>
    </row>
    <row r="50" spans="1:5" ht="23.25">
      <c r="A50" s="14" t="s">
        <v>250</v>
      </c>
      <c r="B50" s="115">
        <v>0</v>
      </c>
      <c r="C50" s="16"/>
    </row>
    <row r="51" spans="1:5" ht="12">
      <c r="A51" s="108" t="s">
        <v>218</v>
      </c>
    </row>
    <row r="52" spans="1:5" ht="12">
      <c r="A52" s="16"/>
    </row>
    <row r="53" spans="1:5" ht="12">
      <c r="A53" s="16" t="s">
        <v>219</v>
      </c>
    </row>
    <row r="54" spans="1:5" ht="12">
      <c r="A54"/>
      <c r="C54" s="124"/>
    </row>
    <row r="55" spans="1:5" ht="12">
      <c r="A55" s="16" t="s">
        <v>217</v>
      </c>
    </row>
    <row r="56" spans="1:5">
      <c r="C56" s="124"/>
    </row>
    <row r="57" spans="1:5">
      <c r="A57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IV39"/>
  <sheetViews>
    <sheetView zoomScale="60" zoomScaleNormal="60" workbookViewId="0">
      <selection activeCell="A8" sqref="A8"/>
    </sheetView>
  </sheetViews>
  <sheetFormatPr defaultColWidth="12.140625" defaultRowHeight="15"/>
  <cols>
    <col min="1" max="1" width="5" style="250" customWidth="1"/>
    <col min="2" max="2" width="5.42578125" style="250" customWidth="1"/>
    <col min="3" max="3" width="17" style="250" customWidth="1"/>
    <col min="4" max="4" width="18.5703125" style="250" customWidth="1"/>
    <col min="5" max="5" width="14.140625" style="250" customWidth="1"/>
    <col min="6" max="6" width="10" style="250" customWidth="1"/>
    <col min="7" max="7" width="14.7109375" style="250" customWidth="1"/>
    <col min="8" max="8" width="5.28515625" style="250" customWidth="1"/>
    <col min="9" max="9" width="13" style="250" customWidth="1"/>
    <col min="10" max="10" width="7.28515625" style="250" customWidth="1"/>
    <col min="11" max="11" width="11" style="250" customWidth="1"/>
    <col min="12" max="12" width="17.7109375" style="250" customWidth="1"/>
    <col min="13" max="13" width="12.28515625" style="250" customWidth="1"/>
    <col min="14" max="16384" width="12.140625" style="250"/>
  </cols>
  <sheetData>
    <row r="1" spans="1:256" ht="19.5" customHeight="1">
      <c r="B1" s="251" t="s">
        <v>546</v>
      </c>
      <c r="C1" s="252">
        <v>44407</v>
      </c>
      <c r="D1" s="253"/>
      <c r="E1" s="253"/>
      <c r="F1" s="253"/>
      <c r="G1" s="1094"/>
      <c r="H1" s="1094"/>
      <c r="I1" s="1094"/>
      <c r="J1" s="254"/>
      <c r="K1" s="254"/>
      <c r="L1" s="255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s="256" customFormat="1" ht="12.75" customHeight="1">
      <c r="B2" s="257" t="s">
        <v>547</v>
      </c>
      <c r="C2" s="258" t="s">
        <v>548</v>
      </c>
      <c r="D2" s="258" t="s">
        <v>549</v>
      </c>
      <c r="E2" s="259" t="s">
        <v>550</v>
      </c>
      <c r="F2" s="1095" t="s">
        <v>551</v>
      </c>
      <c r="G2" s="260"/>
      <c r="H2" s="261"/>
      <c r="I2" s="1096" t="s">
        <v>552</v>
      </c>
      <c r="J2" s="1097"/>
      <c r="K2" s="1095" t="s">
        <v>553</v>
      </c>
      <c r="L2" s="1092" t="s">
        <v>554</v>
      </c>
    </row>
    <row r="3" spans="1:256" ht="13.5" customHeight="1">
      <c r="B3" s="262" t="s">
        <v>555</v>
      </c>
      <c r="C3" s="263"/>
      <c r="D3" s="263"/>
      <c r="E3" s="264"/>
      <c r="F3" s="1095"/>
      <c r="G3" s="265"/>
      <c r="H3" s="266"/>
      <c r="I3" s="1096"/>
      <c r="J3" s="1097"/>
      <c r="K3" s="1095"/>
      <c r="L3" s="1092"/>
    </row>
    <row r="4" spans="1:256">
      <c r="B4" s="267">
        <v>12</v>
      </c>
      <c r="C4" s="268">
        <f>'12'!B28</f>
        <v>12817000</v>
      </c>
      <c r="D4" s="268">
        <v>10215750</v>
      </c>
      <c r="E4" s="269">
        <f t="shared" ref="E4:E10" si="0">+C4-D4</f>
        <v>2601250</v>
      </c>
      <c r="F4" s="270">
        <v>0.02</v>
      </c>
      <c r="G4" s="271">
        <f>+E4*F4</f>
        <v>52025</v>
      </c>
      <c r="H4" s="271"/>
      <c r="I4" s="272">
        <f t="shared" ref="I4:I33" si="1">G4</f>
        <v>52025</v>
      </c>
      <c r="J4" s="273"/>
      <c r="K4" s="274">
        <f t="shared" ref="K4:K33" si="2">I4</f>
        <v>52025</v>
      </c>
      <c r="L4" s="275">
        <f t="shared" ref="L4:L33" si="3">+G4</f>
        <v>52025</v>
      </c>
      <c r="M4" s="276"/>
      <c r="N4" s="276"/>
      <c r="O4" s="276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ht="18" customHeight="1">
      <c r="B5" s="267">
        <v>13</v>
      </c>
      <c r="C5" s="268">
        <f>'13'!B28</f>
        <v>4474000</v>
      </c>
      <c r="D5" s="268">
        <v>4208500</v>
      </c>
      <c r="E5" s="269">
        <f t="shared" si="0"/>
        <v>265500</v>
      </c>
      <c r="F5" s="270">
        <v>0.02</v>
      </c>
      <c r="G5" s="277">
        <f>E5*F5</f>
        <v>5310</v>
      </c>
      <c r="H5" s="278"/>
      <c r="I5" s="272">
        <f t="shared" si="1"/>
        <v>5310</v>
      </c>
      <c r="J5" s="273"/>
      <c r="K5" s="274">
        <f t="shared" si="2"/>
        <v>5310</v>
      </c>
      <c r="L5" s="275">
        <f t="shared" si="3"/>
        <v>5310</v>
      </c>
      <c r="M5" s="276"/>
      <c r="N5" s="276"/>
      <c r="O5" s="276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B6" s="267">
        <v>14</v>
      </c>
      <c r="C6" s="268">
        <f>'14'!B28</f>
        <v>958500</v>
      </c>
      <c r="D6" s="268">
        <v>893000</v>
      </c>
      <c r="E6" s="269">
        <f t="shared" si="0"/>
        <v>65500</v>
      </c>
      <c r="F6" s="270">
        <v>0.02</v>
      </c>
      <c r="G6" s="277">
        <f>+E6*F6</f>
        <v>1310</v>
      </c>
      <c r="H6" s="278"/>
      <c r="I6" s="272">
        <f t="shared" si="1"/>
        <v>1310</v>
      </c>
      <c r="J6" s="273"/>
      <c r="K6" s="274">
        <f t="shared" si="2"/>
        <v>1310</v>
      </c>
      <c r="L6" s="275">
        <f t="shared" si="3"/>
        <v>1310</v>
      </c>
      <c r="M6" s="276"/>
      <c r="N6" s="276"/>
      <c r="O6" s="27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ht="17.25" customHeight="1">
      <c r="B7" s="267">
        <v>15</v>
      </c>
      <c r="C7" s="268">
        <f>'15'!B28</f>
        <v>43701000</v>
      </c>
      <c r="D7" s="268">
        <v>40145000</v>
      </c>
      <c r="E7" s="269">
        <f t="shared" si="0"/>
        <v>3556000</v>
      </c>
      <c r="F7" s="270">
        <v>0.02</v>
      </c>
      <c r="G7" s="277">
        <f>+E7*F7</f>
        <v>71120</v>
      </c>
      <c r="H7" s="278"/>
      <c r="I7" s="272">
        <f t="shared" si="1"/>
        <v>71120</v>
      </c>
      <c r="J7" s="273"/>
      <c r="K7" s="274">
        <f t="shared" si="2"/>
        <v>71120</v>
      </c>
      <c r="L7" s="275">
        <f t="shared" si="3"/>
        <v>71120</v>
      </c>
      <c r="M7" s="279"/>
      <c r="N7" s="276"/>
      <c r="O7" s="276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B8" s="267">
        <v>16</v>
      </c>
      <c r="C8" s="268">
        <f>'16'!B30</f>
        <v>7626350</v>
      </c>
      <c r="D8" s="268">
        <v>7337850</v>
      </c>
      <c r="E8" s="269">
        <f t="shared" si="0"/>
        <v>288500</v>
      </c>
      <c r="F8" s="270">
        <v>0.02</v>
      </c>
      <c r="G8" s="277">
        <f>+E8*F8</f>
        <v>5770</v>
      </c>
      <c r="H8" s="278"/>
      <c r="I8" s="272">
        <f t="shared" si="1"/>
        <v>5770</v>
      </c>
      <c r="J8" s="273"/>
      <c r="K8" s="274">
        <f t="shared" si="2"/>
        <v>5770</v>
      </c>
      <c r="L8" s="275">
        <f t="shared" si="3"/>
        <v>5770</v>
      </c>
      <c r="M8" s="276"/>
      <c r="N8" s="276"/>
      <c r="O8" s="276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B9" s="267">
        <v>17</v>
      </c>
      <c r="C9" s="268">
        <f>'17'!B29</f>
        <v>347500</v>
      </c>
      <c r="D9" s="268">
        <v>238500</v>
      </c>
      <c r="E9" s="269">
        <f t="shared" si="0"/>
        <v>109000</v>
      </c>
      <c r="F9" s="270">
        <v>0.02</v>
      </c>
      <c r="G9" s="277">
        <f>+E9*F9</f>
        <v>2180</v>
      </c>
      <c r="H9" s="278"/>
      <c r="I9" s="272">
        <f t="shared" si="1"/>
        <v>2180</v>
      </c>
      <c r="J9" s="273"/>
      <c r="K9" s="274">
        <f t="shared" si="2"/>
        <v>2180</v>
      </c>
      <c r="L9" s="275">
        <f t="shared" si="3"/>
        <v>2180</v>
      </c>
      <c r="M9" s="276"/>
      <c r="N9" s="276"/>
      <c r="O9" s="276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276"/>
      <c r="B10" s="267">
        <v>18</v>
      </c>
      <c r="C10" s="268">
        <f>'18'!B28</f>
        <v>130500</v>
      </c>
      <c r="D10" s="268">
        <v>297750</v>
      </c>
      <c r="E10" s="269">
        <f t="shared" si="0"/>
        <v>-167250</v>
      </c>
      <c r="F10" s="270">
        <v>0.02</v>
      </c>
      <c r="G10" s="277">
        <f>+E10*F10</f>
        <v>-3345</v>
      </c>
      <c r="H10" s="278"/>
      <c r="I10" s="272">
        <f t="shared" si="1"/>
        <v>-3345</v>
      </c>
      <c r="J10" s="273"/>
      <c r="K10" s="274">
        <f t="shared" si="2"/>
        <v>-3345</v>
      </c>
      <c r="L10" s="275">
        <f t="shared" si="3"/>
        <v>-3345</v>
      </c>
      <c r="M10" s="276"/>
      <c r="N10" s="276"/>
      <c r="O10" s="276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ht="15.75" customHeight="1">
      <c r="B11" s="267">
        <v>24</v>
      </c>
      <c r="C11" s="268">
        <f>'24'!B38</f>
        <v>4086500</v>
      </c>
      <c r="D11" s="268">
        <v>4086500</v>
      </c>
      <c r="E11" s="269">
        <f t="shared" ref="E11:E33" si="4">+C11-D11</f>
        <v>0</v>
      </c>
      <c r="F11" s="270">
        <v>0.01</v>
      </c>
      <c r="G11" s="277">
        <f t="shared" ref="G11:G33" si="5">+E11*F11</f>
        <v>0</v>
      </c>
      <c r="H11" s="278"/>
      <c r="I11" s="272">
        <f t="shared" si="1"/>
        <v>0</v>
      </c>
      <c r="J11" s="273"/>
      <c r="K11" s="274">
        <f t="shared" si="2"/>
        <v>0</v>
      </c>
      <c r="L11" s="275">
        <f t="shared" si="3"/>
        <v>0</v>
      </c>
      <c r="M11" s="276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B12" s="267">
        <v>26</v>
      </c>
      <c r="C12" s="268">
        <f>'26'!B38</f>
        <v>37511500</v>
      </c>
      <c r="D12" s="268">
        <v>37511500</v>
      </c>
      <c r="E12" s="269">
        <f t="shared" si="4"/>
        <v>0</v>
      </c>
      <c r="F12" s="270">
        <v>0.01</v>
      </c>
      <c r="G12" s="277">
        <f t="shared" si="5"/>
        <v>0</v>
      </c>
      <c r="H12" s="278"/>
      <c r="I12" s="272">
        <f t="shared" si="1"/>
        <v>0</v>
      </c>
      <c r="J12" s="273"/>
      <c r="K12" s="274">
        <f t="shared" si="2"/>
        <v>0</v>
      </c>
      <c r="L12" s="275">
        <f t="shared" si="3"/>
        <v>0</v>
      </c>
      <c r="M12" s="276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/>
      <c r="B13" s="267">
        <v>27</v>
      </c>
      <c r="C13" s="268">
        <f>'27'!B29</f>
        <v>14848500</v>
      </c>
      <c r="D13" s="268">
        <v>76447000</v>
      </c>
      <c r="E13" s="269">
        <f t="shared" si="4"/>
        <v>-61598500</v>
      </c>
      <c r="F13" s="270">
        <v>0.01</v>
      </c>
      <c r="G13" s="277">
        <f t="shared" si="5"/>
        <v>-615985</v>
      </c>
      <c r="H13" s="278"/>
      <c r="I13" s="272">
        <f t="shared" si="1"/>
        <v>-615985</v>
      </c>
      <c r="J13" s="273"/>
      <c r="K13" s="274">
        <f t="shared" si="2"/>
        <v>-615985</v>
      </c>
      <c r="L13" s="275">
        <f t="shared" si="3"/>
        <v>-615985</v>
      </c>
      <c r="M13" s="276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/>
      <c r="B14" s="267">
        <v>28</v>
      </c>
      <c r="C14" s="268">
        <f>'28'!B30</f>
        <v>3958300</v>
      </c>
      <c r="D14" s="268">
        <v>3410300</v>
      </c>
      <c r="E14" s="269">
        <f t="shared" si="4"/>
        <v>548000</v>
      </c>
      <c r="F14" s="270">
        <v>0.02</v>
      </c>
      <c r="G14" s="277">
        <f t="shared" si="5"/>
        <v>10960</v>
      </c>
      <c r="H14" s="278"/>
      <c r="I14" s="272">
        <f t="shared" si="1"/>
        <v>10960</v>
      </c>
      <c r="J14" s="273"/>
      <c r="K14" s="274">
        <f t="shared" si="2"/>
        <v>10960</v>
      </c>
      <c r="L14" s="275">
        <f t="shared" si="3"/>
        <v>10960</v>
      </c>
      <c r="M14" s="276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 ht="15.75" customHeight="1">
      <c r="A15"/>
      <c r="B15" s="267">
        <v>40</v>
      </c>
      <c r="C15" s="268">
        <f>'40'!B26</f>
        <v>3116190</v>
      </c>
      <c r="D15" s="268">
        <v>2462600</v>
      </c>
      <c r="E15" s="269">
        <f t="shared" si="4"/>
        <v>653590</v>
      </c>
      <c r="F15" s="270">
        <v>1</v>
      </c>
      <c r="G15" s="277">
        <f t="shared" si="5"/>
        <v>653590</v>
      </c>
      <c r="H15" s="278"/>
      <c r="I15" s="272">
        <f t="shared" si="1"/>
        <v>653590</v>
      </c>
      <c r="J15" s="273"/>
      <c r="K15" s="274">
        <f t="shared" si="2"/>
        <v>653590</v>
      </c>
      <c r="L15" s="275">
        <f t="shared" si="3"/>
        <v>653590</v>
      </c>
      <c r="M15" s="276"/>
      <c r="N15" s="250" t="s">
        <v>556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>
      <c r="A16"/>
      <c r="B16" s="267">
        <v>41</v>
      </c>
      <c r="C16" s="268">
        <f>'41'!B25</f>
        <v>3199850</v>
      </c>
      <c r="D16" s="268">
        <v>2670280</v>
      </c>
      <c r="E16" s="269">
        <f t="shared" si="4"/>
        <v>529570</v>
      </c>
      <c r="F16" s="270">
        <v>1</v>
      </c>
      <c r="G16" s="277">
        <f t="shared" si="5"/>
        <v>529570</v>
      </c>
      <c r="H16" s="278"/>
      <c r="I16" s="272">
        <f t="shared" si="1"/>
        <v>529570</v>
      </c>
      <c r="J16" s="273"/>
      <c r="K16" s="274">
        <f t="shared" si="2"/>
        <v>529570</v>
      </c>
      <c r="L16" s="275">
        <f t="shared" si="3"/>
        <v>529570</v>
      </c>
      <c r="M16" s="276"/>
      <c r="N16" s="250" t="s">
        <v>557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spans="1:256">
      <c r="A17"/>
      <c r="B17" s="267">
        <v>42</v>
      </c>
      <c r="C17" s="268">
        <f>'42'!B26</f>
        <v>3713170</v>
      </c>
      <c r="D17" s="268">
        <v>3158000</v>
      </c>
      <c r="E17" s="269">
        <f t="shared" si="4"/>
        <v>555170</v>
      </c>
      <c r="F17" s="270">
        <v>1</v>
      </c>
      <c r="G17" s="277">
        <f t="shared" si="5"/>
        <v>555170</v>
      </c>
      <c r="H17" s="278"/>
      <c r="I17" s="272">
        <f t="shared" si="1"/>
        <v>555170</v>
      </c>
      <c r="J17" s="273"/>
      <c r="K17" s="274">
        <f t="shared" si="2"/>
        <v>555170</v>
      </c>
      <c r="L17" s="275">
        <f t="shared" si="3"/>
        <v>555170</v>
      </c>
      <c r="M17" s="276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>
      <c r="A18"/>
      <c r="B18" s="267">
        <v>43</v>
      </c>
      <c r="C18" s="268">
        <f>'43'!B26</f>
        <v>3055780</v>
      </c>
      <c r="D18" s="268">
        <v>2480175</v>
      </c>
      <c r="E18" s="269">
        <f t="shared" si="4"/>
        <v>575605</v>
      </c>
      <c r="F18" s="270">
        <v>1</v>
      </c>
      <c r="G18" s="277">
        <f t="shared" si="5"/>
        <v>575605</v>
      </c>
      <c r="H18" s="278"/>
      <c r="I18" s="272">
        <f t="shared" si="1"/>
        <v>575605</v>
      </c>
      <c r="J18" s="273"/>
      <c r="K18" s="274">
        <f t="shared" si="2"/>
        <v>575605</v>
      </c>
      <c r="L18" s="275">
        <f t="shared" si="3"/>
        <v>575605</v>
      </c>
      <c r="M18" s="276" t="s">
        <v>558</v>
      </c>
      <c r="N18" s="250" t="s">
        <v>559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spans="1:256" ht="14.25" customHeight="1">
      <c r="A19"/>
      <c r="B19" s="267">
        <v>48</v>
      </c>
      <c r="C19" s="268">
        <f>'50N'!B41</f>
        <v>19031</v>
      </c>
      <c r="D19" s="268">
        <v>281705</v>
      </c>
      <c r="E19" s="269">
        <f t="shared" si="4"/>
        <v>-262674</v>
      </c>
      <c r="F19" s="270">
        <v>1</v>
      </c>
      <c r="G19" s="277">
        <f t="shared" si="5"/>
        <v>-262674</v>
      </c>
      <c r="H19" s="278"/>
      <c r="I19" s="272">
        <f t="shared" si="1"/>
        <v>-262674</v>
      </c>
      <c r="J19" s="273"/>
      <c r="K19" s="274">
        <f t="shared" si="2"/>
        <v>-262674</v>
      </c>
      <c r="L19" s="275">
        <f t="shared" si="3"/>
        <v>-262674</v>
      </c>
      <c r="M19" s="276" t="s">
        <v>560</v>
      </c>
      <c r="N19" s="250" t="s">
        <v>561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 ht="15.75" customHeight="1">
      <c r="A20"/>
      <c r="B20" s="267">
        <v>49</v>
      </c>
      <c r="C20" s="268">
        <f>'49'!B42</f>
        <v>29136</v>
      </c>
      <c r="D20" s="268">
        <v>28896</v>
      </c>
      <c r="E20" s="269">
        <f t="shared" si="4"/>
        <v>240</v>
      </c>
      <c r="F20" s="270">
        <v>1</v>
      </c>
      <c r="G20" s="277">
        <f t="shared" si="5"/>
        <v>240</v>
      </c>
      <c r="H20" s="278"/>
      <c r="I20" s="272">
        <f t="shared" si="1"/>
        <v>240</v>
      </c>
      <c r="J20" s="273"/>
      <c r="K20" s="274">
        <f t="shared" si="2"/>
        <v>240</v>
      </c>
      <c r="L20" s="275">
        <f t="shared" si="3"/>
        <v>240</v>
      </c>
      <c r="M20" s="276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ht="12.75" customHeight="1">
      <c r="A21"/>
      <c r="B21" s="267">
        <v>50</v>
      </c>
      <c r="C21" s="268">
        <f>D21</f>
        <v>145290</v>
      </c>
      <c r="D21" s="268">
        <v>145290</v>
      </c>
      <c r="E21" s="269">
        <f t="shared" si="4"/>
        <v>0</v>
      </c>
      <c r="F21" s="270">
        <v>1</v>
      </c>
      <c r="G21" s="277">
        <f t="shared" si="5"/>
        <v>0</v>
      </c>
      <c r="H21" s="280"/>
      <c r="I21" s="272">
        <f t="shared" si="1"/>
        <v>0</v>
      </c>
      <c r="J21" s="273"/>
      <c r="K21" s="274">
        <f t="shared" si="2"/>
        <v>0</v>
      </c>
      <c r="L21" s="275">
        <f t="shared" si="3"/>
        <v>0</v>
      </c>
      <c r="M21" s="276" t="s">
        <v>562</v>
      </c>
      <c r="N21" s="250" t="s">
        <v>563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</row>
    <row r="22" spans="1:256" ht="15.75" customHeight="1">
      <c r="A22"/>
      <c r="B22" s="267">
        <v>51</v>
      </c>
      <c r="C22" s="268">
        <v>21820</v>
      </c>
      <c r="D22" s="268">
        <v>21820</v>
      </c>
      <c r="E22" s="269">
        <f t="shared" si="4"/>
        <v>0</v>
      </c>
      <c r="F22" s="270">
        <v>1</v>
      </c>
      <c r="G22" s="277">
        <f t="shared" si="5"/>
        <v>0</v>
      </c>
      <c r="H22" s="280"/>
      <c r="I22" s="272">
        <f t="shared" si="1"/>
        <v>0</v>
      </c>
      <c r="J22" s="273"/>
      <c r="K22" s="274">
        <f t="shared" si="2"/>
        <v>0</v>
      </c>
      <c r="L22" s="275">
        <f t="shared" si="3"/>
        <v>0</v>
      </c>
      <c r="M22" s="276"/>
      <c r="N22" s="250" t="s">
        <v>564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>
      <c r="A23"/>
      <c r="B23" s="267">
        <v>67</v>
      </c>
      <c r="C23" s="268">
        <f>'67'!B42</f>
        <v>19257</v>
      </c>
      <c r="D23" s="268">
        <v>18497</v>
      </c>
      <c r="E23" s="269">
        <f t="shared" si="4"/>
        <v>760</v>
      </c>
      <c r="F23" s="281">
        <v>1</v>
      </c>
      <c r="G23" s="271">
        <f t="shared" si="5"/>
        <v>760</v>
      </c>
      <c r="H23" s="282"/>
      <c r="I23" s="272">
        <f t="shared" si="1"/>
        <v>760</v>
      </c>
      <c r="J23" s="273"/>
      <c r="K23" s="274">
        <f t="shared" si="2"/>
        <v>760</v>
      </c>
      <c r="L23" s="275">
        <f t="shared" si="3"/>
        <v>760</v>
      </c>
      <c r="M23" s="276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/>
      <c r="B24" s="267">
        <v>66</v>
      </c>
      <c r="C24" s="268">
        <f>'66'!B41</f>
        <v>4485</v>
      </c>
      <c r="D24" s="268">
        <v>4315</v>
      </c>
      <c r="E24" s="269">
        <f t="shared" si="4"/>
        <v>170</v>
      </c>
      <c r="F24" s="281">
        <v>1</v>
      </c>
      <c r="G24" s="271">
        <f t="shared" si="5"/>
        <v>170</v>
      </c>
      <c r="H24" s="282"/>
      <c r="I24" s="272">
        <f t="shared" si="1"/>
        <v>170</v>
      </c>
      <c r="J24" s="273"/>
      <c r="K24" s="274">
        <f t="shared" si="2"/>
        <v>170</v>
      </c>
      <c r="L24" s="275">
        <f t="shared" si="3"/>
        <v>170</v>
      </c>
      <c r="M24" s="276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>
      <c r="A25"/>
      <c r="B25" s="267">
        <v>65</v>
      </c>
      <c r="C25" s="268">
        <f>'65'!B41</f>
        <v>30629</v>
      </c>
      <c r="D25" s="268">
        <v>29279</v>
      </c>
      <c r="E25" s="269">
        <f t="shared" si="4"/>
        <v>1350</v>
      </c>
      <c r="F25" s="281">
        <v>1</v>
      </c>
      <c r="G25" s="271">
        <f t="shared" si="5"/>
        <v>1350</v>
      </c>
      <c r="H25" s="282"/>
      <c r="I25" s="272">
        <f t="shared" si="1"/>
        <v>1350</v>
      </c>
      <c r="J25" s="273"/>
      <c r="K25" s="274">
        <f t="shared" si="2"/>
        <v>1350</v>
      </c>
      <c r="L25" s="275">
        <f t="shared" si="3"/>
        <v>1350</v>
      </c>
      <c r="M25" s="276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/>
      <c r="B26" s="267">
        <v>55</v>
      </c>
      <c r="C26" s="268">
        <f>'55'!B41</f>
        <v>15326</v>
      </c>
      <c r="D26" s="268">
        <v>15326</v>
      </c>
      <c r="E26" s="269">
        <f t="shared" si="4"/>
        <v>0</v>
      </c>
      <c r="F26" s="281">
        <v>1</v>
      </c>
      <c r="G26" s="271">
        <f t="shared" si="5"/>
        <v>0</v>
      </c>
      <c r="H26" s="271"/>
      <c r="I26" s="272">
        <f t="shared" si="1"/>
        <v>0</v>
      </c>
      <c r="J26" s="273"/>
      <c r="K26" s="274">
        <f t="shared" si="2"/>
        <v>0</v>
      </c>
      <c r="L26" s="275">
        <f t="shared" si="3"/>
        <v>0</v>
      </c>
      <c r="M26" s="27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/>
      <c r="B27" s="267">
        <v>56</v>
      </c>
      <c r="C27" s="268">
        <f>'56'!B41</f>
        <v>132905</v>
      </c>
      <c r="D27" s="268">
        <v>132905</v>
      </c>
      <c r="E27" s="269">
        <f t="shared" si="4"/>
        <v>0</v>
      </c>
      <c r="F27" s="281">
        <v>1</v>
      </c>
      <c r="G27" s="271">
        <f t="shared" si="5"/>
        <v>0</v>
      </c>
      <c r="H27" s="271"/>
      <c r="I27" s="272">
        <f t="shared" si="1"/>
        <v>0</v>
      </c>
      <c r="J27" s="273"/>
      <c r="K27" s="274">
        <f t="shared" si="2"/>
        <v>0</v>
      </c>
      <c r="L27" s="275">
        <f t="shared" si="3"/>
        <v>0</v>
      </c>
      <c r="M27" s="276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/>
      <c r="B28" s="267">
        <v>57</v>
      </c>
      <c r="C28" s="268">
        <f>'57'!B41</f>
        <v>0</v>
      </c>
      <c r="D28" s="268">
        <v>1396</v>
      </c>
      <c r="E28" s="269">
        <f t="shared" si="4"/>
        <v>-1396</v>
      </c>
      <c r="F28" s="281">
        <v>1</v>
      </c>
      <c r="G28" s="271">
        <f t="shared" si="5"/>
        <v>-1396</v>
      </c>
      <c r="H28" s="271"/>
      <c r="I28" s="272">
        <f t="shared" si="1"/>
        <v>-1396</v>
      </c>
      <c r="J28" s="273"/>
      <c r="K28" s="274">
        <f t="shared" si="2"/>
        <v>-1396</v>
      </c>
      <c r="L28" s="275">
        <f t="shared" si="3"/>
        <v>-1396</v>
      </c>
      <c r="M28" s="276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 ht="14.25" customHeight="1">
      <c r="A29"/>
      <c r="B29" s="267">
        <v>58</v>
      </c>
      <c r="C29" s="268">
        <f>'58'!B42</f>
        <v>0</v>
      </c>
      <c r="D29" s="268">
        <v>75332</v>
      </c>
      <c r="E29" s="269">
        <f t="shared" si="4"/>
        <v>-75332</v>
      </c>
      <c r="F29" s="281">
        <v>1</v>
      </c>
      <c r="G29" s="271">
        <f t="shared" si="5"/>
        <v>-75332</v>
      </c>
      <c r="H29" s="271"/>
      <c r="I29" s="272">
        <f t="shared" si="1"/>
        <v>-75332</v>
      </c>
      <c r="J29" s="273"/>
      <c r="K29" s="274">
        <f t="shared" si="2"/>
        <v>-75332</v>
      </c>
      <c r="L29" s="275">
        <f t="shared" si="3"/>
        <v>-75332</v>
      </c>
      <c r="M29" s="276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11.25" customHeight="1">
      <c r="A30"/>
      <c r="B30" s="267">
        <v>59</v>
      </c>
      <c r="C30" s="268">
        <v>133965</v>
      </c>
      <c r="D30" s="268">
        <v>133965</v>
      </c>
      <c r="E30" s="269">
        <f t="shared" si="4"/>
        <v>0</v>
      </c>
      <c r="F30" s="281">
        <v>1</v>
      </c>
      <c r="G30" s="271">
        <f t="shared" si="5"/>
        <v>0</v>
      </c>
      <c r="H30" s="271"/>
      <c r="I30" s="272">
        <f t="shared" si="1"/>
        <v>0</v>
      </c>
      <c r="J30" s="273"/>
      <c r="K30" s="274">
        <f t="shared" si="2"/>
        <v>0</v>
      </c>
      <c r="L30" s="275">
        <f t="shared" si="3"/>
        <v>0</v>
      </c>
      <c r="M30" s="276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>
      <c r="A31"/>
      <c r="B31" s="267">
        <v>60</v>
      </c>
      <c r="C31" s="268">
        <f>'60'!B42</f>
        <v>106682</v>
      </c>
      <c r="D31" s="268">
        <v>106682</v>
      </c>
      <c r="E31" s="283">
        <f t="shared" si="4"/>
        <v>0</v>
      </c>
      <c r="F31" s="284">
        <v>1</v>
      </c>
      <c r="G31" s="271">
        <f t="shared" si="5"/>
        <v>0</v>
      </c>
      <c r="H31" s="271"/>
      <c r="I31" s="272">
        <f t="shared" si="1"/>
        <v>0</v>
      </c>
      <c r="J31" s="273"/>
      <c r="K31" s="274">
        <f t="shared" si="2"/>
        <v>0</v>
      </c>
      <c r="L31" s="275">
        <f t="shared" si="3"/>
        <v>0</v>
      </c>
      <c r="M31" s="276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/>
      <c r="B32" s="267">
        <v>61</v>
      </c>
      <c r="C32" s="268">
        <f>'61'!B41</f>
        <v>7893</v>
      </c>
      <c r="D32" s="268">
        <v>7893</v>
      </c>
      <c r="E32" s="283">
        <f t="shared" si="4"/>
        <v>0</v>
      </c>
      <c r="F32" s="284">
        <v>1</v>
      </c>
      <c r="G32" s="271">
        <f t="shared" si="5"/>
        <v>0</v>
      </c>
      <c r="H32" s="271"/>
      <c r="I32" s="272">
        <f t="shared" si="1"/>
        <v>0</v>
      </c>
      <c r="J32" s="273"/>
      <c r="K32" s="274">
        <f t="shared" si="2"/>
        <v>0</v>
      </c>
      <c r="L32" s="275">
        <f t="shared" si="3"/>
        <v>0</v>
      </c>
      <c r="M32" s="276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>
      <c r="A33"/>
      <c r="B33" s="285">
        <v>54</v>
      </c>
      <c r="C33" s="268">
        <f>'54'!B28</f>
        <v>204050</v>
      </c>
      <c r="D33" s="268">
        <v>204050</v>
      </c>
      <c r="E33" s="286">
        <f t="shared" si="4"/>
        <v>0</v>
      </c>
      <c r="F33" s="284">
        <v>0.2</v>
      </c>
      <c r="G33" s="287">
        <f t="shared" si="5"/>
        <v>0</v>
      </c>
      <c r="H33" s="277"/>
      <c r="I33" s="272">
        <f t="shared" si="1"/>
        <v>0</v>
      </c>
      <c r="J33" s="273"/>
      <c r="K33" s="274">
        <f t="shared" si="2"/>
        <v>0</v>
      </c>
      <c r="L33" s="288">
        <f t="shared" si="3"/>
        <v>0</v>
      </c>
      <c r="M33" s="276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ht="27.75" customHeight="1">
      <c r="A34"/>
      <c r="B34" s="1093">
        <v>0</v>
      </c>
      <c r="C34" s="1093"/>
      <c r="D34" s="1093"/>
      <c r="E34" s="1093"/>
      <c r="F34" s="1093"/>
      <c r="G34" s="289">
        <f t="shared" ref="G34:L34" si="6">SUM(G4:G33)</f>
        <v>1506398</v>
      </c>
      <c r="H34" s="289">
        <f t="shared" si="6"/>
        <v>0</v>
      </c>
      <c r="I34" s="289">
        <f t="shared" si="6"/>
        <v>1506398</v>
      </c>
      <c r="J34" s="289">
        <f t="shared" si="6"/>
        <v>0</v>
      </c>
      <c r="K34" s="290">
        <f t="shared" si="6"/>
        <v>1506398</v>
      </c>
      <c r="L34" s="291">
        <f t="shared" si="6"/>
        <v>1506398</v>
      </c>
      <c r="M34" s="276" t="s">
        <v>565</v>
      </c>
      <c r="N34" s="250" t="s">
        <v>566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ht="14.25" customHeight="1">
      <c r="A35"/>
      <c r="B35" s="292"/>
      <c r="C35" s="292"/>
      <c r="D35" s="292"/>
      <c r="E35" s="292"/>
      <c r="F35" s="292"/>
      <c r="G35" s="293"/>
      <c r="H35" s="294"/>
      <c r="J35" s="295"/>
      <c r="K35" s="279"/>
      <c r="L35" s="296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 ht="14.25" customHeight="1">
      <c r="A36"/>
      <c r="B36" s="292"/>
      <c r="C36" s="292"/>
      <c r="D36" s="292"/>
      <c r="E36" s="292"/>
      <c r="F36" s="292"/>
      <c r="G36" s="293"/>
      <c r="H36" s="294"/>
      <c r="J36" s="295"/>
      <c r="K36" s="296"/>
      <c r="L36" s="29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 ht="15.75">
      <c r="A37"/>
      <c r="B37"/>
      <c r="C37"/>
      <c r="D37"/>
      <c r="E37"/>
      <c r="F37"/>
      <c r="J37" s="297"/>
      <c r="K37" s="298"/>
      <c r="L37" s="295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15.75">
      <c r="A38"/>
      <c r="B38"/>
      <c r="C38"/>
      <c r="D38"/>
      <c r="E38"/>
      <c r="F38"/>
      <c r="I38" s="297"/>
      <c r="K38" s="29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>
      <c r="A39"/>
      <c r="B39"/>
      <c r="C39"/>
      <c r="D39"/>
      <c r="E39"/>
      <c r="F39"/>
      <c r="K39" s="29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</sheetData>
  <sheetProtection selectLockedCells="1" selectUnlockedCells="1"/>
  <mergeCells count="7">
    <mergeCell ref="L2:L3"/>
    <mergeCell ref="B34:F34"/>
    <mergeCell ref="G1:I1"/>
    <mergeCell ref="F2:F3"/>
    <mergeCell ref="I2:I3"/>
    <mergeCell ref="J2:J3"/>
    <mergeCell ref="K2:K3"/>
  </mergeCells>
  <pageMargins left="0.1701388888888889" right="0.12013888888888889" top="0.37986111111111109" bottom="0.12013888888888889" header="0.51180555555555551" footer="0.51180555555555551"/>
  <pageSetup scale="110" firstPageNumber="0" orientation="landscape" horizontalDpi="300" verticalDpi="300" r:id="rId1"/>
  <headerFooter alignWithMargins="0"/>
  <colBreaks count="1" manualBreakCount="1">
    <brk id="12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BJ95"/>
  <sheetViews>
    <sheetView topLeftCell="A5" workbookViewId="0">
      <selection activeCell="A8" sqref="A8"/>
    </sheetView>
  </sheetViews>
  <sheetFormatPr defaultColWidth="11" defaultRowHeight="14.25"/>
  <cols>
    <col min="1" max="1" width="49.28515625" style="1" customWidth="1"/>
    <col min="2" max="2" width="39.140625" style="2" customWidth="1"/>
    <col min="3" max="3" width="20.42578125" customWidth="1"/>
    <col min="4" max="5" width="18.28515625" customWidth="1"/>
    <col min="6" max="6" width="13.425781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15">
      <c r="A4" s="6" t="s">
        <v>4</v>
      </c>
      <c r="B4" s="10">
        <v>1</v>
      </c>
      <c r="C4" s="9"/>
    </row>
    <row r="5" spans="1:10">
      <c r="B5" s="37" t="s">
        <v>567</v>
      </c>
      <c r="C5" s="9"/>
    </row>
    <row r="6" spans="1:10" ht="23.25">
      <c r="A6" s="11" t="s">
        <v>5</v>
      </c>
      <c r="B6" s="38">
        <v>66</v>
      </c>
      <c r="C6" s="9"/>
    </row>
    <row r="7" spans="1:10" ht="18">
      <c r="A7" s="12" t="s">
        <v>6</v>
      </c>
      <c r="B7" s="13" t="s">
        <v>370</v>
      </c>
      <c r="C7" s="9"/>
    </row>
    <row r="8" spans="1:10" ht="23.25">
      <c r="A8" s="40" t="s">
        <v>76</v>
      </c>
      <c r="B8" s="41">
        <v>99050.91</v>
      </c>
      <c r="C8" s="14"/>
    </row>
    <row r="9" spans="1:10" ht="23.25">
      <c r="A9" s="40" t="s">
        <v>333</v>
      </c>
      <c r="B9" s="41">
        <v>87529.8</v>
      </c>
      <c r="C9" s="14"/>
    </row>
    <row r="10" spans="1:10" ht="23.25">
      <c r="A10" s="40" t="s">
        <v>334</v>
      </c>
      <c r="B10" s="41">
        <f>B9</f>
        <v>87529.8</v>
      </c>
      <c r="C10" s="14"/>
    </row>
    <row r="11" spans="1:10" ht="23.25">
      <c r="A11" s="40" t="s">
        <v>90</v>
      </c>
      <c r="B11" s="41">
        <v>4485</v>
      </c>
      <c r="C11" s="14"/>
    </row>
    <row r="12" spans="1:10" ht="23.25">
      <c r="A12" s="40" t="s">
        <v>335</v>
      </c>
      <c r="B12" s="41">
        <v>0</v>
      </c>
      <c r="C12" s="14"/>
    </row>
    <row r="13" spans="1:10" ht="23.25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3.25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3.25">
      <c r="A15" s="40" t="s">
        <v>338</v>
      </c>
      <c r="B15" s="45">
        <v>186843</v>
      </c>
      <c r="C15" s="9"/>
      <c r="D15" s="16"/>
      <c r="E15" s="16"/>
      <c r="F15" s="16"/>
      <c r="G15" s="16"/>
    </row>
    <row r="16" spans="1:10" ht="23.25">
      <c r="A16" s="40" t="s">
        <v>339</v>
      </c>
      <c r="B16" s="45">
        <v>44502</v>
      </c>
      <c r="C16" s="9"/>
      <c r="D16" s="16"/>
      <c r="E16" s="16"/>
      <c r="F16" s="16"/>
      <c r="G16" s="16"/>
    </row>
    <row r="17" spans="1:7" ht="23.25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3.25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3.25">
      <c r="A19" s="40" t="s">
        <v>342</v>
      </c>
      <c r="B19" s="45">
        <v>385</v>
      </c>
      <c r="C19" s="9"/>
    </row>
    <row r="20" spans="1:7" ht="23.25">
      <c r="A20" s="40" t="s">
        <v>343</v>
      </c>
      <c r="B20" s="45">
        <v>284</v>
      </c>
      <c r="C20" s="9"/>
    </row>
    <row r="21" spans="1:7" ht="23.25">
      <c r="A21" s="40" t="s">
        <v>72</v>
      </c>
      <c r="B21" s="41">
        <v>0</v>
      </c>
      <c r="C21" s="9"/>
    </row>
    <row r="22" spans="1:7" ht="23.25">
      <c r="A22" s="40" t="s">
        <v>344</v>
      </c>
      <c r="B22" s="41">
        <v>0</v>
      </c>
      <c r="C22" s="9"/>
    </row>
    <row r="23" spans="1:7" ht="23.25">
      <c r="A23" s="158" t="s">
        <v>71</v>
      </c>
      <c r="B23" s="160">
        <v>37468.31</v>
      </c>
      <c r="C23" s="160">
        <f>B23-B41</f>
        <v>32983.31</v>
      </c>
      <c r="F23" s="43">
        <f>+B23-B41</f>
        <v>32983.31</v>
      </c>
    </row>
    <row r="24" spans="1:7" ht="23.25">
      <c r="A24" s="158" t="s">
        <v>81</v>
      </c>
      <c r="B24" s="160">
        <v>25947.200000000001</v>
      </c>
      <c r="C24" s="162"/>
    </row>
    <row r="25" spans="1:7" ht="23.25">
      <c r="A25" s="40" t="s">
        <v>345</v>
      </c>
      <c r="B25" s="41">
        <v>20902.22</v>
      </c>
      <c r="C25" s="9"/>
    </row>
    <row r="26" spans="1:7" ht="23.25">
      <c r="A26" s="40" t="s">
        <v>346</v>
      </c>
      <c r="B26" s="44">
        <v>0.78890000000000005</v>
      </c>
      <c r="C26" s="9"/>
    </row>
    <row r="27" spans="1:7" ht="23.25">
      <c r="A27" s="40" t="s">
        <v>347</v>
      </c>
      <c r="B27" s="44">
        <f>B26</f>
        <v>0.78890000000000005</v>
      </c>
      <c r="C27" s="9"/>
    </row>
    <row r="28" spans="1:7" ht="23.25">
      <c r="A28" s="40" t="s">
        <v>348</v>
      </c>
      <c r="B28" s="45">
        <v>0</v>
      </c>
      <c r="C28" s="20"/>
    </row>
    <row r="29" spans="1:7" ht="23.25">
      <c r="A29" s="40" t="s">
        <v>349</v>
      </c>
      <c r="B29" s="45">
        <v>0</v>
      </c>
      <c r="C29" s="9"/>
    </row>
    <row r="30" spans="1:7" ht="23.25">
      <c r="A30" s="40" t="s">
        <v>350</v>
      </c>
      <c r="B30" s="45">
        <v>0</v>
      </c>
      <c r="C30" s="9"/>
    </row>
    <row r="31" spans="1:7" ht="23.25">
      <c r="A31" s="40" t="s">
        <v>351</v>
      </c>
      <c r="B31" s="45">
        <v>0</v>
      </c>
      <c r="C31" s="24"/>
    </row>
    <row r="32" spans="1:7" ht="23.25">
      <c r="A32" s="40" t="s">
        <v>352</v>
      </c>
      <c r="B32" s="45">
        <v>0</v>
      </c>
      <c r="C32" s="9"/>
    </row>
    <row r="33" spans="1:62" ht="23.25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3.25">
      <c r="A34" s="40" t="s">
        <v>354</v>
      </c>
      <c r="B34" s="45">
        <v>80</v>
      </c>
      <c r="C34" s="27"/>
    </row>
    <row r="35" spans="1:62" ht="23.25">
      <c r="A35" s="40" t="s">
        <v>355</v>
      </c>
      <c r="B35" s="45">
        <f>B34</f>
        <v>80</v>
      </c>
      <c r="C35" s="9"/>
    </row>
    <row r="36" spans="1:62" ht="23.25">
      <c r="A36" s="40" t="s">
        <v>356</v>
      </c>
      <c r="B36" s="45">
        <v>75</v>
      </c>
      <c r="C36" s="9"/>
    </row>
    <row r="37" spans="1:62" ht="23.25">
      <c r="A37" s="40" t="s">
        <v>357</v>
      </c>
      <c r="B37" s="44">
        <v>0</v>
      </c>
      <c r="C37" s="9"/>
    </row>
    <row r="38" spans="1:62" ht="23.25">
      <c r="A38" s="40" t="s">
        <v>358</v>
      </c>
      <c r="B38" s="41">
        <v>0.25</v>
      </c>
      <c r="C38" s="9"/>
    </row>
    <row r="39" spans="1:62" ht="23.25">
      <c r="A39" s="40" t="s">
        <v>359</v>
      </c>
      <c r="B39" s="41">
        <v>0</v>
      </c>
      <c r="C39" s="9"/>
    </row>
    <row r="40" spans="1:62" ht="23.25">
      <c r="A40" s="40" t="s">
        <v>360</v>
      </c>
      <c r="B40" s="44">
        <v>0</v>
      </c>
      <c r="C40" s="9"/>
    </row>
    <row r="41" spans="1:62" ht="23.25">
      <c r="A41" s="165" t="s">
        <v>361</v>
      </c>
      <c r="B41" s="166">
        <v>4485</v>
      </c>
      <c r="C41" s="24"/>
    </row>
    <row r="42" spans="1:62" ht="23.25">
      <c r="A42" s="40" t="s">
        <v>362</v>
      </c>
      <c r="B42" s="133">
        <v>266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3.25">
      <c r="B43" s="167">
        <v>0</v>
      </c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3.25">
      <c r="A44" s="168"/>
      <c r="B44" s="16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3.25">
      <c r="A45" s="170"/>
      <c r="B45" s="169"/>
    </row>
    <row r="46" spans="1:62" ht="23.25">
      <c r="A46" s="173"/>
      <c r="B46" s="46"/>
    </row>
    <row r="47" spans="1:62" ht="23.25">
      <c r="A47" s="173"/>
      <c r="B47" s="46"/>
    </row>
    <row r="48" spans="1:62" ht="23.25">
      <c r="A48" s="175"/>
      <c r="B48" s="46"/>
    </row>
    <row r="49" spans="1:3" ht="23.25">
      <c r="A49" s="173"/>
      <c r="B49" s="46"/>
    </row>
    <row r="50" spans="1:3" ht="23.25">
      <c r="A50" s="173"/>
      <c r="B50" s="46"/>
    </row>
    <row r="51" spans="1:3" ht="23.25">
      <c r="A51" s="173"/>
      <c r="B51" s="46"/>
    </row>
    <row r="52" spans="1:3" ht="23.25">
      <c r="A52" s="173"/>
      <c r="B52" s="46"/>
      <c r="C52" s="172"/>
    </row>
    <row r="53" spans="1:3" ht="23.25">
      <c r="A53" s="173"/>
      <c r="B53" s="46"/>
    </row>
    <row r="54" spans="1:3" ht="23.25">
      <c r="A54" s="173"/>
      <c r="B54" s="46"/>
    </row>
    <row r="55" spans="1:3" ht="23.25">
      <c r="A55" s="173"/>
      <c r="B55" s="46"/>
    </row>
    <row r="56" spans="1:3" ht="23.25">
      <c r="A56" s="173"/>
      <c r="B56" s="46"/>
    </row>
    <row r="57" spans="1:3" ht="23.25">
      <c r="A57" s="173"/>
      <c r="B57" s="46"/>
    </row>
    <row r="58" spans="1:3" ht="23.25">
      <c r="A58" s="170"/>
      <c r="B58" s="174"/>
    </row>
    <row r="59" spans="1:3" ht="23.25">
      <c r="A59" s="173"/>
      <c r="B59" s="46"/>
    </row>
    <row r="60" spans="1:3" ht="23.25">
      <c r="A60" s="173"/>
      <c r="B60" s="46"/>
    </row>
    <row r="61" spans="1:3" ht="23.25">
      <c r="A61" s="175"/>
      <c r="B61" s="46"/>
    </row>
    <row r="62" spans="1:3" ht="23.25">
      <c r="A62" s="173"/>
      <c r="B62" s="46"/>
    </row>
    <row r="63" spans="1:3" ht="23.25">
      <c r="A63" s="173"/>
      <c r="B63" s="46"/>
    </row>
    <row r="64" spans="1:3" ht="23.25">
      <c r="A64" s="173"/>
      <c r="B64" s="46"/>
    </row>
    <row r="65" spans="1:2" ht="23.25">
      <c r="A65" s="173"/>
      <c r="B65" s="46"/>
    </row>
    <row r="66" spans="1:2" ht="23.25">
      <c r="A66" s="173"/>
      <c r="B66" s="46"/>
    </row>
    <row r="67" spans="1:2" ht="23.25">
      <c r="A67" s="173"/>
      <c r="B67" s="46"/>
    </row>
    <row r="68" spans="1:2" ht="23.25">
      <c r="A68" s="173"/>
      <c r="B68" s="46"/>
    </row>
    <row r="69" spans="1:2" ht="23.25">
      <c r="A69" s="173"/>
      <c r="B69" s="46"/>
    </row>
    <row r="70" spans="1:2" ht="23.25">
      <c r="A70" s="173"/>
      <c r="B70" s="46"/>
    </row>
    <row r="71" spans="1:2" ht="23.25">
      <c r="A71" s="170"/>
      <c r="B71" s="174"/>
    </row>
    <row r="72" spans="1:2" ht="23.25">
      <c r="A72" s="173"/>
      <c r="B72" s="46"/>
    </row>
    <row r="73" spans="1:2" ht="23.25">
      <c r="A73" s="173"/>
      <c r="B73" s="46"/>
    </row>
    <row r="74" spans="1:2" ht="23.25">
      <c r="A74" s="175"/>
      <c r="B74" s="46"/>
    </row>
    <row r="75" spans="1:2" ht="23.25">
      <c r="A75" s="173"/>
      <c r="B75" s="46"/>
    </row>
    <row r="76" spans="1:2" ht="23.25">
      <c r="A76" s="173"/>
      <c r="B76" s="46"/>
    </row>
    <row r="77" spans="1:2" ht="23.25">
      <c r="A77" s="173"/>
      <c r="B77" s="46"/>
    </row>
    <row r="78" spans="1:2" ht="23.25">
      <c r="A78" s="173"/>
      <c r="B78" s="46"/>
    </row>
    <row r="79" spans="1:2" ht="23.25">
      <c r="A79" s="173"/>
      <c r="B79" s="46"/>
    </row>
    <row r="80" spans="1:2" ht="23.25">
      <c r="A80" s="173"/>
      <c r="B80" s="46"/>
    </row>
    <row r="81" spans="1:2" ht="23.25">
      <c r="A81" s="173"/>
      <c r="B81" s="46"/>
    </row>
    <row r="82" spans="1:2" ht="23.25">
      <c r="A82" s="173"/>
      <c r="B82" s="46"/>
    </row>
    <row r="83" spans="1:2" ht="23.25">
      <c r="A83" s="173"/>
      <c r="B83" s="46"/>
    </row>
    <row r="84" spans="1:2" ht="23.25">
      <c r="A84" s="170"/>
      <c r="B84" s="174"/>
    </row>
    <row r="85" spans="1:2" ht="23.25">
      <c r="A85" s="173"/>
      <c r="B85" s="46"/>
    </row>
    <row r="86" spans="1:2" ht="23.25">
      <c r="A86" s="173"/>
      <c r="B86" s="46"/>
    </row>
    <row r="87" spans="1:2" ht="23.25">
      <c r="A87" s="175"/>
      <c r="B87" s="46"/>
    </row>
    <row r="88" spans="1:2" ht="23.25">
      <c r="A88" s="173"/>
      <c r="B88" s="46"/>
    </row>
    <row r="89" spans="1:2" ht="23.25">
      <c r="A89" s="173"/>
      <c r="B89" s="46"/>
    </row>
    <row r="90" spans="1:2" ht="23.25">
      <c r="A90" s="173"/>
      <c r="B90" s="46"/>
    </row>
    <row r="91" spans="1:2" ht="23.25">
      <c r="A91" s="173"/>
      <c r="B91" s="46"/>
    </row>
    <row r="92" spans="1:2" ht="23.25">
      <c r="A92" s="173"/>
      <c r="B92" s="46"/>
    </row>
    <row r="93" spans="1:2" ht="23.25">
      <c r="A93" s="173"/>
      <c r="B93" s="46"/>
    </row>
    <row r="94" spans="1:2" ht="23.25">
      <c r="A94" s="173"/>
      <c r="B94" s="46"/>
    </row>
    <row r="95" spans="1:2" ht="23.25">
      <c r="A95" s="173"/>
      <c r="B95" s="4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BJ96"/>
  <sheetViews>
    <sheetView workbookViewId="0">
      <selection activeCell="A8" sqref="A8"/>
    </sheetView>
  </sheetViews>
  <sheetFormatPr defaultColWidth="11" defaultRowHeight="14.25"/>
  <cols>
    <col min="1" max="1" width="41" style="1" customWidth="1"/>
    <col min="2" max="2" width="22.140625" style="2" customWidth="1"/>
    <col min="3" max="3" width="47.28515625" customWidth="1"/>
    <col min="4" max="5" width="19.2851562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15">
      <c r="A4" s="6" t="s">
        <v>4</v>
      </c>
      <c r="B4" s="10">
        <v>1</v>
      </c>
      <c r="C4" s="9"/>
    </row>
    <row r="5" spans="1:10">
      <c r="B5" s="37" t="s">
        <v>568</v>
      </c>
      <c r="C5" s="300"/>
    </row>
    <row r="6" spans="1:10" ht="23.25">
      <c r="A6" s="11" t="s">
        <v>5</v>
      </c>
      <c r="B6" s="38">
        <v>65</v>
      </c>
      <c r="C6" s="9"/>
    </row>
    <row r="7" spans="1:10" ht="18">
      <c r="A7" s="12" t="s">
        <v>6</v>
      </c>
      <c r="B7" s="13" t="s">
        <v>457</v>
      </c>
      <c r="C7" s="9"/>
    </row>
    <row r="8" spans="1:10" ht="23.25">
      <c r="A8" s="14" t="s">
        <v>76</v>
      </c>
      <c r="B8" s="301">
        <v>89972.76</v>
      </c>
      <c r="C8" s="14"/>
    </row>
    <row r="9" spans="1:10" ht="23.25">
      <c r="A9" s="14" t="s">
        <v>333</v>
      </c>
      <c r="B9" s="301">
        <v>82463.460000000006</v>
      </c>
      <c r="C9" s="14"/>
    </row>
    <row r="10" spans="1:10" ht="23.25">
      <c r="A10" s="14" t="s">
        <v>334</v>
      </c>
      <c r="B10" s="301">
        <f>B9</f>
        <v>82463.460000000006</v>
      </c>
      <c r="C10" s="14"/>
    </row>
    <row r="11" spans="1:10" ht="23.25">
      <c r="A11" s="14" t="s">
        <v>90</v>
      </c>
      <c r="B11" s="301">
        <v>30629</v>
      </c>
      <c r="C11" s="14"/>
    </row>
    <row r="12" spans="1:10" ht="23.25">
      <c r="A12" s="14" t="s">
        <v>335</v>
      </c>
      <c r="B12" s="301">
        <v>0</v>
      </c>
      <c r="C12" s="14"/>
    </row>
    <row r="13" spans="1:10" ht="23.25">
      <c r="A13" s="14" t="s">
        <v>336</v>
      </c>
      <c r="B13" s="301">
        <v>0</v>
      </c>
      <c r="C13" s="9"/>
      <c r="D13" s="16"/>
      <c r="E13" s="16"/>
      <c r="F13" s="16"/>
      <c r="G13" s="16"/>
    </row>
    <row r="14" spans="1:10" ht="23.25">
      <c r="A14" s="14" t="s">
        <v>337</v>
      </c>
      <c r="B14" s="301">
        <v>0</v>
      </c>
      <c r="C14" s="9"/>
      <c r="D14" s="16"/>
      <c r="E14" s="16"/>
      <c r="F14" s="16"/>
      <c r="G14" s="16"/>
    </row>
    <row r="15" spans="1:10" ht="23.25">
      <c r="A15" s="14" t="s">
        <v>338</v>
      </c>
      <c r="B15" s="35">
        <v>182883</v>
      </c>
      <c r="C15" s="9"/>
      <c r="D15" s="16"/>
      <c r="E15" s="16"/>
      <c r="F15" s="16"/>
      <c r="G15" s="16"/>
    </row>
    <row r="16" spans="1:10" ht="23.25">
      <c r="A16" s="14" t="s">
        <v>339</v>
      </c>
      <c r="B16" s="35">
        <v>49073</v>
      </c>
      <c r="C16" s="9"/>
      <c r="D16" s="16"/>
      <c r="E16" s="16"/>
      <c r="F16" s="16"/>
      <c r="G16" s="16"/>
    </row>
    <row r="17" spans="1:7" ht="23.25">
      <c r="A17" s="14" t="s">
        <v>340</v>
      </c>
      <c r="B17" s="301">
        <v>0</v>
      </c>
      <c r="C17" s="9"/>
      <c r="D17" s="16"/>
      <c r="E17" s="16"/>
      <c r="F17" s="16"/>
      <c r="G17" s="16"/>
    </row>
    <row r="18" spans="1:7" ht="23.25">
      <c r="A18" s="14" t="s">
        <v>341</v>
      </c>
      <c r="B18" s="301">
        <v>0</v>
      </c>
      <c r="C18" s="9"/>
      <c r="D18" s="16"/>
      <c r="E18" s="16"/>
      <c r="F18" s="16"/>
      <c r="G18" s="16"/>
    </row>
    <row r="19" spans="1:7" ht="23.25">
      <c r="A19" s="14" t="s">
        <v>342</v>
      </c>
      <c r="B19" s="35">
        <v>400</v>
      </c>
      <c r="C19" s="9"/>
    </row>
    <row r="20" spans="1:7" ht="23.25">
      <c r="A20" s="14" t="s">
        <v>569</v>
      </c>
      <c r="B20" s="35">
        <v>1251</v>
      </c>
      <c r="C20" s="9"/>
    </row>
    <row r="21" spans="1:7" ht="23.25">
      <c r="A21" s="14" t="s">
        <v>72</v>
      </c>
      <c r="B21" s="301">
        <v>0</v>
      </c>
      <c r="C21" s="9"/>
    </row>
    <row r="22" spans="1:7" ht="23.25">
      <c r="A22" s="14" t="s">
        <v>344</v>
      </c>
      <c r="B22" s="301">
        <v>0</v>
      </c>
      <c r="C22" s="9"/>
    </row>
    <row r="23" spans="1:7" ht="23.25">
      <c r="A23" s="130" t="s">
        <v>71</v>
      </c>
      <c r="B23" s="226">
        <v>58885.69</v>
      </c>
      <c r="C23" s="226">
        <f>B23-B41</f>
        <v>28256.690000000002</v>
      </c>
    </row>
    <row r="24" spans="1:7" ht="23.25">
      <c r="A24" s="130" t="s">
        <v>81</v>
      </c>
      <c r="B24" s="226">
        <v>51376.39</v>
      </c>
      <c r="C24" s="162"/>
    </row>
    <row r="25" spans="1:7" ht="23.25">
      <c r="A25" s="14" t="s">
        <v>345</v>
      </c>
      <c r="B25" s="301">
        <v>15401.2</v>
      </c>
      <c r="C25" s="9"/>
    </row>
    <row r="26" spans="1:7" ht="23.25">
      <c r="A26" s="14" t="s">
        <v>346</v>
      </c>
      <c r="B26" s="21">
        <v>0.82879999999999998</v>
      </c>
      <c r="C26" s="9"/>
    </row>
    <row r="27" spans="1:7" ht="23.25">
      <c r="A27" s="14" t="s">
        <v>347</v>
      </c>
      <c r="B27" s="21">
        <f>B26</f>
        <v>0.82879999999999998</v>
      </c>
      <c r="C27" s="9"/>
    </row>
    <row r="28" spans="1:7" ht="23.25">
      <c r="A28" s="14" t="s">
        <v>348</v>
      </c>
      <c r="B28" s="35">
        <v>0</v>
      </c>
      <c r="C28" s="20"/>
    </row>
    <row r="29" spans="1:7" ht="23.25">
      <c r="A29" s="14" t="s">
        <v>349</v>
      </c>
      <c r="B29" s="35">
        <v>0</v>
      </c>
      <c r="C29" s="9"/>
    </row>
    <row r="30" spans="1:7" ht="23.25">
      <c r="A30" s="14" t="s">
        <v>350</v>
      </c>
      <c r="B30" s="35">
        <v>0</v>
      </c>
      <c r="C30" s="9"/>
    </row>
    <row r="31" spans="1:7" ht="23.25">
      <c r="A31" s="22" t="s">
        <v>351</v>
      </c>
      <c r="B31" s="35">
        <v>0</v>
      </c>
      <c r="C31" s="24"/>
    </row>
    <row r="32" spans="1:7" ht="23.25">
      <c r="A32" s="14" t="s">
        <v>352</v>
      </c>
      <c r="B32" s="35">
        <v>38</v>
      </c>
      <c r="C32" s="9"/>
    </row>
    <row r="33" spans="1:62" ht="23.25">
      <c r="A33" s="1" t="s">
        <v>353</v>
      </c>
      <c r="B33" s="3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3.25">
      <c r="A34" s="14" t="s">
        <v>354</v>
      </c>
      <c r="B34" s="35">
        <v>460</v>
      </c>
      <c r="C34" s="27"/>
    </row>
    <row r="35" spans="1:62" ht="23.25">
      <c r="A35" s="14" t="s">
        <v>355</v>
      </c>
      <c r="B35" s="35">
        <f>B34</f>
        <v>460</v>
      </c>
      <c r="C35" s="9"/>
    </row>
    <row r="36" spans="1:62" ht="23.25">
      <c r="A36" s="14" t="s">
        <v>356</v>
      </c>
      <c r="B36" s="35">
        <v>354</v>
      </c>
      <c r="C36" s="9"/>
    </row>
    <row r="37" spans="1:62" ht="23.25">
      <c r="A37" s="14" t="s">
        <v>357</v>
      </c>
      <c r="B37" s="21">
        <v>0</v>
      </c>
      <c r="C37" s="9"/>
    </row>
    <row r="38" spans="1:62" ht="23.25">
      <c r="A38" s="22" t="s">
        <v>358</v>
      </c>
      <c r="B38" s="301">
        <v>0</v>
      </c>
      <c r="C38" s="9"/>
    </row>
    <row r="39" spans="1:62" ht="23.25">
      <c r="A39" s="14" t="s">
        <v>359</v>
      </c>
      <c r="B39" s="301">
        <v>0</v>
      </c>
      <c r="C39" s="9"/>
    </row>
    <row r="40" spans="1:62" ht="23.25">
      <c r="A40" s="66" t="s">
        <v>360</v>
      </c>
      <c r="B40" s="21">
        <v>0</v>
      </c>
      <c r="C40" s="9"/>
    </row>
    <row r="41" spans="1:62" ht="23.25">
      <c r="A41" s="14" t="s">
        <v>361</v>
      </c>
      <c r="B41" s="302">
        <v>30629</v>
      </c>
      <c r="C41" s="24"/>
    </row>
    <row r="42" spans="1:62" ht="23.25">
      <c r="A42" s="1" t="s">
        <v>362</v>
      </c>
      <c r="B42" s="35">
        <v>1538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3.25">
      <c r="A43" s="14"/>
      <c r="B43" s="29"/>
      <c r="C43" s="9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3.25">
      <c r="A44" s="31"/>
      <c r="B44" s="178"/>
      <c r="C44" s="33"/>
    </row>
    <row r="45" spans="1:62" ht="23.25">
      <c r="A45" s="168" t="s">
        <v>455</v>
      </c>
      <c r="B45" s="169"/>
      <c r="C45" s="9"/>
      <c r="BB45" s="16"/>
      <c r="BC45" s="16"/>
      <c r="BD45" s="16"/>
      <c r="BE45" s="16"/>
      <c r="BF45" s="16"/>
      <c r="BG45" s="16"/>
      <c r="BH45" s="16"/>
      <c r="BI45" s="16"/>
      <c r="BJ45" s="16"/>
    </row>
    <row r="46" spans="1:62" ht="23.25">
      <c r="A46" s="170" t="s">
        <v>372</v>
      </c>
      <c r="B46" s="169"/>
      <c r="C46" s="33"/>
    </row>
    <row r="47" spans="1:62" ht="23.25">
      <c r="A47" s="40" t="s">
        <v>374</v>
      </c>
      <c r="B47" s="47">
        <v>2</v>
      </c>
      <c r="C47" s="9"/>
    </row>
    <row r="48" spans="1:62" ht="23.25">
      <c r="A48" s="40" t="s">
        <v>375</v>
      </c>
      <c r="B48" s="47">
        <v>10889.66</v>
      </c>
      <c r="C48" s="9"/>
    </row>
    <row r="49" spans="1:3" ht="23.25">
      <c r="A49" s="171" t="s">
        <v>376</v>
      </c>
      <c r="B49" s="47">
        <v>4000.38</v>
      </c>
      <c r="C49" s="9"/>
    </row>
    <row r="50" spans="1:3" ht="23.25">
      <c r="A50" s="40" t="s">
        <v>377</v>
      </c>
      <c r="B50" s="47">
        <v>4000</v>
      </c>
      <c r="C50" s="9"/>
    </row>
    <row r="51" spans="1:3" ht="23.25">
      <c r="A51" s="40" t="s">
        <v>378</v>
      </c>
      <c r="B51" s="47">
        <v>0</v>
      </c>
      <c r="C51" s="9"/>
    </row>
    <row r="52" spans="1:3" ht="23.25">
      <c r="A52" s="40" t="s">
        <v>379</v>
      </c>
      <c r="B52" s="47">
        <v>0</v>
      </c>
      <c r="C52" s="9"/>
    </row>
    <row r="53" spans="1:3" ht="23.25">
      <c r="A53" s="40" t="s">
        <v>380</v>
      </c>
      <c r="B53" s="47">
        <v>0</v>
      </c>
      <c r="C53" s="20"/>
    </row>
    <row r="54" spans="1:3" ht="23.25">
      <c r="A54" s="40" t="s">
        <v>381</v>
      </c>
      <c r="B54" s="47">
        <v>0</v>
      </c>
      <c r="C54" s="9"/>
    </row>
    <row r="55" spans="1:3" ht="23.25">
      <c r="A55" s="40" t="s">
        <v>382</v>
      </c>
      <c r="B55" s="47">
        <v>0</v>
      </c>
      <c r="C55" s="9"/>
    </row>
    <row r="56" spans="1:3" ht="23.25">
      <c r="A56" s="40" t="s">
        <v>383</v>
      </c>
      <c r="B56" s="47">
        <v>5511.24</v>
      </c>
      <c r="C56" s="9"/>
    </row>
    <row r="57" spans="1:3" ht="23.25">
      <c r="A57" s="40" t="s">
        <v>384</v>
      </c>
      <c r="B57" s="47">
        <v>5378.42</v>
      </c>
      <c r="C57" s="9"/>
    </row>
    <row r="58" spans="1:3" ht="23.25">
      <c r="A58" s="173"/>
      <c r="B58" s="46"/>
      <c r="C58" s="9"/>
    </row>
    <row r="59" spans="1:3" ht="23.25">
      <c r="A59" s="170" t="s">
        <v>385</v>
      </c>
      <c r="B59" s="174"/>
      <c r="C59" s="9"/>
    </row>
    <row r="60" spans="1:3" ht="23.25">
      <c r="A60" s="40" t="s">
        <v>374</v>
      </c>
      <c r="B60" s="47">
        <v>71</v>
      </c>
      <c r="C60" s="9"/>
    </row>
    <row r="61" spans="1:3" ht="23.25">
      <c r="A61" s="40" t="s">
        <v>375</v>
      </c>
      <c r="B61" s="47">
        <v>22149.1</v>
      </c>
      <c r="C61" s="9"/>
    </row>
    <row r="62" spans="1:3" ht="23.25">
      <c r="A62" s="171" t="s">
        <v>376</v>
      </c>
      <c r="B62" s="47">
        <v>61.21</v>
      </c>
      <c r="C62" s="9"/>
    </row>
    <row r="63" spans="1:3" ht="23.25">
      <c r="A63" s="40" t="s">
        <v>377</v>
      </c>
      <c r="B63" s="47">
        <v>60</v>
      </c>
      <c r="C63" s="9"/>
    </row>
    <row r="64" spans="1:3" ht="23.25">
      <c r="A64" s="40" t="s">
        <v>378</v>
      </c>
      <c r="B64" s="47">
        <v>0</v>
      </c>
      <c r="C64" s="9"/>
    </row>
    <row r="65" spans="1:3" ht="23.25">
      <c r="A65" s="40" t="s">
        <v>379</v>
      </c>
      <c r="B65" s="47">
        <v>0</v>
      </c>
      <c r="C65" s="9"/>
    </row>
    <row r="66" spans="1:3" ht="23.25">
      <c r="A66" s="40" t="s">
        <v>380</v>
      </c>
      <c r="B66" s="47">
        <v>0</v>
      </c>
      <c r="C66" s="9"/>
    </row>
    <row r="67" spans="1:3" ht="23.25">
      <c r="A67" s="40" t="s">
        <v>381</v>
      </c>
      <c r="B67" s="47">
        <v>0</v>
      </c>
      <c r="C67" s="9"/>
    </row>
    <row r="68" spans="1:3" ht="23.25">
      <c r="A68" s="40" t="s">
        <v>382</v>
      </c>
      <c r="B68" s="47">
        <v>0</v>
      </c>
      <c r="C68" s="9"/>
    </row>
    <row r="69" spans="1:3" ht="23.25">
      <c r="A69" s="40" t="s">
        <v>383</v>
      </c>
      <c r="B69" s="47">
        <v>109.34</v>
      </c>
      <c r="C69" s="9"/>
    </row>
    <row r="70" spans="1:3" ht="23.25">
      <c r="A70" s="40" t="s">
        <v>384</v>
      </c>
      <c r="B70" s="47">
        <v>60.03</v>
      </c>
      <c r="C70" s="9"/>
    </row>
    <row r="71" spans="1:3" ht="23.25">
      <c r="A71" s="173"/>
      <c r="B71" s="46"/>
      <c r="C71" s="9"/>
    </row>
    <row r="72" spans="1:3" ht="23.25">
      <c r="A72" s="170" t="s">
        <v>387</v>
      </c>
      <c r="B72" s="174"/>
      <c r="C72" s="9"/>
    </row>
    <row r="73" spans="1:3" ht="23.25">
      <c r="A73" s="40" t="s">
        <v>374</v>
      </c>
      <c r="B73" s="47">
        <v>221</v>
      </c>
      <c r="C73" s="9"/>
    </row>
    <row r="74" spans="1:3" ht="23.25">
      <c r="A74" s="40" t="s">
        <v>375</v>
      </c>
      <c r="B74" s="47">
        <v>10747.55</v>
      </c>
      <c r="C74" s="9"/>
    </row>
    <row r="75" spans="1:3" ht="23.25">
      <c r="A75" s="171" t="s">
        <v>376</v>
      </c>
      <c r="B75" s="47">
        <v>18.87</v>
      </c>
      <c r="C75" s="9"/>
    </row>
    <row r="76" spans="1:3" ht="23.25">
      <c r="A76" s="40" t="s">
        <v>377</v>
      </c>
      <c r="B76" s="47">
        <v>18</v>
      </c>
      <c r="C76" s="9"/>
    </row>
    <row r="77" spans="1:3" ht="23.25">
      <c r="A77" s="40" t="s">
        <v>378</v>
      </c>
      <c r="B77" s="47">
        <v>0</v>
      </c>
      <c r="C77" s="9"/>
    </row>
    <row r="78" spans="1:3" ht="23.25">
      <c r="A78" s="40" t="s">
        <v>379</v>
      </c>
      <c r="B78" s="47">
        <v>0</v>
      </c>
      <c r="C78" s="9"/>
    </row>
    <row r="79" spans="1:3" ht="23.25">
      <c r="A79" s="40" t="s">
        <v>380</v>
      </c>
      <c r="B79" s="47">
        <v>0</v>
      </c>
    </row>
    <row r="80" spans="1:3" ht="23.25">
      <c r="A80" s="40" t="s">
        <v>381</v>
      </c>
      <c r="B80" s="47">
        <v>0</v>
      </c>
    </row>
    <row r="81" spans="1:2" ht="23.25">
      <c r="A81" s="40" t="s">
        <v>382</v>
      </c>
      <c r="B81" s="47">
        <v>0</v>
      </c>
    </row>
    <row r="82" spans="1:2" ht="23.25">
      <c r="A82" s="40" t="s">
        <v>383</v>
      </c>
      <c r="B82" s="47">
        <v>59.96</v>
      </c>
    </row>
    <row r="83" spans="1:2" ht="23.25">
      <c r="A83" s="40" t="s">
        <v>384</v>
      </c>
      <c r="B83" s="47">
        <v>18</v>
      </c>
    </row>
    <row r="84" spans="1:2" ht="23.25">
      <c r="A84" s="173"/>
      <c r="B84" s="46"/>
    </row>
    <row r="85" spans="1:2" ht="23.25">
      <c r="A85" s="170" t="s">
        <v>389</v>
      </c>
      <c r="B85" s="174"/>
    </row>
    <row r="86" spans="1:2" ht="23.25">
      <c r="A86" s="40" t="s">
        <v>374</v>
      </c>
      <c r="B86" s="47">
        <v>138</v>
      </c>
    </row>
    <row r="87" spans="1:2" ht="23.25">
      <c r="A87" s="40" t="s">
        <v>375</v>
      </c>
      <c r="B87" s="47">
        <v>4739.1899999999996</v>
      </c>
    </row>
    <row r="88" spans="1:2" ht="23.25">
      <c r="A88" s="171" t="s">
        <v>376</v>
      </c>
      <c r="B88" s="47">
        <v>7.45</v>
      </c>
    </row>
    <row r="89" spans="1:2" ht="23.25">
      <c r="A89" s="40" t="s">
        <v>377</v>
      </c>
      <c r="B89" s="47">
        <v>3</v>
      </c>
    </row>
    <row r="90" spans="1:2" ht="23.25">
      <c r="A90" s="40" t="s">
        <v>378</v>
      </c>
      <c r="B90" s="47">
        <v>0</v>
      </c>
    </row>
    <row r="91" spans="1:2" ht="23.25">
      <c r="A91" s="40" t="s">
        <v>379</v>
      </c>
      <c r="B91" s="47">
        <v>0</v>
      </c>
    </row>
    <row r="92" spans="1:2" ht="23.25">
      <c r="A92" s="40" t="s">
        <v>380</v>
      </c>
      <c r="B92" s="47">
        <v>0</v>
      </c>
    </row>
    <row r="93" spans="1:2" ht="23.25">
      <c r="A93" s="40" t="s">
        <v>381</v>
      </c>
      <c r="B93" s="47">
        <v>0</v>
      </c>
    </row>
    <row r="94" spans="1:2" ht="23.25">
      <c r="A94" s="40" t="s">
        <v>382</v>
      </c>
      <c r="B94" s="47">
        <v>0</v>
      </c>
    </row>
    <row r="95" spans="1:2" ht="23.25">
      <c r="A95" s="40" t="s">
        <v>383</v>
      </c>
      <c r="B95" s="47">
        <v>18</v>
      </c>
    </row>
    <row r="96" spans="1:2" ht="23.25">
      <c r="A96" s="40" t="s">
        <v>384</v>
      </c>
      <c r="B96" s="47">
        <v>3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BI77"/>
  <sheetViews>
    <sheetView topLeftCell="A33" workbookViewId="0">
      <selection activeCell="A8" sqref="A8"/>
    </sheetView>
  </sheetViews>
  <sheetFormatPr defaultColWidth="11" defaultRowHeight="14.25"/>
  <cols>
    <col min="1" max="1" width="41" style="1" customWidth="1"/>
    <col min="2" max="2" width="30" style="2" customWidth="1"/>
    <col min="3" max="3" width="26.42578125" customWidth="1"/>
    <col min="4" max="191" width="11.42578125" customWidth="1"/>
    <col min="192" max="192" width="31.5703125" customWidth="1"/>
    <col min="193" max="193" width="30" customWidth="1"/>
    <col min="194" max="194" width="4.85546875" customWidth="1"/>
    <col min="195" max="195" width="2.28515625" customWidth="1"/>
    <col min="196" max="200" width="0" hidden="1" customWidth="1"/>
    <col min="201" max="201" width="0.42578125" customWidth="1"/>
    <col min="202" max="209" width="3.85546875" customWidth="1"/>
    <col min="210" max="210" width="0.42578125" customWidth="1"/>
    <col min="211" max="211" width="3" customWidth="1"/>
    <col min="212" max="218" width="3.140625" customWidth="1"/>
    <col min="219" max="219" width="0.42578125" customWidth="1"/>
    <col min="220" max="227" width="3.140625" customWidth="1"/>
    <col min="228" max="228" width="0.42578125" customWidth="1"/>
    <col min="229" max="234" width="3.140625" customWidth="1"/>
    <col min="235" max="235" width="3.28515625" customWidth="1"/>
    <col min="236" max="236" width="3.7109375" customWidth="1"/>
    <col min="237" max="237" width="0.85546875" customWidth="1"/>
    <col min="238" max="244" width="3.140625" customWidth="1"/>
    <col min="245" max="245" width="0.42578125" customWidth="1"/>
    <col min="246" max="253" width="3.140625" customWidth="1"/>
    <col min="254" max="254" width="0.28515625" customWidth="1"/>
  </cols>
  <sheetData>
    <row r="1" spans="1:9">
      <c r="A1" s="3"/>
      <c r="B1" s="4"/>
      <c r="I1" t="s">
        <v>69</v>
      </c>
    </row>
    <row r="2" spans="1:9" ht="15">
      <c r="A2" s="6" t="s">
        <v>0</v>
      </c>
      <c r="B2" s="7" t="s">
        <v>70</v>
      </c>
    </row>
    <row r="3" spans="1:9" ht="15">
      <c r="A3" s="6"/>
      <c r="B3" s="7" t="s">
        <v>368</v>
      </c>
    </row>
    <row r="4" spans="1:9" ht="15">
      <c r="A4" s="6" t="s">
        <v>4</v>
      </c>
      <c r="B4" s="10">
        <v>1</v>
      </c>
    </row>
    <row r="5" spans="1:9">
      <c r="B5" s="37" t="s">
        <v>570</v>
      </c>
    </row>
    <row r="6" spans="1:9" ht="23.25">
      <c r="A6" s="11" t="s">
        <v>5</v>
      </c>
      <c r="B6" s="38">
        <v>67</v>
      </c>
    </row>
    <row r="7" spans="1:9" ht="18">
      <c r="A7" s="12" t="s">
        <v>6</v>
      </c>
      <c r="B7" s="223" t="s">
        <v>571</v>
      </c>
    </row>
    <row r="8" spans="1:9" ht="23.25">
      <c r="A8" s="61" t="s">
        <v>76</v>
      </c>
      <c r="B8" s="224">
        <v>154507.91</v>
      </c>
    </row>
    <row r="9" spans="1:9" ht="23.25" hidden="1">
      <c r="A9" s="61" t="s">
        <v>446</v>
      </c>
      <c r="B9" s="224">
        <v>136215.82999999999</v>
      </c>
    </row>
    <row r="10" spans="1:9" ht="23.25">
      <c r="A10" s="61" t="s">
        <v>333</v>
      </c>
      <c r="B10" s="224">
        <v>143402.76999999999</v>
      </c>
    </row>
    <row r="11" spans="1:9" ht="23.25">
      <c r="A11" s="61" t="s">
        <v>334</v>
      </c>
      <c r="B11" s="224">
        <v>154416.22</v>
      </c>
    </row>
    <row r="12" spans="1:9" ht="23.25">
      <c r="A12" s="61" t="s">
        <v>90</v>
      </c>
      <c r="B12" s="224">
        <v>19257</v>
      </c>
    </row>
    <row r="13" spans="1:9" ht="23.25">
      <c r="A13" s="61" t="s">
        <v>335</v>
      </c>
      <c r="B13" s="224">
        <v>0</v>
      </c>
    </row>
    <row r="14" spans="1:9" ht="23.25">
      <c r="A14" s="61" t="s">
        <v>336</v>
      </c>
      <c r="B14" s="224">
        <v>0</v>
      </c>
      <c r="C14" s="16"/>
      <c r="D14" s="16"/>
      <c r="E14" s="16"/>
      <c r="F14" s="16"/>
    </row>
    <row r="15" spans="1:9" ht="23.25">
      <c r="A15" s="61" t="s">
        <v>337</v>
      </c>
      <c r="B15" s="224">
        <v>11013.45</v>
      </c>
      <c r="C15" s="16"/>
      <c r="D15" s="16"/>
      <c r="E15" s="16"/>
      <c r="F15" s="16"/>
    </row>
    <row r="16" spans="1:9" ht="23.25">
      <c r="A16" s="61" t="s">
        <v>338</v>
      </c>
      <c r="B16" s="237">
        <v>257645</v>
      </c>
      <c r="C16" s="16"/>
      <c r="D16" s="16"/>
      <c r="E16" s="16"/>
      <c r="F16" s="16"/>
    </row>
    <row r="17" spans="1:6" ht="23.25">
      <c r="A17" s="61" t="s">
        <v>339</v>
      </c>
      <c r="B17" s="237">
        <v>64463</v>
      </c>
      <c r="C17" s="16"/>
      <c r="D17" s="16"/>
      <c r="E17" s="16"/>
      <c r="F17" s="16"/>
    </row>
    <row r="18" spans="1:6" ht="23.25">
      <c r="A18" s="61" t="s">
        <v>340</v>
      </c>
      <c r="B18" s="224">
        <v>123.79</v>
      </c>
      <c r="C18" s="16"/>
      <c r="D18" s="16"/>
      <c r="E18" s="16"/>
      <c r="F18" s="16"/>
    </row>
    <row r="19" spans="1:6" ht="23.25">
      <c r="A19" s="61" t="s">
        <v>341</v>
      </c>
      <c r="B19" s="224">
        <v>11013.45</v>
      </c>
      <c r="C19" s="16"/>
      <c r="D19" s="16"/>
      <c r="E19" s="16"/>
      <c r="F19" s="16"/>
    </row>
    <row r="20" spans="1:6" ht="23.25">
      <c r="A20" s="61" t="s">
        <v>342</v>
      </c>
      <c r="B20" s="133">
        <v>628</v>
      </c>
    </row>
    <row r="21" spans="1:6" ht="23.25">
      <c r="A21" s="61" t="s">
        <v>343</v>
      </c>
      <c r="B21" s="133">
        <v>1127</v>
      </c>
    </row>
    <row r="22" spans="1:6" ht="23.25">
      <c r="A22" s="61" t="s">
        <v>72</v>
      </c>
      <c r="B22" s="224">
        <v>0</v>
      </c>
    </row>
    <row r="23" spans="1:6" ht="23.25">
      <c r="A23" s="61" t="s">
        <v>344</v>
      </c>
      <c r="B23" s="224">
        <v>0</v>
      </c>
    </row>
    <row r="24" spans="1:6" ht="23.25">
      <c r="A24" s="225" t="s">
        <v>71</v>
      </c>
      <c r="B24" s="159">
        <v>60655.83</v>
      </c>
      <c r="C24" s="159">
        <f>B24-B42</f>
        <v>41398.83</v>
      </c>
    </row>
    <row r="25" spans="1:6" ht="23.25">
      <c r="A25" s="225" t="s">
        <v>81</v>
      </c>
      <c r="B25" s="159">
        <v>60564.14</v>
      </c>
    </row>
    <row r="26" spans="1:6" ht="23.25">
      <c r="A26" s="61" t="s">
        <v>345</v>
      </c>
      <c r="B26" s="224">
        <v>24771.69</v>
      </c>
    </row>
    <row r="27" spans="1:6" ht="23.25">
      <c r="A27" s="61" t="s">
        <v>346</v>
      </c>
      <c r="B27" s="117">
        <v>0.83960000000000001</v>
      </c>
    </row>
    <row r="28" spans="1:6" ht="23.25">
      <c r="A28" s="61" t="s">
        <v>347</v>
      </c>
      <c r="B28" s="117">
        <f>B27</f>
        <v>0.83960000000000001</v>
      </c>
    </row>
    <row r="29" spans="1:6" ht="23.25">
      <c r="A29" s="61" t="s">
        <v>348</v>
      </c>
      <c r="B29" s="133">
        <v>0</v>
      </c>
    </row>
    <row r="30" spans="1:6" ht="23.25">
      <c r="A30" s="61" t="s">
        <v>349</v>
      </c>
      <c r="B30" s="133">
        <v>0</v>
      </c>
    </row>
    <row r="31" spans="1:6" ht="23.25">
      <c r="A31" s="61" t="s">
        <v>350</v>
      </c>
      <c r="B31" s="133">
        <v>0</v>
      </c>
    </row>
    <row r="32" spans="1:6" ht="23.25">
      <c r="A32" s="67" t="s">
        <v>351</v>
      </c>
      <c r="B32" s="133">
        <v>0</v>
      </c>
    </row>
    <row r="33" spans="1:61" ht="23.25">
      <c r="A33" s="61" t="s">
        <v>352</v>
      </c>
      <c r="B33" s="133">
        <v>26</v>
      </c>
    </row>
    <row r="34" spans="1:61" ht="23.25">
      <c r="A34" s="1" t="s">
        <v>353</v>
      </c>
      <c r="B34" s="133">
        <v>0</v>
      </c>
      <c r="BA34" s="28"/>
      <c r="BB34" s="16"/>
      <c r="BC34" s="16"/>
      <c r="BD34" s="16"/>
      <c r="BE34" s="16"/>
      <c r="BF34" s="16"/>
      <c r="BG34" s="16"/>
      <c r="BH34" s="16"/>
      <c r="BI34" s="16"/>
    </row>
    <row r="35" spans="1:61" ht="23.25">
      <c r="A35" s="61" t="s">
        <v>354</v>
      </c>
      <c r="B35" s="133">
        <v>1</v>
      </c>
    </row>
    <row r="36" spans="1:61" ht="23.25">
      <c r="A36" s="61" t="s">
        <v>355</v>
      </c>
      <c r="B36" s="133">
        <v>1</v>
      </c>
    </row>
    <row r="37" spans="1:61" ht="23.25">
      <c r="A37" s="61" t="s">
        <v>356</v>
      </c>
      <c r="B37" s="133">
        <v>355</v>
      </c>
    </row>
    <row r="38" spans="1:61" ht="23.25">
      <c r="A38" s="61" t="s">
        <v>357</v>
      </c>
      <c r="B38" s="117">
        <v>0</v>
      </c>
    </row>
    <row r="39" spans="1:61" ht="23.25">
      <c r="A39" s="67" t="s">
        <v>358</v>
      </c>
      <c r="B39" s="224">
        <v>0</v>
      </c>
    </row>
    <row r="40" spans="1:61" ht="23.25">
      <c r="A40" s="61" t="s">
        <v>359</v>
      </c>
      <c r="B40" s="224">
        <v>0</v>
      </c>
    </row>
    <row r="41" spans="1:61" ht="23.25">
      <c r="A41" s="137" t="s">
        <v>360</v>
      </c>
      <c r="B41" s="117">
        <v>0</v>
      </c>
    </row>
    <row r="42" spans="1:61" ht="23.25">
      <c r="A42" s="61" t="s">
        <v>361</v>
      </c>
      <c r="B42" s="227">
        <v>19257</v>
      </c>
    </row>
    <row r="43" spans="1:61" ht="23.25">
      <c r="A43" s="1" t="s">
        <v>362</v>
      </c>
      <c r="B43" s="133">
        <v>1038</v>
      </c>
      <c r="BA43" s="28"/>
      <c r="BB43" s="16"/>
      <c r="BC43" s="16"/>
      <c r="BD43" s="16"/>
      <c r="BE43" s="16"/>
      <c r="BF43" s="16"/>
      <c r="BG43" s="16"/>
      <c r="BH43" s="16"/>
      <c r="BI43" s="16"/>
    </row>
    <row r="44" spans="1:61" ht="23.25">
      <c r="A44" s="61"/>
      <c r="B44" s="29"/>
      <c r="BA44" s="16"/>
      <c r="BB44" s="16"/>
      <c r="BC44" s="16"/>
      <c r="BD44" s="16"/>
      <c r="BE44" s="16"/>
      <c r="BF44" s="16"/>
      <c r="BG44" s="16"/>
      <c r="BH44" s="16"/>
      <c r="BI44" s="16"/>
    </row>
    <row r="45" spans="1:61" ht="23.25">
      <c r="A45" s="230"/>
      <c r="B45" s="29"/>
    </row>
    <row r="46" spans="1:61" ht="23.25">
      <c r="A46" s="61"/>
      <c r="B46" s="29"/>
    </row>
    <row r="47" spans="1:61" ht="23.25">
      <c r="A47" s="61"/>
      <c r="B47" s="29"/>
    </row>
    <row r="48" spans="1:61" ht="23.25">
      <c r="A48" s="61"/>
      <c r="B48" s="29"/>
    </row>
    <row r="49" spans="1:2" ht="23.25">
      <c r="A49" s="61"/>
      <c r="B49" s="29"/>
    </row>
    <row r="50" spans="1:2" ht="23.25">
      <c r="A50" s="61"/>
      <c r="B50" s="29"/>
    </row>
    <row r="51" spans="1:2" ht="23.25">
      <c r="A51" s="61"/>
      <c r="B51" s="29"/>
    </row>
    <row r="52" spans="1:2" ht="23.25">
      <c r="A52" s="231"/>
      <c r="B52" s="232"/>
    </row>
    <row r="53" spans="1:2" ht="23.25">
      <c r="A53" s="61"/>
      <c r="B53" s="29"/>
    </row>
    <row r="54" spans="1:2" ht="23.25">
      <c r="A54" s="61"/>
      <c r="B54" s="29"/>
    </row>
    <row r="55" spans="1:2" ht="23.25">
      <c r="A55" s="61"/>
      <c r="B55" s="29"/>
    </row>
    <row r="56" spans="1:2" ht="23.25">
      <c r="A56" s="61"/>
      <c r="B56" s="29"/>
    </row>
    <row r="57" spans="1:2" ht="23.25">
      <c r="A57" s="61"/>
      <c r="B57" s="29"/>
    </row>
    <row r="58" spans="1:2" ht="23.25">
      <c r="A58" s="61"/>
      <c r="B58" s="29"/>
    </row>
    <row r="59" spans="1:2" ht="23.25">
      <c r="A59" s="61"/>
      <c r="B59" s="29"/>
    </row>
    <row r="60" spans="1:2" ht="23.25">
      <c r="A60" s="61"/>
      <c r="B60" s="29"/>
    </row>
    <row r="61" spans="1:2" ht="23.25">
      <c r="A61" s="61"/>
      <c r="B61" s="29"/>
    </row>
    <row r="62" spans="1:2" ht="23.25">
      <c r="A62" s="61"/>
      <c r="B62" s="29"/>
    </row>
    <row r="63" spans="1:2" ht="23.25">
      <c r="A63" s="61"/>
      <c r="B63" s="29"/>
    </row>
    <row r="64" spans="1:2" ht="23.25">
      <c r="A64" s="61"/>
      <c r="B64" s="29"/>
    </row>
    <row r="65" spans="1:2" ht="23.25">
      <c r="A65" s="61"/>
      <c r="B65" s="29"/>
    </row>
    <row r="66" spans="1:2" ht="23.25">
      <c r="A66" s="61"/>
      <c r="B66" s="133">
        <v>0</v>
      </c>
    </row>
    <row r="67" spans="1:2" ht="23.25">
      <c r="A67" s="61"/>
      <c r="B67" s="133"/>
    </row>
    <row r="68" spans="1:2" ht="23.25">
      <c r="A68" s="61"/>
      <c r="B68" s="133"/>
    </row>
    <row r="69" spans="1:2" ht="23.25">
      <c r="A69" s="61"/>
      <c r="B69" s="133"/>
    </row>
    <row r="70" spans="1:2" ht="23.25">
      <c r="A70" s="61"/>
      <c r="B70" s="133"/>
    </row>
    <row r="71" spans="1:2" ht="23.25">
      <c r="A71" s="61"/>
      <c r="B71" s="29"/>
    </row>
    <row r="72" spans="1:2" ht="23.25">
      <c r="A72" s="61"/>
      <c r="B72" s="29"/>
    </row>
    <row r="73" spans="1:2" ht="23.25">
      <c r="A73" s="61"/>
      <c r="B73" s="29"/>
    </row>
    <row r="74" spans="1:2" ht="23.25">
      <c r="A74" s="61"/>
      <c r="B74" s="29"/>
    </row>
    <row r="75" spans="1:2" ht="23.25">
      <c r="A75" s="61"/>
      <c r="B75" s="29"/>
    </row>
    <row r="76" spans="1:2" ht="23.25">
      <c r="A76" s="61"/>
      <c r="B76" s="29"/>
    </row>
    <row r="77" spans="1:2" ht="23.25">
      <c r="A77" s="61"/>
      <c r="B77" s="2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AK36"/>
  <sheetViews>
    <sheetView zoomScale="60" zoomScaleNormal="60" workbookViewId="0">
      <selection activeCell="A8" sqref="A8"/>
    </sheetView>
  </sheetViews>
  <sheetFormatPr defaultColWidth="11" defaultRowHeight="12"/>
  <cols>
    <col min="1" max="4" width="11.42578125" customWidth="1"/>
    <col min="5" max="5" width="12.42578125" customWidth="1"/>
    <col min="6" max="6" width="13.28515625" customWidth="1"/>
    <col min="7" max="7" width="12.85546875" customWidth="1"/>
    <col min="8" max="10" width="11.42578125" customWidth="1"/>
    <col min="11" max="11" width="12.85546875" customWidth="1"/>
    <col min="12" max="12" width="11.42578125" customWidth="1"/>
    <col min="13" max="13" width="12.5703125" customWidth="1"/>
    <col min="14" max="14" width="13.28515625" customWidth="1"/>
    <col min="15" max="15" width="18" customWidth="1"/>
    <col min="16" max="18" width="11.42578125" customWidth="1"/>
    <col min="19" max="19" width="8.140625" customWidth="1"/>
    <col min="20" max="20" width="12.42578125" customWidth="1"/>
    <col min="21" max="21" width="13.85546875" customWidth="1"/>
    <col min="22" max="22" width="12.28515625" customWidth="1"/>
    <col min="23" max="23" width="16.7109375" customWidth="1"/>
    <col min="24" max="24" width="12.5703125" customWidth="1"/>
    <col min="25" max="25" width="11.42578125" customWidth="1"/>
    <col min="26" max="26" width="15" customWidth="1"/>
    <col min="27" max="27" width="14.140625" customWidth="1"/>
    <col min="28" max="28" width="11.42578125" customWidth="1"/>
    <col min="30" max="30" width="10.42578125" customWidth="1"/>
    <col min="31" max="35" width="11.42578125" customWidth="1"/>
  </cols>
  <sheetData>
    <row r="1" spans="1:37" ht="21">
      <c r="A1" s="303"/>
      <c r="B1" s="303"/>
      <c r="C1" s="303"/>
      <c r="D1" s="303"/>
      <c r="E1" s="1098">
        <f>'ACE BILLS'!C1</f>
        <v>44407</v>
      </c>
      <c r="F1" s="1098"/>
      <c r="G1" s="1098"/>
      <c r="H1" s="304"/>
      <c r="I1" s="303"/>
      <c r="J1" s="303"/>
      <c r="K1" s="303"/>
      <c r="L1" s="303"/>
      <c r="M1" s="303"/>
      <c r="N1" s="303"/>
      <c r="O1" s="303"/>
      <c r="R1" s="303"/>
      <c r="S1" s="303"/>
    </row>
    <row r="2" spans="1:37" ht="36" customHeight="1">
      <c r="A2" s="305" t="s">
        <v>410</v>
      </c>
      <c r="B2" s="305" t="s">
        <v>411</v>
      </c>
      <c r="C2" s="306" t="s">
        <v>412</v>
      </c>
      <c r="D2" s="306" t="s">
        <v>572</v>
      </c>
      <c r="E2" s="307" t="s">
        <v>573</v>
      </c>
      <c r="F2" s="307" t="s">
        <v>183</v>
      </c>
      <c r="G2" s="308" t="s">
        <v>44</v>
      </c>
      <c r="H2" s="308" t="s">
        <v>574</v>
      </c>
      <c r="I2" s="309" t="s">
        <v>575</v>
      </c>
      <c r="J2" s="309" t="s">
        <v>235</v>
      </c>
      <c r="K2" s="309" t="s">
        <v>576</v>
      </c>
      <c r="L2" s="309" t="s">
        <v>577</v>
      </c>
      <c r="M2" s="309" t="s">
        <v>578</v>
      </c>
      <c r="N2" s="309" t="s">
        <v>579</v>
      </c>
      <c r="O2" s="310" t="s">
        <v>580</v>
      </c>
      <c r="R2" s="311" t="s">
        <v>412</v>
      </c>
      <c r="S2" s="311" t="s">
        <v>581</v>
      </c>
      <c r="T2" s="312" t="s">
        <v>582</v>
      </c>
      <c r="U2" s="312" t="s">
        <v>583</v>
      </c>
      <c r="V2" s="313" t="s">
        <v>584</v>
      </c>
      <c r="W2" s="314" t="s">
        <v>585</v>
      </c>
      <c r="X2" s="314" t="s">
        <v>586</v>
      </c>
      <c r="Y2" s="313" t="s">
        <v>587</v>
      </c>
      <c r="Z2" s="314" t="s">
        <v>588</v>
      </c>
      <c r="AA2" s="314" t="s">
        <v>589</v>
      </c>
      <c r="AB2" s="313" t="s">
        <v>590</v>
      </c>
      <c r="AC2" s="314" t="s">
        <v>591</v>
      </c>
      <c r="AD2" s="314" t="s">
        <v>592</v>
      </c>
      <c r="AE2" s="313" t="s">
        <v>593</v>
      </c>
      <c r="AF2" s="314" t="s">
        <v>594</v>
      </c>
      <c r="AG2" s="314" t="s">
        <v>595</v>
      </c>
      <c r="AH2" s="313" t="s">
        <v>596</v>
      </c>
      <c r="AI2" s="314" t="s">
        <v>597</v>
      </c>
      <c r="AJ2" s="314" t="s">
        <v>598</v>
      </c>
      <c r="AK2" s="315" t="s">
        <v>599</v>
      </c>
    </row>
    <row r="3" spans="1:37" ht="18.75" customHeight="1">
      <c r="A3" s="305" t="s">
        <v>252</v>
      </c>
      <c r="B3" s="305" t="s">
        <v>111</v>
      </c>
      <c r="C3" s="316">
        <v>12</v>
      </c>
      <c r="D3" s="305"/>
      <c r="E3" s="317">
        <f t="shared" ref="E3:E34" si="0">V3</f>
        <v>52025</v>
      </c>
      <c r="F3" s="318">
        <f t="shared" ref="F3:F34" si="1">Y3</f>
        <v>51186.18</v>
      </c>
      <c r="G3" s="318">
        <f t="shared" ref="G3:G34" si="2">AB3</f>
        <v>91134.82</v>
      </c>
      <c r="H3" s="319">
        <f t="shared" ref="H3:H34" si="3">AE3</f>
        <v>0</v>
      </c>
      <c r="I3" s="319">
        <f t="shared" ref="I3:I34" si="4">AH3</f>
        <v>0</v>
      </c>
      <c r="J3" s="318">
        <f t="shared" ref="J3:J34" si="5">AK3</f>
        <v>0</v>
      </c>
      <c r="K3" s="320">
        <f t="shared" ref="K3:K19" si="6">E3+F3-G3-H3-I3-J3</f>
        <v>12076.359999999986</v>
      </c>
      <c r="L3" s="319">
        <v>0</v>
      </c>
      <c r="M3" s="320">
        <f t="shared" ref="M3:M34" si="7">K3-L3</f>
        <v>12076.359999999986</v>
      </c>
      <c r="N3" s="320">
        <v>0</v>
      </c>
      <c r="O3" s="321">
        <f t="shared" ref="O3:O34" si="8">N3-M3</f>
        <v>-12076.359999999986</v>
      </c>
      <c r="R3" s="322">
        <v>12</v>
      </c>
      <c r="S3" s="323">
        <v>0.02</v>
      </c>
      <c r="T3" s="152">
        <v>10215750</v>
      </c>
      <c r="U3" s="152">
        <f>'12'!B28</f>
        <v>12817000</v>
      </c>
      <c r="V3" s="324">
        <f>(U3-T3)*S3</f>
        <v>52025</v>
      </c>
      <c r="W3" s="152">
        <v>5679490</v>
      </c>
      <c r="X3" s="152">
        <f>'12'!B19</f>
        <v>8238799</v>
      </c>
      <c r="Y3" s="324">
        <f t="shared" ref="Y3:Y34" si="9">(X3-W3)*S3</f>
        <v>51186.18</v>
      </c>
      <c r="Z3" s="152">
        <v>13532799</v>
      </c>
      <c r="AA3" s="152">
        <f>'12'!B23</f>
        <v>18089540</v>
      </c>
      <c r="AB3" s="324">
        <f t="shared" ref="AB3:AB34" si="10">(AA3-Z3)*S3</f>
        <v>91134.82</v>
      </c>
      <c r="AC3" s="152">
        <v>0</v>
      </c>
      <c r="AD3" s="152">
        <f>'12'!B25</f>
        <v>0</v>
      </c>
      <c r="AE3" s="324">
        <f t="shared" ref="AE3:AE34" si="11">(AD3-AC3)*S3</f>
        <v>0</v>
      </c>
      <c r="AF3" s="9"/>
      <c r="AG3" s="9"/>
      <c r="AH3" s="324">
        <f t="shared" ref="AH3:AH34" si="12">(AG3-AF3)*S3</f>
        <v>0</v>
      </c>
      <c r="AI3" s="152">
        <v>0</v>
      </c>
      <c r="AJ3" s="152">
        <f>'12'!B24</f>
        <v>0</v>
      </c>
      <c r="AK3" s="325">
        <f t="shared" ref="AK3:AK35" si="13">(AJ3-AI3)*S3</f>
        <v>0</v>
      </c>
    </row>
    <row r="4" spans="1:37" ht="18.75" customHeight="1">
      <c r="A4" s="305" t="s">
        <v>600</v>
      </c>
      <c r="B4" s="305" t="s">
        <v>111</v>
      </c>
      <c r="C4" s="316">
        <v>13</v>
      </c>
      <c r="D4" s="305"/>
      <c r="E4" s="317">
        <f t="shared" si="0"/>
        <v>5310</v>
      </c>
      <c r="F4" s="318">
        <f t="shared" si="1"/>
        <v>4124</v>
      </c>
      <c r="G4" s="318">
        <f t="shared" si="2"/>
        <v>7427.6</v>
      </c>
      <c r="H4" s="319">
        <f t="shared" si="3"/>
        <v>0</v>
      </c>
      <c r="I4" s="319">
        <f t="shared" si="4"/>
        <v>0</v>
      </c>
      <c r="J4" s="318">
        <f t="shared" si="5"/>
        <v>0</v>
      </c>
      <c r="K4" s="320">
        <f t="shared" si="6"/>
        <v>2006.3999999999996</v>
      </c>
      <c r="L4" s="319">
        <v>0</v>
      </c>
      <c r="M4" s="320">
        <f t="shared" si="7"/>
        <v>2006.3999999999996</v>
      </c>
      <c r="N4" s="320">
        <v>0</v>
      </c>
      <c r="O4" s="321">
        <f t="shared" si="8"/>
        <v>-2006.3999999999996</v>
      </c>
      <c r="R4" s="322">
        <v>13</v>
      </c>
      <c r="S4" s="323">
        <v>0.02</v>
      </c>
      <c r="T4" s="152">
        <v>4208500</v>
      </c>
      <c r="U4" s="152">
        <f>'13'!B28</f>
        <v>4474000</v>
      </c>
      <c r="V4" s="324">
        <f t="shared" ref="V4:V34" si="14">(U4-T4)*S4</f>
        <v>5310</v>
      </c>
      <c r="W4" s="152">
        <v>2645265</v>
      </c>
      <c r="X4" s="152">
        <f>'13'!B19</f>
        <v>2851465</v>
      </c>
      <c r="Y4" s="324">
        <f t="shared" si="9"/>
        <v>4124</v>
      </c>
      <c r="Z4" s="152">
        <v>5369601</v>
      </c>
      <c r="AA4" s="152">
        <f>'13'!B23</f>
        <v>5740981</v>
      </c>
      <c r="AB4" s="324">
        <f t="shared" si="10"/>
        <v>7427.6</v>
      </c>
      <c r="AC4" s="152">
        <v>23145</v>
      </c>
      <c r="AD4" s="152">
        <f>'13'!B25</f>
        <v>23145</v>
      </c>
      <c r="AE4" s="324">
        <f t="shared" si="11"/>
        <v>0</v>
      </c>
      <c r="AF4" s="9"/>
      <c r="AG4" s="9"/>
      <c r="AH4" s="324">
        <f t="shared" si="12"/>
        <v>0</v>
      </c>
      <c r="AI4" s="152">
        <v>317274</v>
      </c>
      <c r="AJ4" s="152">
        <f>'13'!B24</f>
        <v>317274</v>
      </c>
      <c r="AK4" s="325">
        <f t="shared" si="13"/>
        <v>0</v>
      </c>
    </row>
    <row r="5" spans="1:37" ht="18.75" customHeight="1">
      <c r="A5" s="305" t="s">
        <v>477</v>
      </c>
      <c r="B5" s="305" t="s">
        <v>111</v>
      </c>
      <c r="C5" s="316">
        <v>14</v>
      </c>
      <c r="D5" s="305"/>
      <c r="E5" s="317">
        <f t="shared" si="0"/>
        <v>1310</v>
      </c>
      <c r="F5" s="318">
        <f t="shared" si="1"/>
        <v>144.94</v>
      </c>
      <c r="G5" s="318">
        <f t="shared" si="2"/>
        <v>1447.54</v>
      </c>
      <c r="H5" s="319">
        <f t="shared" si="3"/>
        <v>0</v>
      </c>
      <c r="I5" s="319">
        <f t="shared" si="4"/>
        <v>0</v>
      </c>
      <c r="J5" s="318">
        <f t="shared" si="5"/>
        <v>0</v>
      </c>
      <c r="K5" s="320">
        <f t="shared" si="6"/>
        <v>7.4000000000000909</v>
      </c>
      <c r="L5" s="319">
        <v>0</v>
      </c>
      <c r="M5" s="320">
        <f t="shared" si="7"/>
        <v>7.4000000000000909</v>
      </c>
      <c r="N5" s="320">
        <v>0</v>
      </c>
      <c r="O5" s="321">
        <f t="shared" si="8"/>
        <v>-7.4000000000000909</v>
      </c>
      <c r="R5" s="322">
        <v>14</v>
      </c>
      <c r="S5" s="323">
        <v>0.02</v>
      </c>
      <c r="T5" s="152">
        <v>893000</v>
      </c>
      <c r="U5" s="152">
        <f>'14'!B28</f>
        <v>958500</v>
      </c>
      <c r="V5" s="324">
        <f t="shared" si="14"/>
        <v>1310</v>
      </c>
      <c r="W5" s="152">
        <v>1085789</v>
      </c>
      <c r="X5" s="152">
        <f>'14'!B19</f>
        <v>1093036</v>
      </c>
      <c r="Y5" s="324">
        <f t="shared" si="9"/>
        <v>144.94</v>
      </c>
      <c r="Z5" s="152">
        <v>1559605</v>
      </c>
      <c r="AA5" s="152">
        <f>'14'!B23</f>
        <v>1631982</v>
      </c>
      <c r="AB5" s="324">
        <f t="shared" si="10"/>
        <v>1447.54</v>
      </c>
      <c r="AC5" s="152">
        <v>0</v>
      </c>
      <c r="AD5" s="152">
        <f>'14'!B25</f>
        <v>0</v>
      </c>
      <c r="AE5" s="324">
        <f t="shared" si="11"/>
        <v>0</v>
      </c>
      <c r="AF5" s="9"/>
      <c r="AG5" s="9"/>
      <c r="AH5" s="324">
        <f t="shared" si="12"/>
        <v>0</v>
      </c>
      <c r="AI5" s="152">
        <v>58000</v>
      </c>
      <c r="AJ5" s="152">
        <f>'14'!B24</f>
        <v>58000</v>
      </c>
      <c r="AK5" s="325">
        <f t="shared" si="13"/>
        <v>0</v>
      </c>
    </row>
    <row r="6" spans="1:37" ht="18.75" customHeight="1">
      <c r="A6" s="305" t="s">
        <v>223</v>
      </c>
      <c r="B6" s="305" t="s">
        <v>111</v>
      </c>
      <c r="C6" s="316">
        <v>15</v>
      </c>
      <c r="D6" s="305"/>
      <c r="E6" s="317">
        <f t="shared" si="0"/>
        <v>71120</v>
      </c>
      <c r="F6" s="318">
        <f t="shared" si="1"/>
        <v>159057.42000000001</v>
      </c>
      <c r="G6" s="318">
        <f t="shared" si="2"/>
        <v>165323.36000000002</v>
      </c>
      <c r="H6" s="319">
        <f t="shared" si="3"/>
        <v>0</v>
      </c>
      <c r="I6" s="319">
        <f t="shared" si="4"/>
        <v>0</v>
      </c>
      <c r="J6" s="318">
        <f t="shared" si="5"/>
        <v>10305.6</v>
      </c>
      <c r="K6" s="320">
        <f t="shared" si="6"/>
        <v>54548.46</v>
      </c>
      <c r="L6" s="319">
        <v>0</v>
      </c>
      <c r="M6" s="320">
        <f t="shared" si="7"/>
        <v>54548.46</v>
      </c>
      <c r="N6" s="320">
        <v>0</v>
      </c>
      <c r="O6" s="321">
        <f t="shared" si="8"/>
        <v>-54548.46</v>
      </c>
      <c r="R6" s="322">
        <v>15</v>
      </c>
      <c r="S6" s="323">
        <v>0.02</v>
      </c>
      <c r="T6" s="152">
        <v>40145000</v>
      </c>
      <c r="U6" s="152">
        <f>'15'!B28</f>
        <v>43701000</v>
      </c>
      <c r="V6" s="324">
        <f t="shared" si="14"/>
        <v>71120</v>
      </c>
      <c r="W6" s="152">
        <v>23003656</v>
      </c>
      <c r="X6" s="152">
        <f>'15'!B19</f>
        <v>30956527</v>
      </c>
      <c r="Y6" s="324">
        <f t="shared" si="9"/>
        <v>159057.42000000001</v>
      </c>
      <c r="Z6" s="152">
        <v>50942667</v>
      </c>
      <c r="AA6" s="152">
        <f>'15'!B23</f>
        <v>59208835</v>
      </c>
      <c r="AB6" s="324">
        <f t="shared" si="10"/>
        <v>165323.36000000002</v>
      </c>
      <c r="AC6" s="152">
        <v>0</v>
      </c>
      <c r="AD6" s="152">
        <f>'15'!B25</f>
        <v>0</v>
      </c>
      <c r="AE6" s="324">
        <f t="shared" si="11"/>
        <v>0</v>
      </c>
      <c r="AF6" s="9"/>
      <c r="AG6" s="9"/>
      <c r="AH6" s="324">
        <f t="shared" si="12"/>
        <v>0</v>
      </c>
      <c r="AI6" s="152">
        <v>2615280</v>
      </c>
      <c r="AJ6" s="152">
        <f>'15'!B24</f>
        <v>3130560</v>
      </c>
      <c r="AK6" s="325">
        <f t="shared" si="13"/>
        <v>10305.6</v>
      </c>
    </row>
    <row r="7" spans="1:37" ht="18.75" customHeight="1">
      <c r="A7" s="305" t="s">
        <v>601</v>
      </c>
      <c r="B7" s="305" t="s">
        <v>111</v>
      </c>
      <c r="C7" s="316">
        <v>16</v>
      </c>
      <c r="D7" s="305"/>
      <c r="E7" s="317">
        <f t="shared" si="0"/>
        <v>5770</v>
      </c>
      <c r="F7" s="318">
        <f t="shared" si="1"/>
        <v>4995.54</v>
      </c>
      <c r="G7" s="318">
        <f t="shared" si="2"/>
        <v>9638.76</v>
      </c>
      <c r="H7" s="319">
        <f t="shared" si="3"/>
        <v>80.84</v>
      </c>
      <c r="I7" s="319">
        <f t="shared" si="4"/>
        <v>0</v>
      </c>
      <c r="J7" s="318">
        <f t="shared" si="5"/>
        <v>307.08</v>
      </c>
      <c r="K7" s="320">
        <f t="shared" si="6"/>
        <v>738.86000000000081</v>
      </c>
      <c r="L7" s="319">
        <v>0</v>
      </c>
      <c r="M7" s="320">
        <f t="shared" si="7"/>
        <v>738.86000000000081</v>
      </c>
      <c r="N7" s="320">
        <v>0</v>
      </c>
      <c r="O7" s="321">
        <f t="shared" si="8"/>
        <v>-738.86000000000081</v>
      </c>
      <c r="R7" s="322">
        <v>16</v>
      </c>
      <c r="S7" s="323">
        <v>0.02</v>
      </c>
      <c r="T7" s="152">
        <v>7337850</v>
      </c>
      <c r="U7" s="152">
        <f>'16'!B30</f>
        <v>7626350</v>
      </c>
      <c r="V7" s="324">
        <f t="shared" si="14"/>
        <v>5770</v>
      </c>
      <c r="W7" s="152">
        <v>5076315</v>
      </c>
      <c r="X7" s="152">
        <f>'16'!B19</f>
        <v>5326092</v>
      </c>
      <c r="Y7" s="324">
        <f t="shared" si="9"/>
        <v>4995.54</v>
      </c>
      <c r="Z7" s="152">
        <v>9842280</v>
      </c>
      <c r="AA7" s="152">
        <f>'16'!B25</f>
        <v>10324218</v>
      </c>
      <c r="AB7" s="324">
        <f t="shared" si="10"/>
        <v>9638.76</v>
      </c>
      <c r="AC7" s="152">
        <v>16929</v>
      </c>
      <c r="AD7" s="152">
        <f>'16'!B27</f>
        <v>20971</v>
      </c>
      <c r="AE7" s="324">
        <f t="shared" si="11"/>
        <v>80.84</v>
      </c>
      <c r="AF7" s="9"/>
      <c r="AG7" s="9"/>
      <c r="AH7" s="324">
        <f t="shared" si="12"/>
        <v>0</v>
      </c>
      <c r="AI7" s="152">
        <v>659432</v>
      </c>
      <c r="AJ7" s="152">
        <f>'16'!B26</f>
        <v>674786</v>
      </c>
      <c r="AK7" s="325">
        <f t="shared" si="13"/>
        <v>307.08</v>
      </c>
    </row>
    <row r="8" spans="1:37" ht="18.75" customHeight="1">
      <c r="A8" s="305" t="s">
        <v>602</v>
      </c>
      <c r="B8" s="305" t="s">
        <v>111</v>
      </c>
      <c r="C8" s="316">
        <v>17</v>
      </c>
      <c r="D8" s="305"/>
      <c r="E8" s="317">
        <f t="shared" si="0"/>
        <v>2180</v>
      </c>
      <c r="F8" s="318">
        <f t="shared" si="1"/>
        <v>2543.52</v>
      </c>
      <c r="G8" s="318">
        <f t="shared" si="2"/>
        <v>3999.96</v>
      </c>
      <c r="H8" s="319">
        <f t="shared" si="3"/>
        <v>1.52</v>
      </c>
      <c r="I8" s="319">
        <f t="shared" si="4"/>
        <v>0</v>
      </c>
      <c r="J8" s="318">
        <f t="shared" si="5"/>
        <v>0</v>
      </c>
      <c r="K8" s="320">
        <f t="shared" si="6"/>
        <v>722.04000000000042</v>
      </c>
      <c r="L8" s="319">
        <v>0</v>
      </c>
      <c r="M8" s="320">
        <f t="shared" si="7"/>
        <v>722.04000000000042</v>
      </c>
      <c r="N8" s="320">
        <v>0</v>
      </c>
      <c r="O8" s="321">
        <f t="shared" si="8"/>
        <v>-722.04000000000042</v>
      </c>
      <c r="R8" s="322">
        <v>17</v>
      </c>
      <c r="S8" s="323">
        <v>0.02</v>
      </c>
      <c r="T8" s="152">
        <v>238500</v>
      </c>
      <c r="U8" s="152">
        <f>'17'!B29</f>
        <v>347500</v>
      </c>
      <c r="V8" s="324">
        <f t="shared" si="14"/>
        <v>2180</v>
      </c>
      <c r="W8" s="152">
        <v>1112455</v>
      </c>
      <c r="X8" s="152">
        <f>'17'!B19</f>
        <v>1239631</v>
      </c>
      <c r="Y8" s="324">
        <f t="shared" si="9"/>
        <v>2543.52</v>
      </c>
      <c r="Z8" s="152">
        <v>1090797</v>
      </c>
      <c r="AA8" s="152">
        <f>'17'!B23</f>
        <v>1290795</v>
      </c>
      <c r="AB8" s="324">
        <f t="shared" si="10"/>
        <v>3999.96</v>
      </c>
      <c r="AC8" s="152">
        <v>2841</v>
      </c>
      <c r="AD8" s="152">
        <f>'17'!B25</f>
        <v>2917</v>
      </c>
      <c r="AE8" s="324">
        <f t="shared" si="11"/>
        <v>1.52</v>
      </c>
      <c r="AF8" s="9"/>
      <c r="AG8" s="9"/>
      <c r="AH8" s="324">
        <f t="shared" si="12"/>
        <v>0</v>
      </c>
      <c r="AI8" s="152">
        <v>9476</v>
      </c>
      <c r="AJ8" s="152">
        <f>'17'!B24</f>
        <v>9476</v>
      </c>
      <c r="AK8" s="325">
        <f t="shared" si="13"/>
        <v>0</v>
      </c>
    </row>
    <row r="9" spans="1:37" ht="18.75" customHeight="1">
      <c r="A9" s="305" t="s">
        <v>441</v>
      </c>
      <c r="B9" s="305" t="s">
        <v>111</v>
      </c>
      <c r="C9" s="316">
        <v>18</v>
      </c>
      <c r="D9" s="305"/>
      <c r="E9" s="317">
        <f t="shared" si="0"/>
        <v>-3345</v>
      </c>
      <c r="F9" s="318">
        <f t="shared" si="1"/>
        <v>-1277.4000000000001</v>
      </c>
      <c r="G9" s="318">
        <f t="shared" si="2"/>
        <v>-3039.92</v>
      </c>
      <c r="H9" s="319">
        <f t="shared" si="3"/>
        <v>0</v>
      </c>
      <c r="I9" s="319">
        <f t="shared" si="4"/>
        <v>0</v>
      </c>
      <c r="J9" s="318">
        <f t="shared" si="5"/>
        <v>-3068.8</v>
      </c>
      <c r="K9" s="320">
        <f t="shared" si="6"/>
        <v>1486.3200000000006</v>
      </c>
      <c r="L9" s="319">
        <v>0</v>
      </c>
      <c r="M9" s="320">
        <f t="shared" si="7"/>
        <v>1486.3200000000006</v>
      </c>
      <c r="N9" s="320">
        <v>0</v>
      </c>
      <c r="O9" s="321">
        <f t="shared" si="8"/>
        <v>-1486.3200000000006</v>
      </c>
      <c r="R9" s="322">
        <v>18</v>
      </c>
      <c r="S9" s="323">
        <v>0.02</v>
      </c>
      <c r="T9" s="152">
        <v>297750</v>
      </c>
      <c r="U9" s="152">
        <f>'18'!B28</f>
        <v>130500</v>
      </c>
      <c r="V9" s="324">
        <f t="shared" si="14"/>
        <v>-3345</v>
      </c>
      <c r="W9" s="152">
        <v>103653</v>
      </c>
      <c r="X9" s="152">
        <f>'18'!B19</f>
        <v>39783</v>
      </c>
      <c r="Y9" s="324">
        <f t="shared" si="9"/>
        <v>-1277.4000000000001</v>
      </c>
      <c r="Z9" s="152">
        <v>295567</v>
      </c>
      <c r="AA9" s="152">
        <f>'18'!B23</f>
        <v>143571</v>
      </c>
      <c r="AB9" s="324">
        <f t="shared" si="10"/>
        <v>-3039.92</v>
      </c>
      <c r="AC9" s="152">
        <v>0</v>
      </c>
      <c r="AD9" s="152">
        <f>'18'!B25</f>
        <v>0</v>
      </c>
      <c r="AE9" s="324">
        <f t="shared" si="11"/>
        <v>0</v>
      </c>
      <c r="AF9" s="9"/>
      <c r="AG9" s="9"/>
      <c r="AH9" s="324">
        <f t="shared" si="12"/>
        <v>0</v>
      </c>
      <c r="AI9" s="152">
        <v>153440</v>
      </c>
      <c r="AJ9" s="152">
        <f>'18'!B24</f>
        <v>0</v>
      </c>
      <c r="AK9" s="325">
        <f t="shared" si="13"/>
        <v>-3068.8</v>
      </c>
    </row>
    <row r="10" spans="1:37" ht="18.75" customHeight="1">
      <c r="A10" s="305" t="s">
        <v>603</v>
      </c>
      <c r="B10" s="305" t="s">
        <v>111</v>
      </c>
      <c r="C10" s="316">
        <v>24</v>
      </c>
      <c r="D10" s="305"/>
      <c r="E10" s="317">
        <f t="shared" si="0"/>
        <v>0</v>
      </c>
      <c r="F10" s="318">
        <f t="shared" si="1"/>
        <v>0</v>
      </c>
      <c r="G10" s="318">
        <f t="shared" si="2"/>
        <v>0</v>
      </c>
      <c r="H10" s="319">
        <f t="shared" si="3"/>
        <v>0</v>
      </c>
      <c r="I10" s="319">
        <f t="shared" si="4"/>
        <v>0</v>
      </c>
      <c r="J10" s="318">
        <f t="shared" si="5"/>
        <v>0</v>
      </c>
      <c r="K10" s="320">
        <f t="shared" si="6"/>
        <v>0</v>
      </c>
      <c r="L10" s="319">
        <v>0</v>
      </c>
      <c r="M10" s="320">
        <f t="shared" si="7"/>
        <v>0</v>
      </c>
      <c r="N10" s="320">
        <v>0</v>
      </c>
      <c r="O10" s="321">
        <f t="shared" si="8"/>
        <v>0</v>
      </c>
      <c r="R10" s="322">
        <v>24</v>
      </c>
      <c r="S10" s="323">
        <v>0.02</v>
      </c>
      <c r="T10" s="152">
        <v>4086500</v>
      </c>
      <c r="U10" s="152">
        <f>'24'!B38</f>
        <v>4086500</v>
      </c>
      <c r="V10" s="324">
        <f t="shared" si="14"/>
        <v>0</v>
      </c>
      <c r="W10" s="152">
        <v>6825233</v>
      </c>
      <c r="X10" s="152">
        <f>'24'!B28</f>
        <v>6825233</v>
      </c>
      <c r="Y10" s="324">
        <f t="shared" si="9"/>
        <v>0</v>
      </c>
      <c r="Z10" s="152">
        <v>8712610</v>
      </c>
      <c r="AA10" s="152">
        <f>'24'!B33</f>
        <v>8712610</v>
      </c>
      <c r="AB10" s="324">
        <f t="shared" si="10"/>
        <v>0</v>
      </c>
      <c r="AC10" s="152">
        <v>56897</v>
      </c>
      <c r="AD10" s="152">
        <f>'24'!B35</f>
        <v>56897</v>
      </c>
      <c r="AE10" s="324">
        <f t="shared" si="11"/>
        <v>0</v>
      </c>
      <c r="AF10" s="9"/>
      <c r="AG10" s="9"/>
      <c r="AH10" s="324">
        <f t="shared" si="12"/>
        <v>0</v>
      </c>
      <c r="AI10" s="152">
        <v>0</v>
      </c>
      <c r="AJ10" s="152">
        <f>'24'!B34</f>
        <v>0</v>
      </c>
      <c r="AK10" s="325">
        <f t="shared" si="13"/>
        <v>0</v>
      </c>
    </row>
    <row r="11" spans="1:37" ht="18.75" customHeight="1">
      <c r="A11" s="305" t="s">
        <v>604</v>
      </c>
      <c r="B11" s="305" t="s">
        <v>111</v>
      </c>
      <c r="C11" s="316">
        <v>26</v>
      </c>
      <c r="D11" s="305"/>
      <c r="E11" s="317">
        <f t="shared" si="0"/>
        <v>0</v>
      </c>
      <c r="F11" s="318">
        <f t="shared" si="1"/>
        <v>0</v>
      </c>
      <c r="G11" s="318">
        <f t="shared" si="2"/>
        <v>0</v>
      </c>
      <c r="H11" s="319">
        <f t="shared" si="3"/>
        <v>0</v>
      </c>
      <c r="I11" s="319">
        <f t="shared" si="4"/>
        <v>0</v>
      </c>
      <c r="J11" s="318">
        <f t="shared" si="5"/>
        <v>0</v>
      </c>
      <c r="K11" s="320">
        <f t="shared" si="6"/>
        <v>0</v>
      </c>
      <c r="L11" s="319">
        <v>0</v>
      </c>
      <c r="M11" s="320">
        <f t="shared" si="7"/>
        <v>0</v>
      </c>
      <c r="N11" s="320">
        <v>0</v>
      </c>
      <c r="O11" s="321">
        <f t="shared" si="8"/>
        <v>0</v>
      </c>
      <c r="R11" s="322">
        <v>26</v>
      </c>
      <c r="S11" s="323">
        <v>0.01</v>
      </c>
      <c r="T11" s="152">
        <v>37511500</v>
      </c>
      <c r="U11" s="152">
        <f>'26'!B38</f>
        <v>37511500</v>
      </c>
      <c r="V11" s="324">
        <f t="shared" si="14"/>
        <v>0</v>
      </c>
      <c r="W11" s="152">
        <v>37511500</v>
      </c>
      <c r="X11" s="152">
        <f>'26'!B27</f>
        <v>37511500</v>
      </c>
      <c r="Y11" s="324">
        <f t="shared" si="9"/>
        <v>0</v>
      </c>
      <c r="Z11" s="152">
        <v>38988943</v>
      </c>
      <c r="AA11" s="152">
        <f>'26'!B33</f>
        <v>38988943</v>
      </c>
      <c r="AB11" s="324">
        <f t="shared" si="10"/>
        <v>0</v>
      </c>
      <c r="AC11" s="152">
        <v>29301</v>
      </c>
      <c r="AD11" s="152">
        <f>'26'!B35</f>
        <v>29301</v>
      </c>
      <c r="AE11" s="324">
        <f t="shared" si="11"/>
        <v>0</v>
      </c>
      <c r="AF11" s="9"/>
      <c r="AG11" s="9"/>
      <c r="AH11" s="324">
        <f t="shared" si="12"/>
        <v>0</v>
      </c>
      <c r="AI11" s="152">
        <v>0</v>
      </c>
      <c r="AJ11" s="152">
        <f>'26'!B34</f>
        <v>0</v>
      </c>
      <c r="AK11" s="325">
        <f t="shared" si="13"/>
        <v>0</v>
      </c>
    </row>
    <row r="12" spans="1:37" ht="18.75" customHeight="1">
      <c r="A12" s="305" t="s">
        <v>605</v>
      </c>
      <c r="B12" s="305" t="s">
        <v>111</v>
      </c>
      <c r="C12" s="316">
        <v>27</v>
      </c>
      <c r="D12" s="305"/>
      <c r="E12" s="317">
        <f t="shared" si="0"/>
        <v>-615985</v>
      </c>
      <c r="F12" s="318">
        <f t="shared" si="1"/>
        <v>-332982.35000000003</v>
      </c>
      <c r="G12" s="318">
        <f t="shared" si="2"/>
        <v>-674086.25</v>
      </c>
      <c r="H12" s="319">
        <f t="shared" si="3"/>
        <v>-1173.1600000000001</v>
      </c>
      <c r="I12" s="319">
        <f t="shared" si="4"/>
        <v>0</v>
      </c>
      <c r="J12" s="318">
        <f t="shared" si="5"/>
        <v>0</v>
      </c>
      <c r="K12" s="320">
        <f t="shared" si="6"/>
        <v>-273707.94000000012</v>
      </c>
      <c r="L12" s="319">
        <v>0</v>
      </c>
      <c r="M12" s="320">
        <f t="shared" si="7"/>
        <v>-273707.94000000012</v>
      </c>
      <c r="N12" s="320">
        <v>0</v>
      </c>
      <c r="O12" s="321">
        <f t="shared" si="8"/>
        <v>273707.94000000012</v>
      </c>
      <c r="R12" s="322">
        <v>27</v>
      </c>
      <c r="S12" s="323">
        <v>0.01</v>
      </c>
      <c r="T12" s="152">
        <v>76447000</v>
      </c>
      <c r="U12" s="152">
        <f>'27'!B29</f>
        <v>14848500</v>
      </c>
      <c r="V12" s="324">
        <f t="shared" si="14"/>
        <v>-615985</v>
      </c>
      <c r="W12" s="152">
        <v>40988036</v>
      </c>
      <c r="X12" s="152">
        <f>'27'!B30</f>
        <v>7689801</v>
      </c>
      <c r="Y12" s="324">
        <f t="shared" si="9"/>
        <v>-332982.35000000003</v>
      </c>
      <c r="Z12" s="152">
        <v>84198783</v>
      </c>
      <c r="AA12" s="152">
        <f>'27'!B45</f>
        <v>16790158</v>
      </c>
      <c r="AB12" s="324">
        <f t="shared" si="10"/>
        <v>-674086.25</v>
      </c>
      <c r="AC12" s="152">
        <v>168214</v>
      </c>
      <c r="AD12" s="152">
        <f>'27'!B51</f>
        <v>50898</v>
      </c>
      <c r="AE12" s="324">
        <f t="shared" si="11"/>
        <v>-1173.1600000000001</v>
      </c>
      <c r="AF12" s="9"/>
      <c r="AG12" s="9"/>
      <c r="AH12" s="324">
        <f t="shared" si="12"/>
        <v>0</v>
      </c>
      <c r="AI12" s="152"/>
      <c r="AJ12" s="152"/>
      <c r="AK12" s="325">
        <f t="shared" si="13"/>
        <v>0</v>
      </c>
    </row>
    <row r="13" spans="1:37" ht="18.75" customHeight="1">
      <c r="A13" s="305" t="s">
        <v>363</v>
      </c>
      <c r="B13" s="305" t="s">
        <v>111</v>
      </c>
      <c r="C13" s="316">
        <v>28</v>
      </c>
      <c r="D13" s="305"/>
      <c r="E13" s="317">
        <f t="shared" si="0"/>
        <v>10960</v>
      </c>
      <c r="F13" s="318">
        <f t="shared" si="1"/>
        <v>12836.14</v>
      </c>
      <c r="G13" s="318">
        <f t="shared" si="2"/>
        <v>19728.18</v>
      </c>
      <c r="H13" s="319">
        <f t="shared" si="3"/>
        <v>779</v>
      </c>
      <c r="I13" s="319">
        <f t="shared" si="4"/>
        <v>0</v>
      </c>
      <c r="J13" s="318">
        <f t="shared" si="5"/>
        <v>504.24</v>
      </c>
      <c r="K13" s="320">
        <f t="shared" si="6"/>
        <v>2784.7199999999993</v>
      </c>
      <c r="L13" s="319">
        <v>0</v>
      </c>
      <c r="M13" s="320">
        <f t="shared" si="7"/>
        <v>2784.7199999999993</v>
      </c>
      <c r="N13" s="320">
        <v>0</v>
      </c>
      <c r="O13" s="321">
        <f t="shared" si="8"/>
        <v>-2784.7199999999993</v>
      </c>
      <c r="R13" s="322">
        <v>28</v>
      </c>
      <c r="S13" s="323">
        <v>0.02</v>
      </c>
      <c r="T13" s="152">
        <v>3410300</v>
      </c>
      <c r="U13" s="152">
        <f>'28'!B30</f>
        <v>3958300</v>
      </c>
      <c r="V13" s="324">
        <f t="shared" si="14"/>
        <v>10960</v>
      </c>
      <c r="W13" s="152">
        <v>2848563</v>
      </c>
      <c r="X13" s="152">
        <f>'28'!B19</f>
        <v>3490370</v>
      </c>
      <c r="Y13" s="324">
        <f t="shared" si="9"/>
        <v>12836.14</v>
      </c>
      <c r="Z13" s="152">
        <v>5391024</v>
      </c>
      <c r="AA13" s="152">
        <f>'28'!B25</f>
        <v>6377433</v>
      </c>
      <c r="AB13" s="324">
        <f t="shared" si="10"/>
        <v>19728.18</v>
      </c>
      <c r="AC13" s="152">
        <v>44835</v>
      </c>
      <c r="AD13" s="152">
        <f>'28'!B27</f>
        <v>83785</v>
      </c>
      <c r="AE13" s="324">
        <f t="shared" si="11"/>
        <v>779</v>
      </c>
      <c r="AF13" s="9"/>
      <c r="AG13" s="9"/>
      <c r="AH13" s="324">
        <f t="shared" si="12"/>
        <v>0</v>
      </c>
      <c r="AI13" s="152">
        <v>54966</v>
      </c>
      <c r="AJ13" s="152">
        <f>'28'!B26</f>
        <v>80178</v>
      </c>
      <c r="AK13" s="325">
        <f t="shared" si="13"/>
        <v>504.24</v>
      </c>
    </row>
    <row r="14" spans="1:37" ht="18.75" customHeight="1">
      <c r="A14" s="305" t="s">
        <v>606</v>
      </c>
      <c r="B14" s="305">
        <v>6</v>
      </c>
      <c r="C14" s="316">
        <v>40</v>
      </c>
      <c r="D14" s="305"/>
      <c r="E14" s="317">
        <f t="shared" si="0"/>
        <v>653590</v>
      </c>
      <c r="F14" s="318">
        <f t="shared" si="1"/>
        <v>361434.57000000007</v>
      </c>
      <c r="G14" s="318">
        <f t="shared" si="2"/>
        <v>815387.83000000007</v>
      </c>
      <c r="H14" s="319">
        <f t="shared" si="3"/>
        <v>1097.4799999999998</v>
      </c>
      <c r="I14" s="319">
        <f t="shared" si="4"/>
        <v>0</v>
      </c>
      <c r="J14" s="318">
        <f t="shared" si="5"/>
        <v>5160</v>
      </c>
      <c r="K14" s="320">
        <f t="shared" si="6"/>
        <v>193379.25999999998</v>
      </c>
      <c r="L14" s="319">
        <v>0</v>
      </c>
      <c r="M14" s="320">
        <f t="shared" si="7"/>
        <v>193379.25999999998</v>
      </c>
      <c r="N14" s="320">
        <v>0</v>
      </c>
      <c r="O14" s="321">
        <f t="shared" si="8"/>
        <v>-193379.25999999998</v>
      </c>
      <c r="R14" s="322">
        <v>40</v>
      </c>
      <c r="S14" s="323">
        <v>1</v>
      </c>
      <c r="T14" s="152">
        <v>2462600</v>
      </c>
      <c r="U14" s="152">
        <f>'40'!B26</f>
        <v>3116190</v>
      </c>
      <c r="V14" s="324">
        <f t="shared" si="14"/>
        <v>653590</v>
      </c>
      <c r="W14" s="152">
        <v>1017677.28</v>
      </c>
      <c r="X14" s="152">
        <f>'40'!B27</f>
        <v>1379111.85</v>
      </c>
      <c r="Y14" s="324">
        <f t="shared" si="9"/>
        <v>361434.57000000007</v>
      </c>
      <c r="Z14" s="152">
        <v>2848450.75</v>
      </c>
      <c r="AA14" s="152">
        <f>'40'!B45</f>
        <v>3663838.58</v>
      </c>
      <c r="AB14" s="324">
        <f t="shared" si="10"/>
        <v>815387.83000000007</v>
      </c>
      <c r="AC14" s="152">
        <v>1783.16</v>
      </c>
      <c r="AD14" s="152">
        <f>'40'!B41</f>
        <v>2880.64</v>
      </c>
      <c r="AE14" s="324">
        <f t="shared" si="11"/>
        <v>1097.4799999999998</v>
      </c>
      <c r="AF14" s="9"/>
      <c r="AG14" s="9"/>
      <c r="AH14" s="324">
        <f t="shared" si="12"/>
        <v>0</v>
      </c>
      <c r="AI14" s="152">
        <v>56028</v>
      </c>
      <c r="AJ14" s="152">
        <f>'40'!B40</f>
        <v>61188</v>
      </c>
      <c r="AK14" s="325">
        <f t="shared" si="13"/>
        <v>5160</v>
      </c>
    </row>
    <row r="15" spans="1:37" ht="18.75" customHeight="1">
      <c r="A15" s="305" t="s">
        <v>607</v>
      </c>
      <c r="B15" s="305" t="s">
        <v>607</v>
      </c>
      <c r="C15" s="316">
        <v>41</v>
      </c>
      <c r="D15" s="305"/>
      <c r="E15" s="317">
        <f t="shared" si="0"/>
        <v>529570</v>
      </c>
      <c r="F15" s="318">
        <f t="shared" si="1"/>
        <v>211714.05999999982</v>
      </c>
      <c r="G15" s="318">
        <f t="shared" si="2"/>
        <v>603661.14999999991</v>
      </c>
      <c r="H15" s="319">
        <f t="shared" si="3"/>
        <v>105.41000000000031</v>
      </c>
      <c r="I15" s="319">
        <f t="shared" si="4"/>
        <v>0</v>
      </c>
      <c r="J15" s="318">
        <f t="shared" si="5"/>
        <v>13472</v>
      </c>
      <c r="K15" s="320">
        <f t="shared" si="6"/>
        <v>124045.49999999991</v>
      </c>
      <c r="L15" s="319">
        <v>0</v>
      </c>
      <c r="M15" s="320">
        <f t="shared" si="7"/>
        <v>124045.49999999991</v>
      </c>
      <c r="N15" s="320">
        <v>0</v>
      </c>
      <c r="O15" s="321">
        <f t="shared" si="8"/>
        <v>-124045.49999999991</v>
      </c>
      <c r="R15" s="322">
        <v>41</v>
      </c>
      <c r="S15" s="323">
        <v>1</v>
      </c>
      <c r="T15" s="152">
        <v>2670280</v>
      </c>
      <c r="U15" s="152">
        <f>'41'!B25</f>
        <v>3199850</v>
      </c>
      <c r="V15" s="324">
        <f t="shared" si="14"/>
        <v>529570</v>
      </c>
      <c r="W15" s="152">
        <v>1073728.08</v>
      </c>
      <c r="X15" s="152">
        <f>'41'!B26</f>
        <v>1285442.1399999999</v>
      </c>
      <c r="Y15" s="324">
        <f t="shared" si="9"/>
        <v>211714.05999999982</v>
      </c>
      <c r="Z15" s="152">
        <v>2981753.27</v>
      </c>
      <c r="AA15" s="152">
        <f>'41'!B44</f>
        <v>3585414.42</v>
      </c>
      <c r="AB15" s="324">
        <f t="shared" si="10"/>
        <v>603661.14999999991</v>
      </c>
      <c r="AC15" s="152">
        <v>2410.12</v>
      </c>
      <c r="AD15" s="152">
        <f>'41'!B39</f>
        <v>2515.5300000000002</v>
      </c>
      <c r="AE15" s="324">
        <f t="shared" si="11"/>
        <v>105.41000000000031</v>
      </c>
      <c r="AF15" s="9"/>
      <c r="AG15" s="9"/>
      <c r="AH15" s="324">
        <f t="shared" si="12"/>
        <v>0</v>
      </c>
      <c r="AI15" s="152">
        <v>19490</v>
      </c>
      <c r="AJ15" s="152">
        <f>'41'!B38</f>
        <v>32962</v>
      </c>
      <c r="AK15" s="325">
        <f t="shared" si="13"/>
        <v>13472</v>
      </c>
    </row>
    <row r="16" spans="1:37" ht="18.75" customHeight="1">
      <c r="A16" s="305" t="s">
        <v>607</v>
      </c>
      <c r="B16" s="305" t="s">
        <v>607</v>
      </c>
      <c r="C16" s="316">
        <v>43</v>
      </c>
      <c r="D16" s="305"/>
      <c r="E16" s="317">
        <f t="shared" si="0"/>
        <v>575605</v>
      </c>
      <c r="F16" s="318">
        <f t="shared" si="1"/>
        <v>331597.68999999994</v>
      </c>
      <c r="G16" s="318">
        <f t="shared" si="2"/>
        <v>717376.35999999987</v>
      </c>
      <c r="H16" s="319">
        <f t="shared" si="3"/>
        <v>568.78</v>
      </c>
      <c r="I16" s="319">
        <f t="shared" si="4"/>
        <v>0</v>
      </c>
      <c r="J16" s="318">
        <f t="shared" si="5"/>
        <v>9460</v>
      </c>
      <c r="K16" s="320">
        <f t="shared" si="6"/>
        <v>179797.55000000008</v>
      </c>
      <c r="L16" s="319">
        <v>0</v>
      </c>
      <c r="M16" s="320">
        <f t="shared" si="7"/>
        <v>179797.55000000008</v>
      </c>
      <c r="N16" s="320">
        <v>0</v>
      </c>
      <c r="O16" s="321">
        <f t="shared" si="8"/>
        <v>-179797.55000000008</v>
      </c>
      <c r="R16" s="322">
        <v>43</v>
      </c>
      <c r="S16" s="323">
        <v>1</v>
      </c>
      <c r="T16" s="152">
        <v>2480175</v>
      </c>
      <c r="U16" s="152">
        <f>'43'!B26</f>
        <v>3055780</v>
      </c>
      <c r="V16" s="324">
        <f t="shared" si="14"/>
        <v>575605</v>
      </c>
      <c r="W16" s="152">
        <v>1334076.96</v>
      </c>
      <c r="X16" s="152">
        <f>'43'!B27</f>
        <v>1665674.65</v>
      </c>
      <c r="Y16" s="324">
        <f t="shared" si="9"/>
        <v>331597.68999999994</v>
      </c>
      <c r="Z16" s="152">
        <v>3008327.42</v>
      </c>
      <c r="AA16" s="152">
        <f>'43'!B44</f>
        <v>3725703.78</v>
      </c>
      <c r="AB16" s="324">
        <f t="shared" si="10"/>
        <v>717376.35999999987</v>
      </c>
      <c r="AC16" s="152">
        <v>1619.28</v>
      </c>
      <c r="AD16" s="152">
        <f>'43'!B40</f>
        <v>2188.06</v>
      </c>
      <c r="AE16" s="324">
        <f t="shared" si="11"/>
        <v>568.78</v>
      </c>
      <c r="AF16" s="9"/>
      <c r="AG16" s="9"/>
      <c r="AH16" s="324">
        <f t="shared" si="12"/>
        <v>0</v>
      </c>
      <c r="AI16" s="152">
        <v>119390</v>
      </c>
      <c r="AJ16" s="152">
        <f>'43'!B39</f>
        <v>128850</v>
      </c>
      <c r="AK16" s="325">
        <f t="shared" si="13"/>
        <v>9460</v>
      </c>
    </row>
    <row r="17" spans="1:37" ht="18.75" customHeight="1">
      <c r="A17" s="305"/>
      <c r="B17" s="305" t="s">
        <v>111</v>
      </c>
      <c r="C17" s="316">
        <v>34</v>
      </c>
      <c r="D17" s="305"/>
      <c r="E17" s="317">
        <f t="shared" si="0"/>
        <v>0</v>
      </c>
      <c r="F17" s="318">
        <f t="shared" si="1"/>
        <v>94019</v>
      </c>
      <c r="G17" s="318">
        <f t="shared" si="2"/>
        <v>51754</v>
      </c>
      <c r="H17" s="319">
        <f t="shared" si="3"/>
        <v>0</v>
      </c>
      <c r="I17" s="319">
        <f t="shared" si="4"/>
        <v>0</v>
      </c>
      <c r="J17" s="318">
        <f t="shared" si="5"/>
        <v>16000</v>
      </c>
      <c r="K17" s="320">
        <f t="shared" si="6"/>
        <v>26265</v>
      </c>
      <c r="L17" s="319">
        <v>0</v>
      </c>
      <c r="M17" s="320">
        <f t="shared" si="7"/>
        <v>26265</v>
      </c>
      <c r="N17" s="320">
        <v>0</v>
      </c>
      <c r="O17" s="321">
        <f t="shared" si="8"/>
        <v>-26265</v>
      </c>
      <c r="R17" s="322">
        <v>34</v>
      </c>
      <c r="S17" s="323">
        <v>1</v>
      </c>
      <c r="T17" s="152"/>
      <c r="U17" s="152"/>
      <c r="V17" s="324">
        <f t="shared" si="14"/>
        <v>0</v>
      </c>
      <c r="W17" s="152">
        <v>364693</v>
      </c>
      <c r="X17" s="152">
        <f>'34'!B43</f>
        <v>458712</v>
      </c>
      <c r="Y17" s="324">
        <f t="shared" si="9"/>
        <v>94019</v>
      </c>
      <c r="Z17" s="152">
        <v>275169</v>
      </c>
      <c r="AA17" s="152">
        <f>'34'!B46</f>
        <v>326923</v>
      </c>
      <c r="AB17" s="324">
        <f t="shared" si="10"/>
        <v>51754</v>
      </c>
      <c r="AC17" s="152"/>
      <c r="AD17" s="152"/>
      <c r="AE17" s="324">
        <f t="shared" si="11"/>
        <v>0</v>
      </c>
      <c r="AF17" s="9"/>
      <c r="AG17" s="9"/>
      <c r="AH17" s="324">
        <f t="shared" si="12"/>
        <v>0</v>
      </c>
      <c r="AI17" s="152">
        <v>48000</v>
      </c>
      <c r="AJ17" s="152">
        <f>'34'!B13</f>
        <v>64000</v>
      </c>
      <c r="AK17" s="325">
        <f t="shared" si="13"/>
        <v>16000</v>
      </c>
    </row>
    <row r="18" spans="1:37" ht="18.75" customHeight="1">
      <c r="A18" s="305" t="s">
        <v>608</v>
      </c>
      <c r="B18" s="305" t="s">
        <v>111</v>
      </c>
      <c r="C18" s="316">
        <v>35</v>
      </c>
      <c r="D18" s="305"/>
      <c r="E18" s="317">
        <f t="shared" si="0"/>
        <v>0</v>
      </c>
      <c r="F18" s="318">
        <f t="shared" si="1"/>
        <v>178271</v>
      </c>
      <c r="G18" s="318">
        <f t="shared" si="2"/>
        <v>106366</v>
      </c>
      <c r="H18" s="319">
        <f t="shared" si="3"/>
        <v>0</v>
      </c>
      <c r="I18" s="319">
        <f t="shared" si="4"/>
        <v>0</v>
      </c>
      <c r="J18" s="318">
        <f t="shared" si="5"/>
        <v>32000</v>
      </c>
      <c r="K18" s="320">
        <f t="shared" si="6"/>
        <v>39905</v>
      </c>
      <c r="L18" s="319">
        <v>0</v>
      </c>
      <c r="M18" s="320">
        <f t="shared" si="7"/>
        <v>39905</v>
      </c>
      <c r="N18" s="320">
        <v>0</v>
      </c>
      <c r="O18" s="321">
        <f t="shared" si="8"/>
        <v>-39905</v>
      </c>
      <c r="R18" s="322">
        <v>35</v>
      </c>
      <c r="S18" s="323">
        <v>1</v>
      </c>
      <c r="T18" s="152"/>
      <c r="U18" s="152"/>
      <c r="V18" s="324">
        <f t="shared" si="14"/>
        <v>0</v>
      </c>
      <c r="W18" s="152">
        <v>44604</v>
      </c>
      <c r="X18" s="152">
        <f>'35'!B43</f>
        <v>222875</v>
      </c>
      <c r="Y18" s="324">
        <f t="shared" si="9"/>
        <v>178271</v>
      </c>
      <c r="Z18" s="152">
        <v>20552</v>
      </c>
      <c r="AA18" s="152">
        <f>'35'!B46</f>
        <v>126918</v>
      </c>
      <c r="AB18" s="324">
        <f t="shared" si="10"/>
        <v>106366</v>
      </c>
      <c r="AC18" s="152"/>
      <c r="AD18" s="152"/>
      <c r="AE18" s="324">
        <f t="shared" si="11"/>
        <v>0</v>
      </c>
      <c r="AF18" s="9"/>
      <c r="AG18" s="9"/>
      <c r="AH18" s="324">
        <f t="shared" si="12"/>
        <v>0</v>
      </c>
      <c r="AI18" s="152">
        <v>0</v>
      </c>
      <c r="AJ18" s="152">
        <f>'35'!B13</f>
        <v>32000</v>
      </c>
      <c r="AK18" s="325">
        <f t="shared" si="13"/>
        <v>32000</v>
      </c>
    </row>
    <row r="19" spans="1:37" ht="18.75" customHeight="1">
      <c r="A19" s="305" t="s">
        <v>608</v>
      </c>
      <c r="B19" s="305" t="s">
        <v>111</v>
      </c>
      <c r="C19" s="316">
        <v>36</v>
      </c>
      <c r="D19" s="305"/>
      <c r="E19" s="317">
        <f t="shared" si="0"/>
        <v>0</v>
      </c>
      <c r="F19" s="318">
        <f t="shared" si="1"/>
        <v>0</v>
      </c>
      <c r="G19" s="318">
        <f t="shared" si="2"/>
        <v>0</v>
      </c>
      <c r="H19" s="319">
        <f t="shared" si="3"/>
        <v>0</v>
      </c>
      <c r="I19" s="319">
        <f t="shared" si="4"/>
        <v>0</v>
      </c>
      <c r="J19" s="318">
        <f t="shared" si="5"/>
        <v>0</v>
      </c>
      <c r="K19" s="320">
        <f t="shared" si="6"/>
        <v>0</v>
      </c>
      <c r="L19" s="319">
        <v>0</v>
      </c>
      <c r="M19" s="320">
        <f t="shared" si="7"/>
        <v>0</v>
      </c>
      <c r="N19" s="320">
        <v>0</v>
      </c>
      <c r="O19" s="321">
        <f t="shared" si="8"/>
        <v>0</v>
      </c>
      <c r="R19" s="322">
        <v>36</v>
      </c>
      <c r="S19" s="323">
        <v>1</v>
      </c>
      <c r="T19" s="152"/>
      <c r="U19" s="152"/>
      <c r="V19" s="324">
        <f t="shared" si="14"/>
        <v>0</v>
      </c>
      <c r="W19" s="152"/>
      <c r="X19" s="152"/>
      <c r="Y19" s="324">
        <f t="shared" si="9"/>
        <v>0</v>
      </c>
      <c r="Z19" s="152">
        <v>0</v>
      </c>
      <c r="AA19" s="152">
        <v>0</v>
      </c>
      <c r="AB19" s="324">
        <f t="shared" si="10"/>
        <v>0</v>
      </c>
      <c r="AC19" s="152"/>
      <c r="AD19" s="152"/>
      <c r="AE19" s="324">
        <f t="shared" si="11"/>
        <v>0</v>
      </c>
      <c r="AF19" s="9"/>
      <c r="AG19" s="9"/>
      <c r="AH19" s="324">
        <f t="shared" si="12"/>
        <v>0</v>
      </c>
      <c r="AI19" s="152"/>
      <c r="AJ19" s="152"/>
      <c r="AK19" s="325">
        <f t="shared" si="13"/>
        <v>0</v>
      </c>
    </row>
    <row r="20" spans="1:37" ht="18.75" customHeight="1">
      <c r="A20" s="305">
        <v>663</v>
      </c>
      <c r="B20" s="305" t="s">
        <v>1</v>
      </c>
      <c r="C20" s="316">
        <v>42</v>
      </c>
      <c r="D20" s="305"/>
      <c r="E20" s="317">
        <f t="shared" si="0"/>
        <v>555170</v>
      </c>
      <c r="F20" s="318">
        <f t="shared" si="1"/>
        <v>221266.32000000007</v>
      </c>
      <c r="G20" s="318">
        <f t="shared" si="2"/>
        <v>605204.26000000024</v>
      </c>
      <c r="H20" s="319">
        <f t="shared" si="3"/>
        <v>617.81999999999971</v>
      </c>
      <c r="I20" s="319">
        <f t="shared" si="4"/>
        <v>0</v>
      </c>
      <c r="J20" s="318">
        <f t="shared" si="5"/>
        <v>0</v>
      </c>
      <c r="K20" s="320">
        <f>E20+F20-G20-H20-I20-J20</f>
        <v>170614.23999999982</v>
      </c>
      <c r="L20" s="319">
        <v>0</v>
      </c>
      <c r="M20" s="320">
        <f t="shared" si="7"/>
        <v>170614.23999999982</v>
      </c>
      <c r="N20" s="320">
        <v>0</v>
      </c>
      <c r="O20" s="321">
        <f t="shared" si="8"/>
        <v>-170614.23999999982</v>
      </c>
      <c r="R20" s="322">
        <v>42</v>
      </c>
      <c r="S20" s="323">
        <v>1</v>
      </c>
      <c r="T20" s="152">
        <v>3158000</v>
      </c>
      <c r="U20" s="152">
        <f>'42'!B26</f>
        <v>3713170</v>
      </c>
      <c r="V20" s="324">
        <f t="shared" si="14"/>
        <v>555170</v>
      </c>
      <c r="W20" s="152">
        <v>1264626.23</v>
      </c>
      <c r="X20" s="152">
        <f>'42'!B27</f>
        <v>1485892.55</v>
      </c>
      <c r="Y20" s="324">
        <f t="shared" si="9"/>
        <v>221266.32000000007</v>
      </c>
      <c r="Z20" s="152">
        <v>3630762.14</v>
      </c>
      <c r="AA20" s="152">
        <f>'42'!B44</f>
        <v>4235966.4000000004</v>
      </c>
      <c r="AB20" s="324">
        <f t="shared" si="10"/>
        <v>605204.26000000024</v>
      </c>
      <c r="AC20" s="152">
        <v>3624.04</v>
      </c>
      <c r="AD20" s="152">
        <f>'42'!B40</f>
        <v>4241.8599999999997</v>
      </c>
      <c r="AE20" s="324">
        <f t="shared" si="11"/>
        <v>617.81999999999971</v>
      </c>
      <c r="AF20" s="9"/>
      <c r="AG20" s="9"/>
      <c r="AH20" s="324">
        <f t="shared" si="12"/>
        <v>0</v>
      </c>
      <c r="AI20" s="152">
        <v>93850.5</v>
      </c>
      <c r="AJ20" s="152">
        <f>'42'!B39</f>
        <v>93850.5</v>
      </c>
      <c r="AK20" s="325">
        <f t="shared" si="13"/>
        <v>0</v>
      </c>
    </row>
    <row r="21" spans="1:37" ht="18.75" customHeight="1">
      <c r="A21" s="305"/>
      <c r="B21" s="305" t="s">
        <v>70</v>
      </c>
      <c r="C21" s="316">
        <v>48</v>
      </c>
      <c r="D21" s="305"/>
      <c r="E21" s="317">
        <f t="shared" si="0"/>
        <v>-262674</v>
      </c>
      <c r="F21" s="318">
        <f t="shared" si="1"/>
        <v>-275405.88</v>
      </c>
      <c r="G21" s="318">
        <f t="shared" si="2"/>
        <v>-464364.78</v>
      </c>
      <c r="H21" s="319">
        <f t="shared" si="3"/>
        <v>0</v>
      </c>
      <c r="I21" s="319">
        <f t="shared" si="4"/>
        <v>0</v>
      </c>
      <c r="J21" s="318">
        <f t="shared" si="5"/>
        <v>0</v>
      </c>
      <c r="K21" s="320">
        <f t="shared" ref="K21:K34" si="15">E21+F21-G21-H21-I21-J21</f>
        <v>-73715.099999999977</v>
      </c>
      <c r="L21" s="319">
        <v>0</v>
      </c>
      <c r="M21" s="320">
        <f t="shared" si="7"/>
        <v>-73715.099999999977</v>
      </c>
      <c r="N21" s="320">
        <v>0</v>
      </c>
      <c r="O21" s="321">
        <f t="shared" si="8"/>
        <v>73715.099999999977</v>
      </c>
      <c r="R21" s="322">
        <v>48</v>
      </c>
      <c r="S21" s="323">
        <v>1</v>
      </c>
      <c r="T21" s="152">
        <v>281705</v>
      </c>
      <c r="U21" s="152">
        <f>'50N'!B41</f>
        <v>19031</v>
      </c>
      <c r="V21" s="324">
        <f t="shared" si="14"/>
        <v>-262674</v>
      </c>
      <c r="W21" s="152">
        <v>308187.52000000002</v>
      </c>
      <c r="X21" s="152">
        <f>'50N'!C23</f>
        <v>32781.64</v>
      </c>
      <c r="Y21" s="324">
        <f t="shared" si="9"/>
        <v>-275405.88</v>
      </c>
      <c r="Z21" s="152">
        <v>514217.69</v>
      </c>
      <c r="AA21" s="152">
        <f>'50N'!B24</f>
        <v>49852.91</v>
      </c>
      <c r="AB21" s="324">
        <f t="shared" si="10"/>
        <v>-464364.78</v>
      </c>
      <c r="AC21" s="152"/>
      <c r="AD21" s="152"/>
      <c r="AE21" s="324">
        <f t="shared" si="11"/>
        <v>0</v>
      </c>
      <c r="AF21" s="9"/>
      <c r="AG21" s="9"/>
      <c r="AH21" s="324">
        <f t="shared" si="12"/>
        <v>0</v>
      </c>
      <c r="AI21" s="152"/>
      <c r="AJ21" s="152"/>
      <c r="AK21" s="325">
        <f t="shared" si="13"/>
        <v>0</v>
      </c>
    </row>
    <row r="22" spans="1:37" ht="18.75" customHeight="1">
      <c r="A22" s="305" t="s">
        <v>609</v>
      </c>
      <c r="B22" s="305" t="s">
        <v>70</v>
      </c>
      <c r="C22" s="316">
        <v>49</v>
      </c>
      <c r="D22" s="305"/>
      <c r="E22" s="317">
        <f t="shared" si="0"/>
        <v>240</v>
      </c>
      <c r="F22" s="318">
        <f t="shared" si="1"/>
        <v>10927.100000000006</v>
      </c>
      <c r="G22" s="318">
        <f t="shared" si="2"/>
        <v>8966.25</v>
      </c>
      <c r="H22" s="319">
        <f t="shared" si="3"/>
        <v>0</v>
      </c>
      <c r="I22" s="319">
        <f t="shared" si="4"/>
        <v>0</v>
      </c>
      <c r="J22" s="318">
        <f t="shared" si="5"/>
        <v>0</v>
      </c>
      <c r="K22" s="320">
        <f t="shared" si="15"/>
        <v>2200.8500000000058</v>
      </c>
      <c r="L22" s="319">
        <v>0</v>
      </c>
      <c r="M22" s="320">
        <f t="shared" si="7"/>
        <v>2200.8500000000058</v>
      </c>
      <c r="N22" s="320">
        <v>0</v>
      </c>
      <c r="O22" s="321">
        <f t="shared" si="8"/>
        <v>-2200.8500000000058</v>
      </c>
      <c r="R22" s="322">
        <v>49</v>
      </c>
      <c r="S22" s="323">
        <v>1</v>
      </c>
      <c r="T22" s="152">
        <v>28896</v>
      </c>
      <c r="U22" s="152">
        <f>'49'!B42</f>
        <v>29136</v>
      </c>
      <c r="V22" s="324">
        <f t="shared" si="14"/>
        <v>240</v>
      </c>
      <c r="W22" s="152">
        <v>10070.629999999997</v>
      </c>
      <c r="X22" s="152">
        <f>'49'!C24</f>
        <v>20997.730000000003</v>
      </c>
      <c r="Y22" s="324">
        <f t="shared" si="9"/>
        <v>10927.100000000006</v>
      </c>
      <c r="Z22" s="152">
        <v>37765.800000000003</v>
      </c>
      <c r="AA22" s="152">
        <f>'49'!B25</f>
        <v>46732.05</v>
      </c>
      <c r="AB22" s="324">
        <f t="shared" si="10"/>
        <v>8966.25</v>
      </c>
      <c r="AC22" s="152"/>
      <c r="AD22" s="152"/>
      <c r="AE22" s="324">
        <f t="shared" si="11"/>
        <v>0</v>
      </c>
      <c r="AF22" s="9"/>
      <c r="AG22" s="9"/>
      <c r="AH22" s="324">
        <f t="shared" si="12"/>
        <v>0</v>
      </c>
      <c r="AI22" s="152"/>
      <c r="AJ22" s="152"/>
      <c r="AK22" s="325">
        <f t="shared" si="13"/>
        <v>0</v>
      </c>
    </row>
    <row r="23" spans="1:37" ht="18.75" customHeight="1">
      <c r="A23" s="305">
        <v>20</v>
      </c>
      <c r="B23" s="305" t="s">
        <v>70</v>
      </c>
      <c r="C23" s="316">
        <v>50</v>
      </c>
      <c r="D23" s="305"/>
      <c r="E23" s="317">
        <f t="shared" si="0"/>
        <v>0</v>
      </c>
      <c r="F23" s="318">
        <f t="shared" si="1"/>
        <v>-177162.69</v>
      </c>
      <c r="G23" s="318">
        <f t="shared" si="2"/>
        <v>-232402.3</v>
      </c>
      <c r="H23" s="319">
        <f t="shared" si="3"/>
        <v>0</v>
      </c>
      <c r="I23" s="319">
        <f t="shared" si="4"/>
        <v>0</v>
      </c>
      <c r="J23" s="318">
        <f t="shared" si="5"/>
        <v>0</v>
      </c>
      <c r="K23" s="320">
        <f t="shared" si="15"/>
        <v>55239.609999999986</v>
      </c>
      <c r="L23" s="319">
        <v>0</v>
      </c>
      <c r="M23" s="320">
        <f t="shared" si="7"/>
        <v>55239.609999999986</v>
      </c>
      <c r="N23" s="320">
        <v>0</v>
      </c>
      <c r="O23" s="321">
        <f t="shared" si="8"/>
        <v>-55239.609999999986</v>
      </c>
      <c r="R23" s="322">
        <v>50</v>
      </c>
      <c r="S23" s="323">
        <v>1</v>
      </c>
      <c r="T23" s="152">
        <v>0</v>
      </c>
      <c r="U23" s="152">
        <v>0</v>
      </c>
      <c r="V23" s="324">
        <f t="shared" si="14"/>
        <v>0</v>
      </c>
      <c r="W23" s="152">
        <v>206020</v>
      </c>
      <c r="X23" s="152">
        <f>'50'!C23</f>
        <v>28857.309999999998</v>
      </c>
      <c r="Y23" s="324">
        <f t="shared" si="9"/>
        <v>-177162.69</v>
      </c>
      <c r="Z23" s="152">
        <v>277902.11</v>
      </c>
      <c r="AA23" s="152">
        <f>'50'!B24</f>
        <v>45499.81</v>
      </c>
      <c r="AB23" s="324">
        <f t="shared" si="10"/>
        <v>-232402.3</v>
      </c>
      <c r="AC23" s="152"/>
      <c r="AD23" s="152"/>
      <c r="AE23" s="324">
        <f t="shared" si="11"/>
        <v>0</v>
      </c>
      <c r="AF23" s="9"/>
      <c r="AG23" s="9"/>
      <c r="AH23" s="324">
        <f t="shared" si="12"/>
        <v>0</v>
      </c>
      <c r="AI23" s="152"/>
      <c r="AJ23" s="152"/>
      <c r="AK23" s="325">
        <f t="shared" si="13"/>
        <v>0</v>
      </c>
    </row>
    <row r="24" spans="1:37" ht="18.75" customHeight="1">
      <c r="A24" s="305" t="s">
        <v>610</v>
      </c>
      <c r="B24" s="305" t="s">
        <v>70</v>
      </c>
      <c r="C24" s="316">
        <v>67</v>
      </c>
      <c r="D24" s="305"/>
      <c r="E24" s="317">
        <f t="shared" si="0"/>
        <v>760</v>
      </c>
      <c r="F24" s="318">
        <f t="shared" si="1"/>
        <v>9014.9500000000044</v>
      </c>
      <c r="G24" s="318">
        <f t="shared" si="2"/>
        <v>13607.830000000002</v>
      </c>
      <c r="H24" s="319">
        <f t="shared" si="3"/>
        <v>0</v>
      </c>
      <c r="I24" s="319">
        <f t="shared" si="4"/>
        <v>0</v>
      </c>
      <c r="J24" s="318">
        <f t="shared" si="5"/>
        <v>0</v>
      </c>
      <c r="K24" s="320">
        <f t="shared" si="15"/>
        <v>-3832.8799999999974</v>
      </c>
      <c r="L24" s="319">
        <v>0</v>
      </c>
      <c r="M24" s="320">
        <f t="shared" si="7"/>
        <v>-3832.8799999999974</v>
      </c>
      <c r="N24" s="320">
        <v>0</v>
      </c>
      <c r="O24" s="321">
        <f t="shared" si="8"/>
        <v>3832.8799999999974</v>
      </c>
      <c r="R24" s="322">
        <v>67</v>
      </c>
      <c r="S24" s="323">
        <v>1</v>
      </c>
      <c r="T24" s="152">
        <v>18497</v>
      </c>
      <c r="U24" s="152">
        <f>'67'!B42</f>
        <v>19257</v>
      </c>
      <c r="V24" s="324">
        <f t="shared" si="14"/>
        <v>760</v>
      </c>
      <c r="W24" s="152">
        <v>32383.879999999997</v>
      </c>
      <c r="X24" s="152">
        <f>'67'!C24</f>
        <v>41398.83</v>
      </c>
      <c r="Y24" s="324">
        <f t="shared" si="9"/>
        <v>9014.9500000000044</v>
      </c>
      <c r="Z24" s="152">
        <v>46956.31</v>
      </c>
      <c r="AA24" s="152">
        <f>'67'!B25</f>
        <v>60564.14</v>
      </c>
      <c r="AB24" s="324">
        <f t="shared" si="10"/>
        <v>13607.830000000002</v>
      </c>
      <c r="AC24" s="152"/>
      <c r="AD24" s="152"/>
      <c r="AE24" s="324">
        <f t="shared" si="11"/>
        <v>0</v>
      </c>
      <c r="AF24" s="9"/>
      <c r="AG24" s="9"/>
      <c r="AH24" s="324">
        <f t="shared" si="12"/>
        <v>0</v>
      </c>
      <c r="AI24" s="152"/>
      <c r="AJ24" s="152"/>
      <c r="AK24" s="325">
        <f t="shared" si="13"/>
        <v>0</v>
      </c>
    </row>
    <row r="25" spans="1:37" ht="18.75" customHeight="1">
      <c r="A25" s="305" t="s">
        <v>609</v>
      </c>
      <c r="B25" s="305" t="s">
        <v>70</v>
      </c>
      <c r="C25" s="316">
        <v>66</v>
      </c>
      <c r="D25" s="305"/>
      <c r="E25" s="317">
        <f t="shared" si="0"/>
        <v>170</v>
      </c>
      <c r="F25" s="318">
        <f t="shared" si="1"/>
        <v>4269.6299999999974</v>
      </c>
      <c r="G25" s="318">
        <f t="shared" si="2"/>
        <v>3538.59</v>
      </c>
      <c r="H25" s="319">
        <f t="shared" si="3"/>
        <v>0</v>
      </c>
      <c r="I25" s="319">
        <f t="shared" si="4"/>
        <v>0</v>
      </c>
      <c r="J25" s="318">
        <f t="shared" si="5"/>
        <v>0</v>
      </c>
      <c r="K25" s="320">
        <f t="shared" si="15"/>
        <v>901.03999999999724</v>
      </c>
      <c r="L25" s="319">
        <v>0</v>
      </c>
      <c r="M25" s="320">
        <f t="shared" si="7"/>
        <v>901.03999999999724</v>
      </c>
      <c r="N25" s="320">
        <v>0</v>
      </c>
      <c r="O25" s="321">
        <f t="shared" si="8"/>
        <v>-901.03999999999724</v>
      </c>
      <c r="R25" s="322">
        <v>66</v>
      </c>
      <c r="S25" s="323">
        <v>1</v>
      </c>
      <c r="T25" s="152">
        <v>4315</v>
      </c>
      <c r="U25" s="152">
        <f>'66'!B41</f>
        <v>4485</v>
      </c>
      <c r="V25" s="324">
        <f t="shared" si="14"/>
        <v>170</v>
      </c>
      <c r="W25" s="152">
        <v>28713.68</v>
      </c>
      <c r="X25" s="152">
        <f>'66'!C23</f>
        <v>32983.31</v>
      </c>
      <c r="Y25" s="324">
        <f t="shared" si="9"/>
        <v>4269.6299999999974</v>
      </c>
      <c r="Z25" s="152">
        <v>22408.61</v>
      </c>
      <c r="AA25" s="152">
        <f>'66'!B24</f>
        <v>25947.200000000001</v>
      </c>
      <c r="AB25" s="324">
        <f t="shared" si="10"/>
        <v>3538.59</v>
      </c>
      <c r="AC25" s="152"/>
      <c r="AD25" s="152"/>
      <c r="AE25" s="324">
        <f t="shared" si="11"/>
        <v>0</v>
      </c>
      <c r="AF25" s="9"/>
      <c r="AG25" s="9"/>
      <c r="AH25" s="324">
        <f t="shared" si="12"/>
        <v>0</v>
      </c>
      <c r="AI25" s="152"/>
      <c r="AJ25" s="152"/>
      <c r="AK25" s="325">
        <f t="shared" si="13"/>
        <v>0</v>
      </c>
    </row>
    <row r="26" spans="1:37" ht="18.75" customHeight="1">
      <c r="A26" s="305" t="s">
        <v>611</v>
      </c>
      <c r="B26" s="305" t="s">
        <v>70</v>
      </c>
      <c r="C26" s="316">
        <v>65</v>
      </c>
      <c r="D26" s="305"/>
      <c r="E26" s="317">
        <f t="shared" si="0"/>
        <v>1350</v>
      </c>
      <c r="F26" s="318">
        <f t="shared" si="1"/>
        <v>2043.6500000000015</v>
      </c>
      <c r="G26" s="318">
        <f t="shared" si="2"/>
        <v>2706.3199999999997</v>
      </c>
      <c r="H26" s="319">
        <f t="shared" si="3"/>
        <v>0</v>
      </c>
      <c r="I26" s="319">
        <f t="shared" si="4"/>
        <v>0</v>
      </c>
      <c r="J26" s="318">
        <f t="shared" si="5"/>
        <v>0</v>
      </c>
      <c r="K26" s="320">
        <f t="shared" si="15"/>
        <v>687.33000000000175</v>
      </c>
      <c r="L26" s="319">
        <v>0</v>
      </c>
      <c r="M26" s="320">
        <f t="shared" si="7"/>
        <v>687.33000000000175</v>
      </c>
      <c r="N26" s="320">
        <v>0</v>
      </c>
      <c r="O26" s="321">
        <f t="shared" si="8"/>
        <v>-687.33000000000175</v>
      </c>
      <c r="R26" s="322">
        <v>65</v>
      </c>
      <c r="S26" s="323">
        <v>1</v>
      </c>
      <c r="T26" s="152">
        <v>29279</v>
      </c>
      <c r="U26" s="152">
        <f>'65'!B41</f>
        <v>30629</v>
      </c>
      <c r="V26" s="324">
        <f t="shared" si="14"/>
        <v>1350</v>
      </c>
      <c r="W26" s="152">
        <v>26213.040000000001</v>
      </c>
      <c r="X26" s="152">
        <f>'65'!C23</f>
        <v>28256.690000000002</v>
      </c>
      <c r="Y26" s="324">
        <f t="shared" si="9"/>
        <v>2043.6500000000015</v>
      </c>
      <c r="Z26" s="152">
        <v>48670.07</v>
      </c>
      <c r="AA26" s="152">
        <f>'65'!B24</f>
        <v>51376.39</v>
      </c>
      <c r="AB26" s="324">
        <f t="shared" si="10"/>
        <v>2706.3199999999997</v>
      </c>
      <c r="AC26" s="152"/>
      <c r="AD26" s="152"/>
      <c r="AE26" s="324">
        <f t="shared" si="11"/>
        <v>0</v>
      </c>
      <c r="AF26" s="9"/>
      <c r="AG26" s="9"/>
      <c r="AH26" s="324">
        <f t="shared" si="12"/>
        <v>0</v>
      </c>
      <c r="AI26" s="152"/>
      <c r="AJ26" s="152"/>
      <c r="AK26" s="325">
        <f t="shared" si="13"/>
        <v>0</v>
      </c>
    </row>
    <row r="27" spans="1:37" ht="18.75" customHeight="1">
      <c r="A27" s="305" t="s">
        <v>426</v>
      </c>
      <c r="B27" s="305" t="s">
        <v>111</v>
      </c>
      <c r="C27" s="316">
        <v>54</v>
      </c>
      <c r="D27" s="305"/>
      <c r="E27" s="317">
        <f t="shared" si="0"/>
        <v>0</v>
      </c>
      <c r="F27" s="318">
        <f t="shared" si="1"/>
        <v>0</v>
      </c>
      <c r="G27" s="318">
        <f t="shared" si="2"/>
        <v>0</v>
      </c>
      <c r="H27" s="319">
        <f t="shared" si="3"/>
        <v>0</v>
      </c>
      <c r="I27" s="319">
        <f t="shared" si="4"/>
        <v>0</v>
      </c>
      <c r="J27" s="318">
        <f t="shared" si="5"/>
        <v>0</v>
      </c>
      <c r="K27" s="320">
        <f t="shared" si="15"/>
        <v>0</v>
      </c>
      <c r="L27" s="319">
        <v>0</v>
      </c>
      <c r="M27" s="320">
        <f t="shared" si="7"/>
        <v>0</v>
      </c>
      <c r="N27" s="320">
        <v>0</v>
      </c>
      <c r="O27" s="321">
        <f t="shared" si="8"/>
        <v>0</v>
      </c>
      <c r="R27" s="322">
        <v>54</v>
      </c>
      <c r="S27" s="323">
        <v>0.2</v>
      </c>
      <c r="T27" s="152">
        <v>204050</v>
      </c>
      <c r="U27" s="152">
        <f>'54'!B18</f>
        <v>204050</v>
      </c>
      <c r="V27" s="324">
        <f t="shared" si="14"/>
        <v>0</v>
      </c>
      <c r="W27" s="152">
        <v>196977</v>
      </c>
      <c r="X27" s="152">
        <f>'54'!B19</f>
        <v>196977</v>
      </c>
      <c r="Y27" s="324">
        <f t="shared" si="9"/>
        <v>0</v>
      </c>
      <c r="Z27" s="152">
        <v>360099</v>
      </c>
      <c r="AA27" s="152">
        <f>'54'!B23</f>
        <v>360099</v>
      </c>
      <c r="AB27" s="324">
        <f t="shared" si="10"/>
        <v>0</v>
      </c>
      <c r="AC27" s="152">
        <v>585</v>
      </c>
      <c r="AD27" s="152">
        <f>'54'!B25</f>
        <v>585</v>
      </c>
      <c r="AE27" s="324">
        <f t="shared" si="11"/>
        <v>0</v>
      </c>
      <c r="AF27" s="9"/>
      <c r="AG27" s="9"/>
      <c r="AH27" s="324">
        <f t="shared" si="12"/>
        <v>0</v>
      </c>
      <c r="AI27" s="152">
        <v>2924</v>
      </c>
      <c r="AJ27" s="152">
        <f>'54'!B24</f>
        <v>2924</v>
      </c>
      <c r="AK27" s="325">
        <f t="shared" si="13"/>
        <v>0</v>
      </c>
    </row>
    <row r="28" spans="1:37" ht="18.75" customHeight="1">
      <c r="A28" s="305" t="s">
        <v>448</v>
      </c>
      <c r="B28" s="305" t="s">
        <v>70</v>
      </c>
      <c r="C28" s="316">
        <v>55</v>
      </c>
      <c r="D28" s="305"/>
      <c r="E28" s="317">
        <f t="shared" si="0"/>
        <v>0</v>
      </c>
      <c r="F28" s="318">
        <f t="shared" si="1"/>
        <v>140.9600000000064</v>
      </c>
      <c r="G28" s="318">
        <f t="shared" si="2"/>
        <v>122.23999999999069</v>
      </c>
      <c r="H28" s="319">
        <f t="shared" si="3"/>
        <v>0</v>
      </c>
      <c r="I28" s="319">
        <f t="shared" si="4"/>
        <v>0</v>
      </c>
      <c r="J28" s="318">
        <f t="shared" si="5"/>
        <v>0</v>
      </c>
      <c r="K28" s="320">
        <f t="shared" si="15"/>
        <v>18.720000000015716</v>
      </c>
      <c r="L28" s="319">
        <v>0</v>
      </c>
      <c r="M28" s="320">
        <f t="shared" si="7"/>
        <v>18.720000000015716</v>
      </c>
      <c r="N28" s="320">
        <v>0</v>
      </c>
      <c r="O28" s="321">
        <f t="shared" si="8"/>
        <v>-18.720000000015716</v>
      </c>
      <c r="R28" s="322">
        <v>55</v>
      </c>
      <c r="S28" s="323">
        <v>1</v>
      </c>
      <c r="T28" s="152">
        <v>15326</v>
      </c>
      <c r="U28" s="152">
        <f>'55'!B41</f>
        <v>15326</v>
      </c>
      <c r="V28" s="324">
        <f t="shared" si="14"/>
        <v>0</v>
      </c>
      <c r="W28" s="152">
        <v>71443.98</v>
      </c>
      <c r="X28" s="152">
        <f>'55'!C23</f>
        <v>71584.94</v>
      </c>
      <c r="Y28" s="324">
        <f t="shared" si="9"/>
        <v>140.9600000000064</v>
      </c>
      <c r="Z28" s="152">
        <v>75248.94</v>
      </c>
      <c r="AA28" s="152">
        <f>'55'!B24</f>
        <v>75371.179999999993</v>
      </c>
      <c r="AB28" s="324">
        <f t="shared" si="10"/>
        <v>122.23999999999069</v>
      </c>
      <c r="AC28" s="152"/>
      <c r="AD28" s="152"/>
      <c r="AE28" s="324">
        <f t="shared" si="11"/>
        <v>0</v>
      </c>
      <c r="AF28" s="9"/>
      <c r="AG28" s="9"/>
      <c r="AH28" s="324">
        <f t="shared" si="12"/>
        <v>0</v>
      </c>
      <c r="AI28" s="152"/>
      <c r="AJ28" s="152"/>
      <c r="AK28" s="325">
        <f t="shared" si="13"/>
        <v>0</v>
      </c>
    </row>
    <row r="29" spans="1:37" ht="18.75" customHeight="1">
      <c r="A29" s="305"/>
      <c r="B29" s="305" t="s">
        <v>70</v>
      </c>
      <c r="C29" s="316">
        <v>56</v>
      </c>
      <c r="D29" s="305"/>
      <c r="E29" s="317">
        <f t="shared" si="0"/>
        <v>0</v>
      </c>
      <c r="F29" s="318">
        <f t="shared" si="1"/>
        <v>0</v>
      </c>
      <c r="G29" s="318">
        <f t="shared" si="2"/>
        <v>0</v>
      </c>
      <c r="H29" s="319">
        <f t="shared" si="3"/>
        <v>0</v>
      </c>
      <c r="I29" s="319">
        <f t="shared" si="4"/>
        <v>0</v>
      </c>
      <c r="J29" s="318">
        <f t="shared" si="5"/>
        <v>0</v>
      </c>
      <c r="K29" s="320">
        <f t="shared" si="15"/>
        <v>0</v>
      </c>
      <c r="L29" s="319">
        <v>0</v>
      </c>
      <c r="M29" s="320">
        <f t="shared" si="7"/>
        <v>0</v>
      </c>
      <c r="N29" s="320">
        <v>0</v>
      </c>
      <c r="O29" s="321">
        <f t="shared" si="8"/>
        <v>0</v>
      </c>
      <c r="R29" s="322">
        <v>56</v>
      </c>
      <c r="S29" s="323">
        <v>1</v>
      </c>
      <c r="T29" s="152"/>
      <c r="U29" s="152"/>
      <c r="V29" s="324">
        <f t="shared" si="14"/>
        <v>0</v>
      </c>
      <c r="W29" s="152"/>
      <c r="X29" s="152"/>
      <c r="Y29" s="324">
        <f t="shared" si="9"/>
        <v>0</v>
      </c>
      <c r="Z29" s="152">
        <v>0</v>
      </c>
      <c r="AA29" s="152">
        <v>0</v>
      </c>
      <c r="AB29" s="324">
        <f t="shared" si="10"/>
        <v>0</v>
      </c>
      <c r="AC29" s="152"/>
      <c r="AD29" s="152"/>
      <c r="AE29" s="324">
        <f t="shared" si="11"/>
        <v>0</v>
      </c>
      <c r="AF29" s="9"/>
      <c r="AG29" s="9"/>
      <c r="AH29" s="324">
        <f t="shared" si="12"/>
        <v>0</v>
      </c>
      <c r="AI29" s="152"/>
      <c r="AJ29" s="152"/>
      <c r="AK29" s="325">
        <f t="shared" si="13"/>
        <v>0</v>
      </c>
    </row>
    <row r="30" spans="1:37" ht="18.75" customHeight="1">
      <c r="A30" s="305" t="s">
        <v>332</v>
      </c>
      <c r="B30" s="305" t="s">
        <v>70</v>
      </c>
      <c r="C30" s="316">
        <v>57</v>
      </c>
      <c r="D30" s="305"/>
      <c r="E30" s="317">
        <f t="shared" si="0"/>
        <v>-1396</v>
      </c>
      <c r="F30" s="318">
        <f t="shared" si="1"/>
        <v>-859.68000000000006</v>
      </c>
      <c r="G30" s="318">
        <f t="shared" si="2"/>
        <v>-1395.2</v>
      </c>
      <c r="H30" s="319">
        <f t="shared" si="3"/>
        <v>0</v>
      </c>
      <c r="I30" s="319">
        <f t="shared" si="4"/>
        <v>0</v>
      </c>
      <c r="J30" s="318">
        <f t="shared" si="5"/>
        <v>0</v>
      </c>
      <c r="K30" s="320">
        <f t="shared" si="15"/>
        <v>-860.48000000000025</v>
      </c>
      <c r="L30" s="319">
        <v>0</v>
      </c>
      <c r="M30" s="320">
        <f t="shared" si="7"/>
        <v>-860.48000000000025</v>
      </c>
      <c r="N30" s="320">
        <v>0</v>
      </c>
      <c r="O30" s="321">
        <f t="shared" si="8"/>
        <v>860.48000000000025</v>
      </c>
      <c r="R30" s="322">
        <v>57</v>
      </c>
      <c r="S30" s="323">
        <v>1</v>
      </c>
      <c r="T30" s="152">
        <v>1396</v>
      </c>
      <c r="U30" s="152">
        <f>'57'!B41</f>
        <v>0</v>
      </c>
      <c r="V30" s="324">
        <f t="shared" si="14"/>
        <v>-1396</v>
      </c>
      <c r="W30" s="152">
        <v>2341.25</v>
      </c>
      <c r="X30" s="152">
        <f>'57'!C23</f>
        <v>1481.57</v>
      </c>
      <c r="Y30" s="324">
        <f t="shared" si="9"/>
        <v>-859.68000000000006</v>
      </c>
      <c r="Z30" s="152">
        <v>2805.04</v>
      </c>
      <c r="AA30" s="152">
        <f>'57'!B24</f>
        <v>1409.84</v>
      </c>
      <c r="AB30" s="324">
        <f t="shared" si="10"/>
        <v>-1395.2</v>
      </c>
      <c r="AC30" s="152"/>
      <c r="AD30" s="152"/>
      <c r="AE30" s="324">
        <f t="shared" si="11"/>
        <v>0</v>
      </c>
      <c r="AF30" s="9"/>
      <c r="AG30" s="9"/>
      <c r="AH30" s="324">
        <f t="shared" si="12"/>
        <v>0</v>
      </c>
      <c r="AI30" s="152"/>
      <c r="AJ30" s="152"/>
      <c r="AK30" s="325">
        <f t="shared" si="13"/>
        <v>0</v>
      </c>
    </row>
    <row r="31" spans="1:37" ht="18.75" customHeight="1">
      <c r="A31" s="305" t="s">
        <v>612</v>
      </c>
      <c r="B31" s="305" t="s">
        <v>70</v>
      </c>
      <c r="C31" s="316">
        <v>58</v>
      </c>
      <c r="D31" s="305"/>
      <c r="E31" s="317">
        <f t="shared" si="0"/>
        <v>0</v>
      </c>
      <c r="F31" s="318">
        <f t="shared" si="1"/>
        <v>0</v>
      </c>
      <c r="G31" s="318">
        <f t="shared" si="2"/>
        <v>0</v>
      </c>
      <c r="H31" s="319">
        <f t="shared" si="3"/>
        <v>0</v>
      </c>
      <c r="I31" s="319">
        <f t="shared" si="4"/>
        <v>0</v>
      </c>
      <c r="J31" s="318">
        <f t="shared" si="5"/>
        <v>0</v>
      </c>
      <c r="K31" s="320">
        <f t="shared" si="15"/>
        <v>0</v>
      </c>
      <c r="L31" s="319">
        <v>0</v>
      </c>
      <c r="M31" s="320">
        <f t="shared" si="7"/>
        <v>0</v>
      </c>
      <c r="N31" s="320">
        <v>0</v>
      </c>
      <c r="O31" s="321">
        <f t="shared" si="8"/>
        <v>0</v>
      </c>
      <c r="R31" s="322">
        <v>58</v>
      </c>
      <c r="S31" s="323">
        <v>1</v>
      </c>
      <c r="T31" s="152"/>
      <c r="U31" s="152"/>
      <c r="V31" s="324">
        <f t="shared" si="14"/>
        <v>0</v>
      </c>
      <c r="W31" s="152"/>
      <c r="X31" s="152"/>
      <c r="Y31" s="324">
        <f t="shared" si="9"/>
        <v>0</v>
      </c>
      <c r="Z31" s="152">
        <v>0</v>
      </c>
      <c r="AA31" s="152">
        <v>0</v>
      </c>
      <c r="AB31" s="324">
        <f t="shared" si="10"/>
        <v>0</v>
      </c>
      <c r="AC31" s="152"/>
      <c r="AD31" s="152"/>
      <c r="AE31" s="324">
        <f t="shared" si="11"/>
        <v>0</v>
      </c>
      <c r="AF31" s="9"/>
      <c r="AG31" s="9"/>
      <c r="AH31" s="324">
        <f t="shared" si="12"/>
        <v>0</v>
      </c>
      <c r="AI31" s="152"/>
      <c r="AJ31" s="152"/>
      <c r="AK31" s="325">
        <f t="shared" si="13"/>
        <v>0</v>
      </c>
    </row>
    <row r="32" spans="1:37" ht="18.75" customHeight="1">
      <c r="A32" s="305" t="s">
        <v>440</v>
      </c>
      <c r="B32" s="305" t="s">
        <v>70</v>
      </c>
      <c r="C32" s="316">
        <v>59</v>
      </c>
      <c r="D32" s="305"/>
      <c r="E32" s="317">
        <f t="shared" si="0"/>
        <v>0</v>
      </c>
      <c r="F32" s="318">
        <f t="shared" si="1"/>
        <v>0</v>
      </c>
      <c r="G32" s="318">
        <f t="shared" si="2"/>
        <v>0</v>
      </c>
      <c r="H32" s="319">
        <f t="shared" si="3"/>
        <v>0</v>
      </c>
      <c r="I32" s="319">
        <f t="shared" si="4"/>
        <v>0</v>
      </c>
      <c r="J32" s="318">
        <f t="shared" si="5"/>
        <v>0</v>
      </c>
      <c r="K32" s="320">
        <f t="shared" si="15"/>
        <v>0</v>
      </c>
      <c r="L32" s="319">
        <v>0</v>
      </c>
      <c r="M32" s="320">
        <f t="shared" si="7"/>
        <v>0</v>
      </c>
      <c r="N32" s="320">
        <v>0</v>
      </c>
      <c r="O32" s="321">
        <f t="shared" si="8"/>
        <v>0</v>
      </c>
      <c r="R32" s="322">
        <v>59</v>
      </c>
      <c r="S32" s="323">
        <v>1</v>
      </c>
      <c r="T32" s="152"/>
      <c r="U32" s="152"/>
      <c r="V32" s="324">
        <f t="shared" si="14"/>
        <v>0</v>
      </c>
      <c r="W32" s="152">
        <f>X32</f>
        <v>0</v>
      </c>
      <c r="X32" s="152"/>
      <c r="Y32" s="324">
        <f t="shared" si="9"/>
        <v>0</v>
      </c>
      <c r="Z32" s="152">
        <f>AA32</f>
        <v>0</v>
      </c>
      <c r="AA32" s="152">
        <v>0</v>
      </c>
      <c r="AB32" s="324">
        <f t="shared" si="10"/>
        <v>0</v>
      </c>
      <c r="AC32" s="152"/>
      <c r="AD32" s="152"/>
      <c r="AE32" s="324">
        <f t="shared" si="11"/>
        <v>0</v>
      </c>
      <c r="AF32" s="9"/>
      <c r="AG32" s="9"/>
      <c r="AH32" s="324">
        <f t="shared" si="12"/>
        <v>0</v>
      </c>
      <c r="AI32" s="152"/>
      <c r="AJ32" s="152"/>
      <c r="AK32" s="325">
        <f t="shared" si="13"/>
        <v>0</v>
      </c>
    </row>
    <row r="33" spans="1:37" ht="18.75" customHeight="1">
      <c r="A33" s="305" t="s">
        <v>613</v>
      </c>
      <c r="B33" s="305" t="s">
        <v>70</v>
      </c>
      <c r="C33" s="316">
        <v>60</v>
      </c>
      <c r="D33" s="305"/>
      <c r="E33" s="317">
        <f t="shared" si="0"/>
        <v>0</v>
      </c>
      <c r="F33" s="318">
        <f t="shared" si="1"/>
        <v>0</v>
      </c>
      <c r="G33" s="318">
        <f t="shared" si="2"/>
        <v>0</v>
      </c>
      <c r="H33" s="319">
        <f t="shared" si="3"/>
        <v>0</v>
      </c>
      <c r="I33" s="319">
        <f t="shared" si="4"/>
        <v>0</v>
      </c>
      <c r="J33" s="318">
        <f t="shared" si="5"/>
        <v>0</v>
      </c>
      <c r="K33" s="320">
        <f t="shared" si="15"/>
        <v>0</v>
      </c>
      <c r="L33" s="319">
        <v>0</v>
      </c>
      <c r="M33" s="320">
        <f t="shared" si="7"/>
        <v>0</v>
      </c>
      <c r="N33" s="320">
        <v>0</v>
      </c>
      <c r="O33" s="321">
        <f t="shared" si="8"/>
        <v>0</v>
      </c>
      <c r="R33" s="322">
        <v>60</v>
      </c>
      <c r="S33" s="323">
        <v>1</v>
      </c>
      <c r="T33" s="152"/>
      <c r="U33" s="152"/>
      <c r="V33" s="324">
        <f t="shared" si="14"/>
        <v>0</v>
      </c>
      <c r="W33" s="152">
        <f>X33</f>
        <v>0</v>
      </c>
      <c r="X33" s="152"/>
      <c r="Y33" s="324">
        <f t="shared" si="9"/>
        <v>0</v>
      </c>
      <c r="Z33" s="152">
        <f>AA33</f>
        <v>0</v>
      </c>
      <c r="AA33" s="152">
        <v>0</v>
      </c>
      <c r="AB33" s="324">
        <f t="shared" si="10"/>
        <v>0</v>
      </c>
      <c r="AC33" s="152">
        <f>AD33</f>
        <v>0</v>
      </c>
      <c r="AD33" s="152"/>
      <c r="AE33" s="324">
        <f t="shared" si="11"/>
        <v>0</v>
      </c>
      <c r="AF33" s="9"/>
      <c r="AG33" s="9"/>
      <c r="AH33" s="324">
        <f t="shared" si="12"/>
        <v>0</v>
      </c>
      <c r="AI33" s="152"/>
      <c r="AJ33" s="152"/>
      <c r="AK33" s="325">
        <f t="shared" si="13"/>
        <v>0</v>
      </c>
    </row>
    <row r="34" spans="1:37" ht="18.75" customHeight="1">
      <c r="A34" s="326" t="s">
        <v>458</v>
      </c>
      <c r="B34" s="326" t="s">
        <v>70</v>
      </c>
      <c r="C34" s="327">
        <v>61</v>
      </c>
      <c r="D34" s="326"/>
      <c r="E34" s="317">
        <f t="shared" si="0"/>
        <v>0</v>
      </c>
      <c r="F34" s="328">
        <f t="shared" si="1"/>
        <v>0</v>
      </c>
      <c r="G34" s="328">
        <f t="shared" si="2"/>
        <v>0</v>
      </c>
      <c r="H34" s="329">
        <f t="shared" si="3"/>
        <v>0</v>
      </c>
      <c r="I34" s="329">
        <f t="shared" si="4"/>
        <v>0</v>
      </c>
      <c r="J34" s="328">
        <f t="shared" si="5"/>
        <v>0</v>
      </c>
      <c r="K34" s="330">
        <f t="shared" si="15"/>
        <v>0</v>
      </c>
      <c r="L34" s="329">
        <v>0</v>
      </c>
      <c r="M34" s="330">
        <f t="shared" si="7"/>
        <v>0</v>
      </c>
      <c r="N34" s="330">
        <v>0</v>
      </c>
      <c r="O34" s="331">
        <f t="shared" si="8"/>
        <v>0</v>
      </c>
      <c r="R34" s="322">
        <v>61</v>
      </c>
      <c r="S34" s="323">
        <v>1</v>
      </c>
      <c r="T34" s="152"/>
      <c r="U34" s="152"/>
      <c r="V34" s="324">
        <f t="shared" si="14"/>
        <v>0</v>
      </c>
      <c r="W34" s="152">
        <f>X34</f>
        <v>0</v>
      </c>
      <c r="X34" s="152"/>
      <c r="Y34" s="324">
        <f t="shared" si="9"/>
        <v>0</v>
      </c>
      <c r="Z34" s="152">
        <f>AA34</f>
        <v>0</v>
      </c>
      <c r="AA34" s="152">
        <v>0</v>
      </c>
      <c r="AB34" s="324">
        <f t="shared" si="10"/>
        <v>0</v>
      </c>
      <c r="AC34" s="152">
        <f>AD34</f>
        <v>0</v>
      </c>
      <c r="AD34" s="152"/>
      <c r="AE34" s="324">
        <f t="shared" si="11"/>
        <v>0</v>
      </c>
      <c r="AF34" s="9"/>
      <c r="AG34" s="9"/>
      <c r="AH34" s="324">
        <f t="shared" si="12"/>
        <v>0</v>
      </c>
      <c r="AI34" s="152"/>
      <c r="AJ34" s="152"/>
      <c r="AK34" s="325">
        <f t="shared" si="13"/>
        <v>0</v>
      </c>
    </row>
    <row r="35" spans="1:37" ht="18.75" customHeight="1">
      <c r="A35" s="332"/>
      <c r="B35" s="333"/>
      <c r="C35" s="334" t="s">
        <v>614</v>
      </c>
      <c r="D35" s="333"/>
      <c r="E35" s="335">
        <f>SUM(E3:E34)</f>
        <v>1581730</v>
      </c>
      <c r="F35" s="335">
        <f>+SUM(F3:F34)</f>
        <v>871898.66999999981</v>
      </c>
      <c r="G35" s="335">
        <f>+SUM(G3:G34)</f>
        <v>1852102.6000000006</v>
      </c>
      <c r="H35" s="335">
        <f>+SUM(H3:H34)</f>
        <v>2077.6899999999996</v>
      </c>
      <c r="I35" s="335">
        <f>SUM(I3:I27)</f>
        <v>0</v>
      </c>
      <c r="J35" s="335">
        <f t="shared" ref="J35:O35" si="16">SUM(J3:J34)</f>
        <v>84140.12</v>
      </c>
      <c r="K35" s="335">
        <f t="shared" si="16"/>
        <v>515308.25999999972</v>
      </c>
      <c r="L35" s="335">
        <f t="shared" si="16"/>
        <v>0</v>
      </c>
      <c r="M35" s="335">
        <f t="shared" si="16"/>
        <v>515308.25999999972</v>
      </c>
      <c r="N35" s="335">
        <f t="shared" si="16"/>
        <v>0</v>
      </c>
      <c r="O35" s="336">
        <f t="shared" si="16"/>
        <v>-515308.25999999972</v>
      </c>
      <c r="R35" s="322" t="s">
        <v>614</v>
      </c>
      <c r="S35" s="323"/>
      <c r="T35" s="152"/>
      <c r="U35" s="152"/>
      <c r="V35" s="324"/>
      <c r="W35" s="152"/>
      <c r="X35" s="152"/>
      <c r="Y35" s="324">
        <f>X35-W35*S35</f>
        <v>0</v>
      </c>
      <c r="Z35" s="152"/>
      <c r="AA35" s="152"/>
      <c r="AB35" s="324"/>
      <c r="AC35" s="152"/>
      <c r="AD35" s="152"/>
      <c r="AE35" s="324"/>
      <c r="AF35" s="9"/>
      <c r="AG35" s="9"/>
      <c r="AH35" s="324">
        <f>AG35-AF35*S35</f>
        <v>0</v>
      </c>
      <c r="AI35" s="152"/>
      <c r="AJ35" s="152"/>
      <c r="AK35" s="325">
        <f t="shared" si="13"/>
        <v>0</v>
      </c>
    </row>
    <row r="36" spans="1:37" ht="13.5">
      <c r="A36" s="337"/>
      <c r="B36" s="337"/>
      <c r="C36" s="337"/>
      <c r="D36" s="337"/>
      <c r="E36" s="338"/>
      <c r="F36" s="338"/>
      <c r="G36" s="338"/>
      <c r="H36" s="338"/>
      <c r="I36" s="338"/>
      <c r="J36" s="339">
        <f>+J35</f>
        <v>84140.12</v>
      </c>
      <c r="K36" s="337"/>
      <c r="L36" s="339"/>
      <c r="M36" s="340">
        <v>0</v>
      </c>
      <c r="N36" s="341"/>
      <c r="O36" s="337"/>
      <c r="R36" s="337"/>
      <c r="S36" s="337"/>
    </row>
  </sheetData>
  <sheetProtection selectLockedCells="1" selectUnlockedCells="1"/>
  <mergeCells count="1">
    <mergeCell ref="E1:G1"/>
  </mergeCells>
  <pageMargins left="0.37013888888888891" right="0.12013888888888889" top="0.4" bottom="0.75" header="0.51180555555555551" footer="0.51180555555555551"/>
  <pageSetup scale="80" firstPageNumber="0" orientation="landscape" horizontalDpi="300" verticalDpi="300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2:D30"/>
  <sheetViews>
    <sheetView workbookViewId="0">
      <selection activeCell="A8" sqref="A8"/>
    </sheetView>
  </sheetViews>
  <sheetFormatPr defaultColWidth="11" defaultRowHeight="12"/>
  <cols>
    <col min="1" max="1" width="32.140625" customWidth="1"/>
    <col min="2" max="2" width="24.42578125" customWidth="1"/>
    <col min="3" max="3" width="22.42578125" customWidth="1"/>
    <col min="4" max="4" width="8.140625" customWidth="1"/>
  </cols>
  <sheetData>
    <row r="2" spans="1:4" ht="21">
      <c r="A2" s="1099">
        <f>'ACE BILLS'!C1</f>
        <v>44407</v>
      </c>
      <c r="B2" s="1099"/>
      <c r="C2" s="1099"/>
      <c r="D2" s="342"/>
    </row>
    <row r="3" spans="1:4" ht="15.75">
      <c r="A3" s="343"/>
      <c r="B3" s="344"/>
      <c r="D3" s="345"/>
    </row>
    <row r="4" spans="1:4" ht="15.75">
      <c r="A4" s="344"/>
      <c r="B4" s="344"/>
      <c r="D4" s="345"/>
    </row>
    <row r="5" spans="1:4" ht="15.75">
      <c r="A5" s="346" t="s">
        <v>615</v>
      </c>
      <c r="B5" s="347"/>
      <c r="D5" s="348"/>
    </row>
    <row r="6" spans="1:4" ht="23.25">
      <c r="A6" s="349" t="s">
        <v>328</v>
      </c>
      <c r="B6" s="350">
        <f>check!E35</f>
        <v>1581730</v>
      </c>
      <c r="C6" s="351"/>
      <c r="D6" s="345"/>
    </row>
    <row r="7" spans="1:4" ht="23.25">
      <c r="A7" s="349" t="s">
        <v>616</v>
      </c>
      <c r="B7" s="350">
        <f>check!F35</f>
        <v>871898.66999999981</v>
      </c>
      <c r="C7" s="351"/>
      <c r="D7" s="345"/>
    </row>
    <row r="8" spans="1:4" ht="23.25">
      <c r="A8" s="349" t="s">
        <v>617</v>
      </c>
      <c r="B8" s="350">
        <f>check!G35</f>
        <v>1852102.6000000006</v>
      </c>
      <c r="C8" s="351"/>
      <c r="D8" s="345"/>
    </row>
    <row r="9" spans="1:4" ht="23.25">
      <c r="A9" s="349" t="s">
        <v>618</v>
      </c>
      <c r="B9" s="350">
        <f>check!J35</f>
        <v>84140.12</v>
      </c>
      <c r="C9" s="351"/>
      <c r="D9" s="345"/>
    </row>
    <row r="10" spans="1:4" ht="15.75">
      <c r="A10" s="349" t="s">
        <v>619</v>
      </c>
      <c r="B10" s="350">
        <f>check!I35</f>
        <v>0</v>
      </c>
      <c r="C10" s="350">
        <v>0</v>
      </c>
      <c r="D10" s="345"/>
    </row>
    <row r="11" spans="1:4" ht="23.25">
      <c r="A11" s="349" t="s">
        <v>620</v>
      </c>
      <c r="B11" s="350">
        <f>check!H35</f>
        <v>2077.6899999999996</v>
      </c>
      <c r="C11" s="351"/>
      <c r="D11" s="352" t="s">
        <v>36</v>
      </c>
    </row>
    <row r="12" spans="1:4" ht="23.25">
      <c r="A12" s="353" t="s">
        <v>621</v>
      </c>
      <c r="B12" s="354">
        <f>B6+B7-B8-B9-B10-B11</f>
        <v>515308.25999999937</v>
      </c>
      <c r="C12" s="355"/>
      <c r="D12" s="352" t="s">
        <v>36</v>
      </c>
    </row>
    <row r="13" spans="1:4" ht="15.75">
      <c r="B13" s="350"/>
      <c r="C13" t="s">
        <v>36</v>
      </c>
      <c r="D13" s="345"/>
    </row>
    <row r="14" spans="1:4" ht="15.75">
      <c r="B14" s="356" t="s">
        <v>622</v>
      </c>
      <c r="C14" s="356" t="s">
        <v>623</v>
      </c>
      <c r="D14" s="357"/>
    </row>
    <row r="15" spans="1:4" ht="15.75">
      <c r="A15" s="358" t="s">
        <v>624</v>
      </c>
      <c r="B15" s="350">
        <f>IF(B12&gt;0,(B12),(0))</f>
        <v>515308.25999999937</v>
      </c>
      <c r="C15" s="359">
        <f>IF(B12&lt;0,(B12),(0))</f>
        <v>0</v>
      </c>
      <c r="D15" s="345"/>
    </row>
    <row r="16" spans="1:4" ht="15">
      <c r="D16" s="345"/>
    </row>
    <row r="17" spans="1:4" ht="15">
      <c r="B17" t="s">
        <v>625</v>
      </c>
      <c r="D17" s="345"/>
    </row>
    <row r="18" spans="1:4" ht="15.75">
      <c r="A18" s="349" t="s">
        <v>626</v>
      </c>
      <c r="B18" s="360"/>
      <c r="C18" s="361"/>
      <c r="D18" s="345"/>
    </row>
    <row r="19" spans="1:4" ht="15.75">
      <c r="A19" s="349" t="s">
        <v>627</v>
      </c>
      <c r="B19" s="362">
        <v>0</v>
      </c>
      <c r="C19" s="362">
        <v>0</v>
      </c>
      <c r="D19" s="345"/>
    </row>
    <row r="20" spans="1:4" ht="15.75">
      <c r="A20" s="349" t="s">
        <v>628</v>
      </c>
      <c r="B20" s="360"/>
      <c r="C20" s="361">
        <v>0</v>
      </c>
      <c r="D20" s="357"/>
    </row>
    <row r="21" spans="1:4" ht="15.75">
      <c r="A21" s="349" t="s">
        <v>629</v>
      </c>
      <c r="B21" s="350">
        <v>0</v>
      </c>
      <c r="C21" s="363"/>
      <c r="D21" s="345"/>
    </row>
    <row r="22" spans="1:4" ht="15.75">
      <c r="A22" s="349"/>
      <c r="B22" s="350"/>
      <c r="C22" s="361"/>
      <c r="D22" s="352"/>
    </row>
    <row r="23" spans="1:4" ht="15.75">
      <c r="A23" s="349" t="s">
        <v>630</v>
      </c>
      <c r="B23" s="364">
        <f>B15+C15+C23+B19</f>
        <v>515308.25999999937</v>
      </c>
      <c r="C23" s="361">
        <f>C18+C19+C20+C21</f>
        <v>0</v>
      </c>
      <c r="D23" s="345"/>
    </row>
    <row r="24" spans="1:4" ht="15.75">
      <c r="B24" s="350"/>
      <c r="C24" s="365"/>
      <c r="D24" s="345"/>
    </row>
    <row r="25" spans="1:4" ht="15.75">
      <c r="A25" s="349" t="s">
        <v>631</v>
      </c>
      <c r="B25" s="364">
        <f>B23</f>
        <v>515308.25999999937</v>
      </c>
      <c r="D25" s="345"/>
    </row>
    <row r="26" spans="1:4" ht="23.25">
      <c r="A26" s="344" t="s">
        <v>632</v>
      </c>
      <c r="B26" s="366">
        <v>0</v>
      </c>
      <c r="C26" s="351"/>
      <c r="D26" s="345"/>
    </row>
    <row r="27" spans="1:4" ht="15.75">
      <c r="A27" s="344" t="s">
        <v>633</v>
      </c>
      <c r="B27" s="367">
        <f>B26-B25</f>
        <v>-515308.25999999937</v>
      </c>
      <c r="C27" t="s">
        <v>634</v>
      </c>
      <c r="D27" s="345"/>
    </row>
    <row r="28" spans="1:4" ht="15">
      <c r="D28" s="345"/>
    </row>
    <row r="29" spans="1:4" ht="15">
      <c r="D29" s="345"/>
    </row>
    <row r="30" spans="1:4" ht="15">
      <c r="A30" s="368" t="s">
        <v>635</v>
      </c>
      <c r="B30" s="368"/>
      <c r="C30" s="368"/>
      <c r="D30" s="369"/>
    </row>
  </sheetData>
  <sheetProtection selectLockedCells="1" selectUnlockedCells="1"/>
  <mergeCells count="1">
    <mergeCell ref="A2:C2"/>
  </mergeCell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BH92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4.85546875" customWidth="1"/>
    <col min="4" max="4" width="27.28515625" customWidth="1"/>
    <col min="5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415</v>
      </c>
      <c r="C2" s="8" t="s">
        <v>2</v>
      </c>
    </row>
    <row r="3" spans="1:7" ht="15">
      <c r="A3" s="6"/>
      <c r="B3" s="7" t="s">
        <v>636</v>
      </c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69</v>
      </c>
      <c r="C6" s="9"/>
    </row>
    <row r="7" spans="1:7" ht="24" customHeight="1">
      <c r="A7" s="12" t="s">
        <v>6</v>
      </c>
      <c r="B7" s="128" t="s">
        <v>637</v>
      </c>
      <c r="C7" s="9"/>
    </row>
    <row r="8" spans="1:7" ht="24" customHeight="1">
      <c r="A8" s="12"/>
      <c r="B8" s="13" t="s">
        <v>36</v>
      </c>
    </row>
    <row r="9" spans="1:7" ht="23.25" customHeight="1">
      <c r="A9" s="14" t="s">
        <v>481</v>
      </c>
      <c r="B9" s="15">
        <v>9220.59</v>
      </c>
      <c r="C9" s="14"/>
    </row>
    <row r="10" spans="1:7" ht="23.25" customHeight="1">
      <c r="A10" s="14" t="s">
        <v>482</v>
      </c>
      <c r="B10" s="15">
        <v>0</v>
      </c>
      <c r="C10" s="14"/>
    </row>
    <row r="11" spans="1:7" ht="23.25" customHeight="1">
      <c r="A11" s="14" t="s">
        <v>483</v>
      </c>
      <c r="B11" s="15">
        <v>0</v>
      </c>
      <c r="C11" s="14"/>
    </row>
    <row r="12" spans="1:7" ht="23.25" customHeight="1">
      <c r="A12" s="14"/>
      <c r="B12" s="15">
        <v>0</v>
      </c>
      <c r="C12" s="14"/>
    </row>
    <row r="13" spans="1:7" ht="23.25" customHeight="1">
      <c r="A13" s="14" t="s">
        <v>484</v>
      </c>
      <c r="B13" s="15">
        <v>8305.81</v>
      </c>
      <c r="C13" s="14"/>
    </row>
    <row r="14" spans="1:7" ht="23.25" customHeight="1">
      <c r="A14" s="14" t="s">
        <v>485</v>
      </c>
      <c r="B14" s="15">
        <v>8743.1200000000008</v>
      </c>
      <c r="C14" s="14"/>
    </row>
    <row r="15" spans="1:7" ht="23.25" customHeight="1">
      <c r="A15" s="14"/>
      <c r="B15" s="15" t="s">
        <v>36</v>
      </c>
      <c r="C15" s="14"/>
    </row>
    <row r="16" spans="1:7" ht="23.25" customHeight="1">
      <c r="A16" s="14" t="s">
        <v>486</v>
      </c>
      <c r="B16" s="15">
        <v>5.18</v>
      </c>
      <c r="C16" s="14"/>
    </row>
    <row r="17" spans="1:5" ht="23.25" customHeight="1">
      <c r="A17" s="14" t="s">
        <v>487</v>
      </c>
      <c r="B17" s="15">
        <v>94.82</v>
      </c>
      <c r="C17" s="14"/>
    </row>
    <row r="18" spans="1:5" ht="23.25" customHeight="1">
      <c r="A18" s="14" t="s">
        <v>488</v>
      </c>
      <c r="B18" s="15">
        <v>92.33</v>
      </c>
      <c r="C18" s="14"/>
    </row>
    <row r="19" spans="1:5" ht="23.25" customHeight="1">
      <c r="A19" s="14"/>
      <c r="B19" s="15" t="s">
        <v>36</v>
      </c>
      <c r="C19" s="14"/>
      <c r="E19">
        <v>2</v>
      </c>
    </row>
    <row r="20" spans="1:5" ht="23.25" customHeight="1">
      <c r="A20" s="18"/>
      <c r="B20" s="53"/>
      <c r="C20" s="14"/>
    </row>
    <row r="21" spans="1:5" ht="23.25" customHeight="1">
      <c r="A21" s="14" t="s">
        <v>489</v>
      </c>
      <c r="B21" s="15">
        <v>2989</v>
      </c>
      <c r="C21" s="14"/>
    </row>
    <row r="22" spans="1:5" ht="23.25" customHeight="1">
      <c r="A22" s="14" t="s">
        <v>490</v>
      </c>
      <c r="B22" s="15">
        <v>0</v>
      </c>
      <c r="C22" s="14"/>
    </row>
    <row r="23" spans="1:5" ht="23.25" customHeight="1">
      <c r="A23" s="14" t="s">
        <v>491</v>
      </c>
      <c r="B23" s="15">
        <f>B21</f>
        <v>2989</v>
      </c>
      <c r="C23" s="9"/>
    </row>
    <row r="24" spans="1:5" ht="23.25" customHeight="1">
      <c r="A24" s="14" t="s">
        <v>492</v>
      </c>
      <c r="B24" s="15">
        <v>0</v>
      </c>
      <c r="C24" s="15"/>
    </row>
    <row r="25" spans="1:5" ht="23.25" customHeight="1">
      <c r="A25" s="14" t="s">
        <v>493</v>
      </c>
      <c r="B25" s="15">
        <v>0</v>
      </c>
      <c r="C25" s="14"/>
    </row>
    <row r="26" spans="1:5" ht="23.25" customHeight="1">
      <c r="A26" s="14" t="s">
        <v>494</v>
      </c>
      <c r="B26" s="15">
        <v>0</v>
      </c>
      <c r="C26" s="14"/>
    </row>
    <row r="27" spans="1:5" ht="23.25" customHeight="1">
      <c r="A27" s="14" t="s">
        <v>495</v>
      </c>
      <c r="B27" s="15">
        <v>0</v>
      </c>
      <c r="C27" s="14"/>
    </row>
    <row r="28" spans="1:5" ht="23.25" customHeight="1">
      <c r="A28" s="14" t="s">
        <v>496</v>
      </c>
      <c r="B28" s="15">
        <v>0</v>
      </c>
      <c r="C28" s="14"/>
    </row>
    <row r="29" spans="1:5" ht="23.25" customHeight="1">
      <c r="A29" s="18"/>
      <c r="B29" s="53"/>
      <c r="C29" s="14"/>
    </row>
    <row r="30" spans="1:5" ht="23.25" customHeight="1">
      <c r="A30" s="14" t="s">
        <v>497</v>
      </c>
      <c r="B30" s="15">
        <v>2511.5300000000002</v>
      </c>
      <c r="C30" s="14"/>
    </row>
    <row r="31" spans="1:5" ht="23.25" customHeight="1">
      <c r="A31" s="14" t="s">
        <v>498</v>
      </c>
      <c r="B31" s="15">
        <v>0</v>
      </c>
      <c r="C31" s="14"/>
    </row>
    <row r="32" spans="1:5" ht="23.25" customHeight="1">
      <c r="A32" s="14" t="s">
        <v>499</v>
      </c>
      <c r="B32" s="15">
        <v>0</v>
      </c>
      <c r="C32" s="14"/>
    </row>
    <row r="33" spans="1:60" ht="23.25" customHeight="1">
      <c r="A33" s="14" t="s">
        <v>500</v>
      </c>
      <c r="B33" s="15">
        <v>0</v>
      </c>
      <c r="C33" s="14"/>
    </row>
    <row r="34" spans="1:60" ht="23.25" customHeight="1">
      <c r="A34" s="14" t="s">
        <v>501</v>
      </c>
      <c r="B34" s="15">
        <v>0</v>
      </c>
      <c r="C34" s="14"/>
    </row>
    <row r="35" spans="1:60" ht="23.25" customHeight="1">
      <c r="A35" s="14" t="s">
        <v>502</v>
      </c>
      <c r="B35" s="15">
        <v>0</v>
      </c>
      <c r="C35" s="14"/>
    </row>
    <row r="36" spans="1:60" ht="23.25" customHeight="1">
      <c r="A36" s="14" t="s">
        <v>503</v>
      </c>
      <c r="B36" s="15">
        <f>B30</f>
        <v>2511.5300000000002</v>
      </c>
      <c r="C36" s="14"/>
    </row>
    <row r="37" spans="1:60" ht="23.25" customHeight="1">
      <c r="A37" s="14" t="s">
        <v>504</v>
      </c>
      <c r="B37" s="15">
        <v>0</v>
      </c>
      <c r="C37" s="14"/>
    </row>
    <row r="38" spans="1:60" s="138" customFormat="1" ht="23.25" customHeight="1">
      <c r="A38" s="130"/>
      <c r="B38" s="130"/>
      <c r="C38" s="130"/>
    </row>
    <row r="39" spans="1:60" ht="23.25" customHeight="1">
      <c r="A39" s="14" t="s">
        <v>505</v>
      </c>
      <c r="B39" s="15">
        <f>B23</f>
        <v>2989</v>
      </c>
      <c r="C39" s="14"/>
    </row>
    <row r="40" spans="1:60" ht="23.25" customHeight="1">
      <c r="A40" s="14" t="s">
        <v>506</v>
      </c>
      <c r="B40" s="15">
        <v>0</v>
      </c>
      <c r="C40" s="14"/>
    </row>
    <row r="41" spans="1:60" ht="23.25" customHeight="1">
      <c r="A41" s="14" t="s">
        <v>507</v>
      </c>
      <c r="B41" s="15">
        <v>0</v>
      </c>
      <c r="C41" s="14"/>
    </row>
    <row r="42" spans="1:60" ht="24" customHeight="1">
      <c r="A42" s="14" t="s">
        <v>508</v>
      </c>
      <c r="B42" s="15">
        <f>B39</f>
        <v>2989</v>
      </c>
      <c r="C42" s="9"/>
      <c r="AZ42" s="16"/>
      <c r="BA42" s="16"/>
      <c r="BB42" s="16"/>
      <c r="BC42" s="16"/>
      <c r="BD42" s="16"/>
      <c r="BE42" s="16"/>
      <c r="BF42" s="16"/>
      <c r="BG42" s="16"/>
      <c r="BH42" s="16"/>
    </row>
    <row r="43" spans="1:60" ht="23.25" customHeight="1">
      <c r="A43" s="14" t="s">
        <v>509</v>
      </c>
      <c r="B43" s="15">
        <f>B42</f>
        <v>2989</v>
      </c>
      <c r="C43" s="14"/>
    </row>
    <row r="44" spans="1:60" ht="23.25" customHeight="1">
      <c r="A44" s="14" t="s">
        <v>510</v>
      </c>
      <c r="B44" s="15">
        <v>0</v>
      </c>
      <c r="C44" s="14"/>
    </row>
    <row r="45" spans="1:60" ht="23.25" customHeight="1">
      <c r="A45" s="14"/>
      <c r="B45" s="15" t="s">
        <v>36</v>
      </c>
      <c r="C45" s="14"/>
    </row>
    <row r="46" spans="1:60" ht="23.25" customHeight="1">
      <c r="A46" s="14" t="s">
        <v>511</v>
      </c>
      <c r="B46" s="15">
        <v>0</v>
      </c>
      <c r="C46" s="14"/>
    </row>
    <row r="47" spans="1:60" ht="23.25" customHeight="1">
      <c r="A47" s="14"/>
      <c r="B47" s="15"/>
      <c r="C47" s="14"/>
    </row>
    <row r="48" spans="1:60" ht="23.25" customHeight="1">
      <c r="A48" s="14" t="s">
        <v>512</v>
      </c>
      <c r="B48" s="15">
        <v>15630</v>
      </c>
      <c r="C48" s="14"/>
    </row>
    <row r="49" spans="1:3" ht="23.25" customHeight="1">
      <c r="A49" s="14" t="s">
        <v>513</v>
      </c>
      <c r="B49" s="15">
        <v>9075</v>
      </c>
      <c r="C49" s="14"/>
    </row>
    <row r="50" spans="1:3" ht="23.25" customHeight="1">
      <c r="A50" s="14" t="s">
        <v>514</v>
      </c>
      <c r="B50" s="15">
        <v>6555</v>
      </c>
      <c r="C50" s="14"/>
    </row>
    <row r="51" spans="1:3" ht="23.25">
      <c r="A51" s="18"/>
      <c r="B51" s="53"/>
      <c r="C51" s="20"/>
    </row>
    <row r="52" spans="1:3" ht="23.25" customHeight="1">
      <c r="A52" s="14" t="s">
        <v>515</v>
      </c>
      <c r="B52" s="15">
        <v>0</v>
      </c>
      <c r="C52" s="14"/>
    </row>
    <row r="53" spans="1:3" ht="23.25" customHeight="1">
      <c r="A53" s="14" t="s">
        <v>516</v>
      </c>
      <c r="B53" s="15">
        <v>0</v>
      </c>
      <c r="C53" s="14"/>
    </row>
    <row r="54" spans="1:3" ht="23.25" customHeight="1">
      <c r="A54" s="14" t="s">
        <v>517</v>
      </c>
      <c r="B54" s="15">
        <v>0</v>
      </c>
      <c r="C54" s="14"/>
    </row>
    <row r="55" spans="1:3" ht="23.25" customHeight="1">
      <c r="A55" s="14" t="s">
        <v>518</v>
      </c>
      <c r="B55" s="15">
        <v>0</v>
      </c>
      <c r="C55" s="14"/>
    </row>
    <row r="56" spans="1:3" ht="23.25" customHeight="1">
      <c r="A56" s="14" t="s">
        <v>519</v>
      </c>
      <c r="B56" s="15">
        <v>0</v>
      </c>
      <c r="C56" s="14"/>
    </row>
    <row r="57" spans="1:3" ht="23.25" customHeight="1">
      <c r="A57" s="14" t="s">
        <v>520</v>
      </c>
      <c r="B57" s="15">
        <v>0</v>
      </c>
      <c r="C57" s="14"/>
    </row>
    <row r="58" spans="1:3" ht="23.25" customHeight="1">
      <c r="A58" s="14" t="s">
        <v>521</v>
      </c>
      <c r="B58" s="15">
        <v>0</v>
      </c>
      <c r="C58" s="14"/>
    </row>
    <row r="59" spans="1:3" ht="23.25" customHeight="1">
      <c r="A59" s="14"/>
      <c r="B59" s="15" t="s">
        <v>36</v>
      </c>
      <c r="C59" s="14"/>
    </row>
    <row r="60" spans="1:3" ht="23.25" customHeight="1">
      <c r="A60" s="14" t="s">
        <v>522</v>
      </c>
      <c r="B60" s="15">
        <v>0</v>
      </c>
      <c r="C60" s="14"/>
    </row>
    <row r="61" spans="1:3" ht="23.25" customHeight="1">
      <c r="A61" s="14" t="s">
        <v>523</v>
      </c>
      <c r="B61" s="15">
        <v>2511.5300000000002</v>
      </c>
      <c r="C61" s="14"/>
    </row>
    <row r="62" spans="1:3" ht="23.25" customHeight="1">
      <c r="A62" s="14"/>
      <c r="B62" s="15"/>
      <c r="C62" s="14"/>
    </row>
    <row r="63" spans="1:3" ht="23.25" customHeight="1">
      <c r="A63" s="14" t="s">
        <v>524</v>
      </c>
      <c r="B63" s="15">
        <v>0</v>
      </c>
      <c r="C63" s="14"/>
    </row>
    <row r="64" spans="1:3" ht="23.25" customHeight="1">
      <c r="A64" s="14" t="s">
        <v>525</v>
      </c>
      <c r="B64" s="15">
        <v>0</v>
      </c>
      <c r="C64" s="14"/>
    </row>
    <row r="65" spans="1:4" ht="23.25" customHeight="1">
      <c r="A65" s="14" t="s">
        <v>526</v>
      </c>
      <c r="B65" s="15">
        <v>0</v>
      </c>
      <c r="C65" s="14"/>
    </row>
    <row r="66" spans="1:4" ht="23.25" customHeight="1">
      <c r="A66" s="130"/>
      <c r="B66" s="34" t="s">
        <v>36</v>
      </c>
      <c r="C66" s="130"/>
      <c r="D66" s="138"/>
    </row>
    <row r="67" spans="1:4" ht="23.25" customHeight="1">
      <c r="A67" s="14" t="s">
        <v>496</v>
      </c>
      <c r="B67" s="15">
        <v>0</v>
      </c>
      <c r="C67" s="14"/>
    </row>
    <row r="68" spans="1:4" ht="23.25" customHeight="1">
      <c r="A68" s="14" t="s">
        <v>527</v>
      </c>
      <c r="B68" s="15">
        <v>0</v>
      </c>
      <c r="C68" s="14"/>
    </row>
    <row r="69" spans="1:4" ht="23.25" customHeight="1">
      <c r="A69" s="14" t="s">
        <v>528</v>
      </c>
      <c r="B69" s="15">
        <v>0</v>
      </c>
      <c r="C69" s="14"/>
    </row>
    <row r="70" spans="1:4" ht="23.25" customHeight="1">
      <c r="A70" s="14" t="s">
        <v>529</v>
      </c>
      <c r="B70" s="15">
        <v>0</v>
      </c>
      <c r="C70" s="14"/>
    </row>
    <row r="71" spans="1:4" ht="23.25" customHeight="1">
      <c r="A71" s="14" t="s">
        <v>530</v>
      </c>
      <c r="B71" s="15">
        <v>0</v>
      </c>
      <c r="C71" s="14"/>
    </row>
    <row r="72" spans="1:4" ht="23.25" customHeight="1">
      <c r="A72" s="14" t="s">
        <v>531</v>
      </c>
      <c r="B72" s="15">
        <v>0</v>
      </c>
      <c r="C72" s="14"/>
    </row>
    <row r="73" spans="1:4" ht="23.25" customHeight="1">
      <c r="A73" s="14"/>
      <c r="B73" s="15"/>
      <c r="C73" s="14"/>
    </row>
    <row r="74" spans="1:4" ht="23.25" customHeight="1">
      <c r="A74" s="14" t="s">
        <v>532</v>
      </c>
      <c r="B74" s="15">
        <v>0</v>
      </c>
      <c r="C74" s="14"/>
    </row>
    <row r="75" spans="1:4" ht="23.25" customHeight="1">
      <c r="A75" s="14" t="s">
        <v>533</v>
      </c>
      <c r="B75" s="15">
        <v>0</v>
      </c>
      <c r="C75" s="14"/>
    </row>
    <row r="76" spans="1:4" ht="23.25" customHeight="1">
      <c r="A76" s="14" t="s">
        <v>534</v>
      </c>
      <c r="B76" s="15">
        <v>0</v>
      </c>
      <c r="C76" s="14"/>
    </row>
    <row r="77" spans="1:4" ht="23.25" customHeight="1">
      <c r="A77" s="14" t="s">
        <v>535</v>
      </c>
      <c r="B77" s="15">
        <v>0</v>
      </c>
      <c r="C77" s="14"/>
    </row>
    <row r="78" spans="1:4" ht="23.25" customHeight="1">
      <c r="A78" s="14"/>
      <c r="B78" s="15"/>
      <c r="C78" s="14"/>
    </row>
    <row r="79" spans="1:4" ht="23.25">
      <c r="A79" s="14" t="s">
        <v>536</v>
      </c>
      <c r="B79" s="15">
        <v>0</v>
      </c>
      <c r="C79" s="14"/>
    </row>
    <row r="80" spans="1:4" ht="23.25">
      <c r="A80" s="14" t="s">
        <v>537</v>
      </c>
      <c r="B80" s="15">
        <v>0</v>
      </c>
      <c r="C80" s="14"/>
    </row>
    <row r="81" spans="1:4" ht="23.25">
      <c r="A81" s="14" t="s">
        <v>538</v>
      </c>
      <c r="B81" s="15">
        <v>437.31</v>
      </c>
      <c r="C81" s="14"/>
    </row>
    <row r="82" spans="1:4" ht="23.25">
      <c r="A82" s="63" t="s">
        <v>539</v>
      </c>
      <c r="B82" s="15">
        <v>0</v>
      </c>
      <c r="C82" s="14"/>
    </row>
    <row r="83" spans="1:4" ht="23.25">
      <c r="A83" s="14"/>
      <c r="B83" s="15"/>
      <c r="C83" s="14"/>
    </row>
    <row r="84" spans="1:4" ht="23.25">
      <c r="A84" s="14"/>
      <c r="B84" s="15"/>
      <c r="C84" s="14"/>
    </row>
    <row r="86" spans="1:4">
      <c r="A86" s="1" t="s">
        <v>540</v>
      </c>
    </row>
    <row r="87" spans="1:4" ht="15">
      <c r="B87" s="248" t="s">
        <v>36</v>
      </c>
    </row>
    <row r="88" spans="1:4" ht="23.25">
      <c r="A88" s="103" t="s">
        <v>541</v>
      </c>
      <c r="B88" s="26">
        <v>11.74</v>
      </c>
      <c r="D88" s="78"/>
    </row>
    <row r="89" spans="1:4" ht="23.25">
      <c r="A89" s="103" t="s">
        <v>542</v>
      </c>
      <c r="B89" s="26">
        <v>59.41</v>
      </c>
      <c r="D89" s="78"/>
    </row>
    <row r="90" spans="1:4" ht="23.25">
      <c r="A90" s="103" t="s">
        <v>543</v>
      </c>
      <c r="B90" s="26">
        <v>118.71</v>
      </c>
      <c r="D90" s="78"/>
    </row>
    <row r="91" spans="1:4" ht="23.25">
      <c r="A91" s="103" t="s">
        <v>544</v>
      </c>
      <c r="B91" s="26">
        <v>1012.47</v>
      </c>
      <c r="D91" s="78"/>
    </row>
    <row r="92" spans="1:4" ht="23.25">
      <c r="A92" s="103" t="s">
        <v>545</v>
      </c>
      <c r="B92" s="26">
        <v>10006.24</v>
      </c>
      <c r="D92" s="78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indexed="10"/>
  </sheetPr>
  <dimension ref="A1:BH117"/>
  <sheetViews>
    <sheetView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5" customWidth="1"/>
    <col min="6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s="370" t="s">
        <v>2</v>
      </c>
    </row>
    <row r="3" spans="1:7" ht="15">
      <c r="A3" s="6"/>
      <c r="B3" s="7"/>
      <c r="C3" s="162" t="s">
        <v>638</v>
      </c>
    </row>
    <row r="4" spans="1:7" ht="15">
      <c r="A4" s="6" t="s">
        <v>4</v>
      </c>
      <c r="B4" s="10">
        <v>0.01</v>
      </c>
      <c r="C4" s="162"/>
      <c r="G4">
        <v>2</v>
      </c>
    </row>
    <row r="5" spans="1:7">
      <c r="C5" s="162"/>
    </row>
    <row r="6" spans="1:7" ht="21" customHeight="1">
      <c r="A6" s="11" t="s">
        <v>5</v>
      </c>
      <c r="B6" s="38">
        <v>77</v>
      </c>
      <c r="C6" s="162"/>
    </row>
    <row r="7" spans="1:7" ht="24" customHeight="1">
      <c r="A7" s="12" t="s">
        <v>6</v>
      </c>
      <c r="B7" s="128" t="s">
        <v>255</v>
      </c>
      <c r="C7" s="162"/>
    </row>
    <row r="8" spans="1:7" ht="24" customHeight="1">
      <c r="A8" s="12"/>
      <c r="B8" s="13" t="s">
        <v>256</v>
      </c>
      <c r="C8" s="158" t="s">
        <v>257</v>
      </c>
    </row>
    <row r="9" spans="1:7" ht="23.25" customHeight="1">
      <c r="A9" s="130" t="s">
        <v>24</v>
      </c>
      <c r="B9" s="34">
        <f>C9/E9</f>
        <v>74154</v>
      </c>
      <c r="C9" s="131">
        <v>7415400</v>
      </c>
      <c r="E9" s="132">
        <v>100</v>
      </c>
    </row>
    <row r="10" spans="1:7" ht="23.25" customHeight="1">
      <c r="A10" s="14" t="s">
        <v>258</v>
      </c>
      <c r="B10" s="34">
        <v>0</v>
      </c>
      <c r="C10" s="131">
        <v>0</v>
      </c>
    </row>
    <row r="11" spans="1:7" ht="23.25" customHeight="1">
      <c r="A11" s="14" t="s">
        <v>231</v>
      </c>
      <c r="B11" s="34">
        <f>C11/E11</f>
        <v>74154</v>
      </c>
      <c r="C11" s="131">
        <f>C9</f>
        <v>7415400</v>
      </c>
      <c r="E11" s="132">
        <v>100</v>
      </c>
    </row>
    <row r="12" spans="1:7" ht="23.25" customHeight="1">
      <c r="A12" s="14" t="s">
        <v>259</v>
      </c>
      <c r="B12" s="34">
        <v>0</v>
      </c>
      <c r="C12" s="131">
        <v>0</v>
      </c>
    </row>
    <row r="13" spans="1:7" ht="23.25" customHeight="1">
      <c r="A13" s="14" t="s">
        <v>260</v>
      </c>
      <c r="B13" s="34">
        <v>0</v>
      </c>
      <c r="C13" s="131">
        <v>0</v>
      </c>
    </row>
    <row r="14" spans="1:7" ht="23.25" customHeight="1">
      <c r="A14" s="14" t="s">
        <v>261</v>
      </c>
      <c r="B14" s="34">
        <v>0</v>
      </c>
      <c r="C14" s="131">
        <v>0</v>
      </c>
    </row>
    <row r="15" spans="1:7" ht="23.25" customHeight="1">
      <c r="A15" s="14" t="s">
        <v>262</v>
      </c>
      <c r="B15" s="34">
        <v>0</v>
      </c>
      <c r="C15" s="131">
        <v>0</v>
      </c>
    </row>
    <row r="16" spans="1:7" ht="23.25" customHeight="1">
      <c r="A16" s="14" t="s">
        <v>263</v>
      </c>
      <c r="B16" s="34">
        <v>0</v>
      </c>
      <c r="C16" s="131">
        <v>0</v>
      </c>
    </row>
    <row r="17" spans="1:5" ht="23.25" customHeight="1">
      <c r="A17" s="14" t="s">
        <v>264</v>
      </c>
      <c r="B17" s="34">
        <v>0</v>
      </c>
      <c r="C17" s="131">
        <v>0</v>
      </c>
    </row>
    <row r="18" spans="1:5" ht="23.25" customHeight="1">
      <c r="A18" s="130" t="s">
        <v>265</v>
      </c>
      <c r="B18" s="34">
        <f>C18/E18</f>
        <v>65156.85</v>
      </c>
      <c r="C18" s="131">
        <v>6515685</v>
      </c>
      <c r="E18" s="132">
        <v>100</v>
      </c>
    </row>
    <row r="19" spans="1:5" ht="23.25" customHeight="1">
      <c r="A19" s="14" t="s">
        <v>266</v>
      </c>
      <c r="B19" s="34">
        <v>0</v>
      </c>
      <c r="C19" s="131">
        <v>0</v>
      </c>
    </row>
    <row r="20" spans="1:5" ht="23.25" customHeight="1">
      <c r="A20" s="14" t="s">
        <v>267</v>
      </c>
      <c r="B20" s="34">
        <f>B18</f>
        <v>65156.85</v>
      </c>
      <c r="C20" s="131">
        <f>C18</f>
        <v>6515685</v>
      </c>
    </row>
    <row r="21" spans="1:5" ht="23.25" customHeight="1">
      <c r="A21" s="14" t="s">
        <v>268</v>
      </c>
      <c r="B21" s="34">
        <v>0</v>
      </c>
      <c r="C21" s="131">
        <v>0</v>
      </c>
    </row>
    <row r="22" spans="1:5" ht="23.25" customHeight="1">
      <c r="A22" s="14" t="s">
        <v>269</v>
      </c>
      <c r="B22" s="34">
        <v>0</v>
      </c>
      <c r="C22" s="131">
        <v>0</v>
      </c>
    </row>
    <row r="23" spans="1:5" ht="23.25" customHeight="1">
      <c r="A23" s="14" t="s">
        <v>270</v>
      </c>
      <c r="B23" s="34">
        <v>0</v>
      </c>
      <c r="C23" s="131">
        <v>0</v>
      </c>
    </row>
    <row r="24" spans="1:5" ht="23.25" customHeight="1">
      <c r="A24" s="14" t="s">
        <v>271</v>
      </c>
      <c r="B24" s="34">
        <v>0</v>
      </c>
      <c r="C24" s="131">
        <v>0</v>
      </c>
    </row>
    <row r="25" spans="1:5" ht="23.25" customHeight="1">
      <c r="A25" s="14" t="s">
        <v>272</v>
      </c>
      <c r="B25" s="34">
        <v>0</v>
      </c>
      <c r="C25" s="131">
        <v>0</v>
      </c>
    </row>
    <row r="26" spans="1:5" ht="23.25" customHeight="1">
      <c r="A26" s="14" t="s">
        <v>273</v>
      </c>
      <c r="B26" s="34">
        <v>0</v>
      </c>
      <c r="C26" s="131">
        <v>0</v>
      </c>
    </row>
    <row r="27" spans="1:5" ht="23.25" customHeight="1">
      <c r="A27" s="14" t="s">
        <v>274</v>
      </c>
      <c r="B27" s="34">
        <v>0</v>
      </c>
      <c r="C27" s="131">
        <v>0</v>
      </c>
    </row>
    <row r="28" spans="1:5" ht="23.25" customHeight="1">
      <c r="A28" s="80" t="s">
        <v>275</v>
      </c>
      <c r="B28" s="34">
        <v>8997.14</v>
      </c>
      <c r="C28" s="131"/>
      <c r="E28" s="133"/>
    </row>
    <row r="29" spans="1:5" ht="23.25" customHeight="1">
      <c r="A29" s="14" t="s">
        <v>276</v>
      </c>
      <c r="B29" s="130"/>
      <c r="C29" s="131">
        <v>32583525</v>
      </c>
    </row>
    <row r="30" spans="1:5" ht="23.25" customHeight="1">
      <c r="A30" s="14" t="s">
        <v>277</v>
      </c>
      <c r="B30" s="34">
        <v>0</v>
      </c>
      <c r="C30" s="131">
        <v>31683811</v>
      </c>
    </row>
    <row r="31" spans="1:5" ht="23.25" customHeight="1">
      <c r="A31" s="14" t="s">
        <v>278</v>
      </c>
      <c r="B31" s="34">
        <v>0</v>
      </c>
      <c r="C31" s="131">
        <f>C30</f>
        <v>31683811</v>
      </c>
    </row>
    <row r="32" spans="1:5" ht="23.25" customHeight="1">
      <c r="A32" s="14" t="s">
        <v>279</v>
      </c>
      <c r="B32" s="371">
        <v>0</v>
      </c>
      <c r="C32" s="131">
        <v>0</v>
      </c>
    </row>
    <row r="33" spans="1:60" ht="23.25" customHeight="1">
      <c r="A33" s="22" t="s">
        <v>280</v>
      </c>
      <c r="B33" s="123">
        <v>0.97230000000000005</v>
      </c>
      <c r="C33" s="131"/>
    </row>
    <row r="34" spans="1:60" ht="23.25" customHeight="1">
      <c r="A34" s="61" t="s">
        <v>125</v>
      </c>
      <c r="B34" s="372"/>
      <c r="C34" s="373">
        <v>296144</v>
      </c>
    </row>
    <row r="35" spans="1:60" ht="23.25" hidden="1" customHeight="1">
      <c r="B35" s="374" t="s">
        <v>281</v>
      </c>
      <c r="C35" s="375" t="s">
        <v>282</v>
      </c>
      <c r="D35" t="s">
        <v>283</v>
      </c>
    </row>
    <row r="36" spans="1:60" ht="23.25" hidden="1" customHeight="1">
      <c r="B36" s="127"/>
      <c r="C36" s="372"/>
      <c r="D36" s="9"/>
    </row>
    <row r="37" spans="1:60" ht="23.25" hidden="1" customHeight="1">
      <c r="A37" s="137" t="s">
        <v>284</v>
      </c>
      <c r="B37" s="127">
        <v>0</v>
      </c>
      <c r="C37" s="372">
        <v>0</v>
      </c>
      <c r="D37" s="115">
        <v>0</v>
      </c>
    </row>
    <row r="38" spans="1:60" ht="23.25" hidden="1" customHeight="1">
      <c r="A38" s="61" t="s">
        <v>285</v>
      </c>
      <c r="B38" s="127">
        <v>0</v>
      </c>
      <c r="C38" s="372">
        <v>0</v>
      </c>
      <c r="D38" s="115">
        <v>0</v>
      </c>
    </row>
    <row r="39" spans="1:60" ht="23.25" hidden="1" customHeight="1">
      <c r="A39" s="61" t="s">
        <v>286</v>
      </c>
      <c r="B39" s="127">
        <v>0</v>
      </c>
      <c r="C39" s="372">
        <v>0</v>
      </c>
      <c r="D39" s="115">
        <v>0</v>
      </c>
    </row>
    <row r="40" spans="1:60" s="138" customFormat="1" ht="23.25" hidden="1" customHeight="1">
      <c r="A40" s="61" t="s">
        <v>287</v>
      </c>
      <c r="B40" s="127">
        <v>0</v>
      </c>
      <c r="C40" s="372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27">
        <v>0</v>
      </c>
      <c r="C41" s="372">
        <v>0</v>
      </c>
      <c r="D41" s="115">
        <v>0</v>
      </c>
    </row>
    <row r="42" spans="1:60" ht="23.25" hidden="1" customHeight="1">
      <c r="A42" s="61" t="s">
        <v>289</v>
      </c>
      <c r="B42" s="127">
        <v>0</v>
      </c>
      <c r="C42" s="372">
        <v>0</v>
      </c>
      <c r="D42" s="115">
        <v>0</v>
      </c>
    </row>
    <row r="43" spans="1:60" ht="23.25" hidden="1" customHeight="1">
      <c r="A43" s="14" t="s">
        <v>290</v>
      </c>
      <c r="B43" s="127">
        <v>0</v>
      </c>
      <c r="C43" s="372">
        <v>0</v>
      </c>
      <c r="D43" s="115">
        <v>0</v>
      </c>
    </row>
    <row r="44" spans="1:60" ht="24" hidden="1" customHeight="1">
      <c r="A44" s="14" t="s">
        <v>291</v>
      </c>
      <c r="B44" s="127">
        <v>0</v>
      </c>
      <c r="C44" s="372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27"/>
      <c r="C45" s="372">
        <v>0</v>
      </c>
      <c r="D45" s="115">
        <v>0</v>
      </c>
    </row>
    <row r="46" spans="1:60" ht="23.25" hidden="1" customHeight="1">
      <c r="A46" s="14"/>
      <c r="B46" s="127"/>
      <c r="C46" s="372"/>
      <c r="D46" s="9"/>
    </row>
    <row r="47" spans="1:60" ht="23.25" hidden="1" customHeight="1">
      <c r="A47" s="14" t="s">
        <v>293</v>
      </c>
      <c r="B47" s="79">
        <v>0</v>
      </c>
      <c r="C47" s="372">
        <v>0</v>
      </c>
      <c r="D47" s="115">
        <v>0</v>
      </c>
    </row>
    <row r="48" spans="1:60" ht="23.25" hidden="1" customHeight="1">
      <c r="A48" s="14" t="s">
        <v>294</v>
      </c>
      <c r="B48" s="79">
        <v>0</v>
      </c>
      <c r="C48" s="372">
        <v>0</v>
      </c>
      <c r="D48" s="115">
        <v>0</v>
      </c>
    </row>
    <row r="49" spans="1:5" ht="23.25" hidden="1" customHeight="1">
      <c r="A49" s="14" t="s">
        <v>295</v>
      </c>
      <c r="B49" s="79">
        <v>0</v>
      </c>
      <c r="C49" s="372">
        <v>0</v>
      </c>
      <c r="D49" s="115">
        <v>0</v>
      </c>
    </row>
    <row r="50" spans="1:5" ht="23.25" hidden="1" customHeight="1">
      <c r="A50" s="14" t="s">
        <v>296</v>
      </c>
      <c r="B50" s="79">
        <v>0</v>
      </c>
      <c r="C50" s="372">
        <v>0</v>
      </c>
      <c r="D50" s="115">
        <v>0</v>
      </c>
    </row>
    <row r="51" spans="1:5" ht="23.25" hidden="1" customHeight="1">
      <c r="A51" s="14" t="s">
        <v>297</v>
      </c>
      <c r="B51" s="79">
        <v>0</v>
      </c>
      <c r="C51" s="372">
        <v>0</v>
      </c>
      <c r="D51" s="115">
        <v>0</v>
      </c>
    </row>
    <row r="52" spans="1:5" ht="23.25" hidden="1" customHeight="1">
      <c r="A52" s="14" t="s">
        <v>298</v>
      </c>
      <c r="B52" s="79">
        <v>0</v>
      </c>
      <c r="C52" s="372">
        <v>0</v>
      </c>
      <c r="D52" s="115">
        <v>0</v>
      </c>
    </row>
    <row r="53" spans="1:5" ht="23.25" hidden="1">
      <c r="A53" s="14" t="s">
        <v>299</v>
      </c>
      <c r="B53" s="79">
        <v>0</v>
      </c>
      <c r="C53" s="372">
        <v>0</v>
      </c>
      <c r="D53" s="115">
        <v>0</v>
      </c>
    </row>
    <row r="54" spans="1:5" ht="23.25" hidden="1" customHeight="1">
      <c r="A54" s="14" t="s">
        <v>300</v>
      </c>
      <c r="B54" s="79">
        <v>0</v>
      </c>
      <c r="C54" s="372">
        <v>0</v>
      </c>
      <c r="D54" s="115">
        <v>0</v>
      </c>
    </row>
    <row r="55" spans="1:5" ht="23.25" hidden="1" customHeight="1">
      <c r="A55" s="14" t="s">
        <v>301</v>
      </c>
      <c r="B55" s="79">
        <v>0</v>
      </c>
      <c r="C55" s="372">
        <v>0</v>
      </c>
      <c r="D55" s="115">
        <v>0</v>
      </c>
    </row>
    <row r="56" spans="1:5" ht="23.25" hidden="1" customHeight="1">
      <c r="A56" s="14" t="s">
        <v>302</v>
      </c>
      <c r="B56" s="79">
        <v>0</v>
      </c>
      <c r="C56" s="372">
        <v>0</v>
      </c>
      <c r="D56" s="115">
        <v>0</v>
      </c>
    </row>
    <row r="57" spans="1:5" ht="23.25" hidden="1" customHeight="1">
      <c r="A57" s="14" t="s">
        <v>303</v>
      </c>
      <c r="B57" s="79">
        <v>0</v>
      </c>
      <c r="C57" s="372">
        <v>0</v>
      </c>
      <c r="D57" s="115">
        <v>0</v>
      </c>
    </row>
    <row r="58" spans="1:5" ht="23.25" hidden="1" customHeight="1">
      <c r="A58" s="14" t="s">
        <v>304</v>
      </c>
      <c r="B58" s="79">
        <v>0</v>
      </c>
      <c r="C58" s="372">
        <v>0</v>
      </c>
      <c r="D58" s="115">
        <v>0</v>
      </c>
    </row>
    <row r="59" spans="1:5" ht="23.25" hidden="1" customHeight="1">
      <c r="A59" s="14" t="s">
        <v>305</v>
      </c>
      <c r="B59" s="376">
        <v>0</v>
      </c>
      <c r="C59" s="372">
        <v>0</v>
      </c>
      <c r="D59" s="115">
        <v>0</v>
      </c>
    </row>
    <row r="60" spans="1:5" ht="23.25" hidden="1" customHeight="1">
      <c r="A60" s="22"/>
      <c r="B60" s="377"/>
      <c r="C60" s="378"/>
    </row>
    <row r="61" spans="1:5" ht="23.25" hidden="1" customHeight="1">
      <c r="B61" s="377" t="s">
        <v>36</v>
      </c>
      <c r="C61" s="379"/>
    </row>
    <row r="62" spans="1:5" ht="23.25" hidden="1" customHeight="1">
      <c r="B62" s="380"/>
      <c r="C62" s="381"/>
      <c r="D62" s="143"/>
      <c r="E62" s="143"/>
    </row>
    <row r="63" spans="1:5" ht="23.25" hidden="1" customHeight="1">
      <c r="A63" s="142" t="s">
        <v>306</v>
      </c>
      <c r="B63" s="380"/>
      <c r="C63" s="381"/>
      <c r="D63" s="143"/>
      <c r="E63" s="143"/>
    </row>
    <row r="64" spans="1:5" ht="23.25" hidden="1" customHeight="1">
      <c r="A64" s="14" t="s">
        <v>307</v>
      </c>
      <c r="B64" s="130" t="s">
        <v>256</v>
      </c>
      <c r="C64" s="130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372"/>
      <c r="C65" s="382"/>
      <c r="D65" s="9"/>
      <c r="E65" s="9"/>
    </row>
    <row r="66" spans="1:5" ht="23.25" hidden="1" customHeight="1">
      <c r="A66" s="146">
        <v>1</v>
      </c>
      <c r="B66" s="383">
        <v>1</v>
      </c>
      <c r="C66" s="384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383">
        <v>2</v>
      </c>
      <c r="C67" s="384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383">
        <v>5</v>
      </c>
      <c r="C68" s="384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383">
        <v>10</v>
      </c>
      <c r="C69" s="384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383">
        <v>20</v>
      </c>
      <c r="C70" s="384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383">
        <v>50</v>
      </c>
      <c r="C71" s="384">
        <v>2</v>
      </c>
      <c r="D71" s="147">
        <v>10000</v>
      </c>
      <c r="E71" s="148">
        <v>100</v>
      </c>
    </row>
    <row r="72" spans="1:5" ht="23.25" hidden="1" customHeight="1">
      <c r="A72" s="146">
        <v>7</v>
      </c>
      <c r="B72" s="383">
        <v>100</v>
      </c>
      <c r="C72" s="384">
        <v>14</v>
      </c>
      <c r="D72" s="147">
        <v>140000</v>
      </c>
      <c r="E72" s="148">
        <v>1400</v>
      </c>
    </row>
    <row r="73" spans="1:5" ht="23.25" hidden="1" customHeight="1">
      <c r="B73" s="377" t="s">
        <v>68</v>
      </c>
      <c r="C73" s="384">
        <v>24</v>
      </c>
      <c r="D73" s="147">
        <v>157200</v>
      </c>
      <c r="E73" s="148">
        <v>1572</v>
      </c>
    </row>
    <row r="74" spans="1:5" ht="23.25" hidden="1" customHeight="1">
      <c r="A74" s="1" t="s">
        <v>309</v>
      </c>
      <c r="B74" s="377"/>
      <c r="C74" s="385"/>
      <c r="D74" s="149"/>
    </row>
    <row r="75" spans="1:5" ht="23.25" hidden="1" customHeight="1">
      <c r="A75" s="14" t="s">
        <v>307</v>
      </c>
      <c r="B75" s="130" t="s">
        <v>256</v>
      </c>
      <c r="C75" s="382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372">
        <v>0</v>
      </c>
      <c r="C76" s="384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372">
        <v>0</v>
      </c>
      <c r="C77" s="384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372">
        <v>0</v>
      </c>
      <c r="C78" s="384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372">
        <v>0</v>
      </c>
      <c r="C79" s="384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372">
        <v>0</v>
      </c>
      <c r="C80" s="384">
        <v>0</v>
      </c>
      <c r="D80" s="147">
        <v>0</v>
      </c>
      <c r="E80" s="26">
        <v>0</v>
      </c>
    </row>
    <row r="81" spans="1:5" ht="23.25" hidden="1">
      <c r="A81" s="146">
        <v>6</v>
      </c>
      <c r="B81" s="372">
        <v>0</v>
      </c>
      <c r="C81" s="384">
        <v>0</v>
      </c>
      <c r="D81" s="147">
        <v>0</v>
      </c>
      <c r="E81" s="26">
        <v>0</v>
      </c>
    </row>
    <row r="82" spans="1:5" ht="23.25" hidden="1">
      <c r="A82" s="26"/>
      <c r="B82" s="130" t="s">
        <v>68</v>
      </c>
      <c r="C82" s="384">
        <v>0</v>
      </c>
      <c r="D82" s="147">
        <v>0</v>
      </c>
      <c r="E82" s="26">
        <v>0</v>
      </c>
    </row>
    <row r="83" spans="1:5" ht="23.25" hidden="1">
      <c r="B83" s="377"/>
      <c r="C83" s="375"/>
    </row>
    <row r="84" spans="1:5" ht="23.25" hidden="1">
      <c r="A84" s="136" t="s">
        <v>311</v>
      </c>
      <c r="B84" s="377"/>
      <c r="C84" s="375"/>
    </row>
    <row r="85" spans="1:5" ht="23.25" hidden="1">
      <c r="A85" s="78"/>
      <c r="B85" s="375" t="s">
        <v>312</v>
      </c>
      <c r="C85" s="375" t="s">
        <v>256</v>
      </c>
      <c r="D85" t="s">
        <v>313</v>
      </c>
    </row>
    <row r="86" spans="1:5" ht="23.25" hidden="1">
      <c r="A86" s="14" t="s">
        <v>314</v>
      </c>
      <c r="B86" s="127">
        <v>0</v>
      </c>
      <c r="C86" s="372">
        <v>0</v>
      </c>
      <c r="D86" s="26">
        <v>0</v>
      </c>
    </row>
    <row r="87" spans="1:5" ht="23.25" hidden="1">
      <c r="A87" s="14" t="s">
        <v>315</v>
      </c>
      <c r="B87" s="127">
        <v>0</v>
      </c>
      <c r="C87" s="372">
        <v>0</v>
      </c>
      <c r="D87" s="9"/>
    </row>
    <row r="88" spans="1:5" ht="23.25" hidden="1">
      <c r="A88" s="1" t="s">
        <v>316</v>
      </c>
      <c r="B88" s="127">
        <v>0</v>
      </c>
      <c r="C88" s="372">
        <v>0</v>
      </c>
      <c r="D88" s="14"/>
    </row>
    <row r="89" spans="1:5" ht="23.25" hidden="1">
      <c r="A89" s="14" t="s">
        <v>317</v>
      </c>
      <c r="B89" s="127">
        <v>0</v>
      </c>
      <c r="C89" s="372">
        <v>0</v>
      </c>
      <c r="D89" s="14"/>
    </row>
    <row r="90" spans="1:5" ht="23.25" hidden="1">
      <c r="A90" s="1" t="s">
        <v>318</v>
      </c>
      <c r="B90" s="127">
        <v>0</v>
      </c>
      <c r="C90" s="372">
        <v>0</v>
      </c>
      <c r="D90" s="14"/>
    </row>
    <row r="91" spans="1:5" ht="23.25" hidden="1">
      <c r="A91" s="151" t="s">
        <v>319</v>
      </c>
      <c r="B91" s="127">
        <v>0</v>
      </c>
      <c r="C91" s="372">
        <v>0</v>
      </c>
      <c r="D91" s="9"/>
    </row>
    <row r="92" spans="1:5" ht="23.25" hidden="1">
      <c r="A92" s="151" t="s">
        <v>320</v>
      </c>
      <c r="B92" s="127"/>
      <c r="C92" s="386"/>
      <c r="D92" s="26">
        <v>0</v>
      </c>
    </row>
    <row r="93" spans="1:5" ht="23.25" hidden="1">
      <c r="A93" s="14" t="s">
        <v>315</v>
      </c>
      <c r="B93" s="127">
        <v>0</v>
      </c>
      <c r="C93" s="372">
        <v>0</v>
      </c>
      <c r="D93" s="9"/>
    </row>
    <row r="94" spans="1:5" ht="23.25" hidden="1">
      <c r="A94" s="14" t="s">
        <v>316</v>
      </c>
      <c r="B94" s="127">
        <v>0</v>
      </c>
      <c r="C94" s="372">
        <v>0</v>
      </c>
      <c r="D94" s="9"/>
    </row>
    <row r="95" spans="1:5" ht="23.25" hidden="1">
      <c r="A95" s="151" t="s">
        <v>317</v>
      </c>
      <c r="B95" s="127">
        <v>0</v>
      </c>
      <c r="C95" s="372">
        <v>0</v>
      </c>
      <c r="D95" s="9"/>
    </row>
    <row r="96" spans="1:5" ht="23.25" hidden="1">
      <c r="A96" s="14" t="s">
        <v>318</v>
      </c>
      <c r="B96" s="127">
        <v>0</v>
      </c>
      <c r="C96" s="372">
        <v>0</v>
      </c>
      <c r="D96" s="9"/>
    </row>
    <row r="97" spans="1:4" ht="23.25" hidden="1">
      <c r="A97" s="14" t="s">
        <v>319</v>
      </c>
      <c r="B97" s="127">
        <v>0</v>
      </c>
      <c r="C97" s="372">
        <v>0</v>
      </c>
      <c r="D97" s="9"/>
    </row>
    <row r="98" spans="1:4" ht="23.25" hidden="1">
      <c r="A98" s="22"/>
      <c r="B98" s="387"/>
      <c r="C98" s="388"/>
      <c r="D98" s="24"/>
    </row>
    <row r="99" spans="1:4" ht="23.25">
      <c r="B99" s="377" t="s">
        <v>321</v>
      </c>
      <c r="C99" s="138"/>
    </row>
    <row r="100" spans="1:4">
      <c r="B100" s="389"/>
      <c r="C100" s="138"/>
    </row>
    <row r="101" spans="1:4" ht="23.25">
      <c r="B101" s="390" t="s">
        <v>136</v>
      </c>
      <c r="C101" s="391">
        <v>74154</v>
      </c>
    </row>
    <row r="102" spans="1:4" hidden="1">
      <c r="B102" s="389"/>
      <c r="C102" s="392"/>
    </row>
    <row r="103" spans="1:4" ht="23.25">
      <c r="B103" s="130" t="s">
        <v>322</v>
      </c>
      <c r="C103" s="127">
        <v>65156</v>
      </c>
    </row>
    <row r="104" spans="1:4" hidden="1">
      <c r="B104" s="389"/>
      <c r="C104" s="392"/>
    </row>
    <row r="105" spans="1:4" ht="23.25">
      <c r="B105" s="130" t="s">
        <v>323</v>
      </c>
      <c r="C105" s="127">
        <v>325835</v>
      </c>
    </row>
    <row r="106" spans="1:4" hidden="1">
      <c r="B106" s="389"/>
      <c r="C106" s="392"/>
    </row>
    <row r="107" spans="1:4" ht="23.25">
      <c r="B107" s="130" t="s">
        <v>324</v>
      </c>
      <c r="C107" s="127">
        <v>296144</v>
      </c>
    </row>
    <row r="108" spans="1:4" hidden="1">
      <c r="B108" s="389"/>
      <c r="C108" s="392"/>
    </row>
    <row r="109" spans="1:4" ht="23.25">
      <c r="B109" s="130" t="s">
        <v>325</v>
      </c>
      <c r="C109" s="127">
        <v>0</v>
      </c>
    </row>
    <row r="110" spans="1:4" hidden="1">
      <c r="B110" s="389"/>
      <c r="C110" s="392"/>
    </row>
    <row r="111" spans="1:4" ht="23.25">
      <c r="B111" s="130" t="s">
        <v>326</v>
      </c>
      <c r="C111" s="127">
        <v>0</v>
      </c>
    </row>
    <row r="112" spans="1:4">
      <c r="C112" s="155"/>
    </row>
    <row r="113" spans="1:3" ht="23.25">
      <c r="A113"/>
      <c r="B113" s="14" t="s">
        <v>327</v>
      </c>
      <c r="C113" s="115">
        <f>C103</f>
        <v>65156</v>
      </c>
    </row>
    <row r="114" spans="1:3">
      <c r="C114" s="155"/>
    </row>
    <row r="115" spans="1:3" ht="23.25">
      <c r="A115"/>
      <c r="B115" s="14" t="s">
        <v>328</v>
      </c>
      <c r="C115" s="115">
        <f>C101</f>
        <v>74154</v>
      </c>
    </row>
    <row r="116" spans="1:3">
      <c r="C116" s="155"/>
    </row>
    <row r="117" spans="1:3" ht="23.25">
      <c r="A117"/>
      <c r="B117" s="14"/>
      <c r="C117" s="11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BH92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6.42578125" style="2" customWidth="1"/>
    <col min="3" max="3" width="4.85546875" customWidth="1"/>
    <col min="4" max="4" width="26.42578125" customWidth="1"/>
    <col min="5" max="5" width="3.28515625" customWidth="1"/>
    <col min="6" max="6" width="2.28515625" customWidth="1"/>
    <col min="7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415</v>
      </c>
      <c r="C2" s="8" t="s">
        <v>2</v>
      </c>
    </row>
    <row r="3" spans="1:7" ht="15">
      <c r="A3" s="6"/>
      <c r="B3" s="7" t="s">
        <v>639</v>
      </c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70</v>
      </c>
      <c r="C6" s="9"/>
    </row>
    <row r="7" spans="1:7" ht="24" customHeight="1">
      <c r="A7" s="12" t="s">
        <v>6</v>
      </c>
      <c r="B7" s="128" t="s">
        <v>640</v>
      </c>
      <c r="C7" s="9"/>
    </row>
    <row r="8" spans="1:7" ht="24" customHeight="1">
      <c r="A8" s="12"/>
      <c r="B8" s="13" t="s">
        <v>36</v>
      </c>
    </row>
    <row r="9" spans="1:7" ht="23.25" customHeight="1">
      <c r="A9" s="14" t="s">
        <v>481</v>
      </c>
      <c r="B9" s="15">
        <v>8449.5</v>
      </c>
      <c r="C9" s="14"/>
    </row>
    <row r="10" spans="1:7" ht="23.25" customHeight="1">
      <c r="A10" s="14" t="s">
        <v>482</v>
      </c>
      <c r="B10" s="15">
        <v>0</v>
      </c>
      <c r="C10" s="14"/>
    </row>
    <row r="11" spans="1:7" ht="23.25" customHeight="1">
      <c r="A11" s="14" t="s">
        <v>483</v>
      </c>
      <c r="B11" s="15">
        <v>0</v>
      </c>
      <c r="C11" s="14"/>
    </row>
    <row r="12" spans="1:7" ht="23.25" customHeight="1">
      <c r="A12" s="14"/>
      <c r="B12" s="15">
        <v>0</v>
      </c>
      <c r="C12" s="14"/>
    </row>
    <row r="13" spans="1:7" ht="23.25" customHeight="1">
      <c r="A13" s="14" t="s">
        <v>484</v>
      </c>
      <c r="B13" s="15">
        <v>6885.01</v>
      </c>
      <c r="C13" s="14"/>
    </row>
    <row r="14" spans="1:7" ht="23.25" customHeight="1">
      <c r="A14" s="14" t="s">
        <v>485</v>
      </c>
      <c r="B14" s="15">
        <v>7282.12</v>
      </c>
      <c r="C14" s="14"/>
    </row>
    <row r="15" spans="1:7" ht="23.25" customHeight="1">
      <c r="A15" s="14"/>
      <c r="B15" s="15" t="s">
        <v>36</v>
      </c>
      <c r="C15" s="14"/>
    </row>
    <row r="16" spans="1:7" ht="23.25" customHeight="1">
      <c r="A16" s="14" t="s">
        <v>486</v>
      </c>
      <c r="B16" s="15">
        <v>13.82</v>
      </c>
      <c r="C16" s="14"/>
    </row>
    <row r="17" spans="1:5" ht="23.25" customHeight="1">
      <c r="A17" s="14" t="s">
        <v>487</v>
      </c>
      <c r="B17" s="15">
        <v>86.18</v>
      </c>
      <c r="C17" s="14"/>
    </row>
    <row r="18" spans="1:5" ht="23.25" customHeight="1">
      <c r="A18" s="14" t="s">
        <v>488</v>
      </c>
      <c r="B18" s="15">
        <v>90.35</v>
      </c>
      <c r="C18" s="14"/>
    </row>
    <row r="19" spans="1:5" ht="23.25" customHeight="1">
      <c r="A19" s="14"/>
      <c r="B19" s="15" t="s">
        <v>36</v>
      </c>
      <c r="C19" s="14"/>
      <c r="E19">
        <v>2</v>
      </c>
    </row>
    <row r="20" spans="1:5" ht="23.25" customHeight="1">
      <c r="A20" s="18"/>
      <c r="B20" s="53"/>
      <c r="C20" s="14"/>
    </row>
    <row r="21" spans="1:5" ht="23.25" customHeight="1">
      <c r="A21" s="14" t="s">
        <v>489</v>
      </c>
      <c r="B21" s="15">
        <v>2719</v>
      </c>
      <c r="C21" s="14"/>
    </row>
    <row r="22" spans="1:5" ht="23.25" customHeight="1">
      <c r="A22" s="14" t="s">
        <v>490</v>
      </c>
      <c r="B22" s="15">
        <v>0</v>
      </c>
      <c r="C22" s="14"/>
    </row>
    <row r="23" spans="1:5" ht="23.25" customHeight="1">
      <c r="A23" s="14" t="s">
        <v>491</v>
      </c>
      <c r="B23" s="15">
        <f>B21</f>
        <v>2719</v>
      </c>
      <c r="C23" s="9"/>
    </row>
    <row r="24" spans="1:5" ht="23.25" customHeight="1">
      <c r="A24" s="14" t="s">
        <v>492</v>
      </c>
      <c r="B24" s="15">
        <v>0</v>
      </c>
      <c r="C24" s="15"/>
    </row>
    <row r="25" spans="1:5" ht="23.25" customHeight="1">
      <c r="A25" s="14" t="s">
        <v>493</v>
      </c>
      <c r="B25" s="15">
        <v>0</v>
      </c>
      <c r="C25" s="14"/>
    </row>
    <row r="26" spans="1:5" ht="23.25" customHeight="1">
      <c r="A26" s="14" t="s">
        <v>494</v>
      </c>
      <c r="B26" s="15">
        <v>0</v>
      </c>
      <c r="C26" s="14"/>
    </row>
    <row r="27" spans="1:5" ht="23.25" customHeight="1">
      <c r="A27" s="14" t="s">
        <v>495</v>
      </c>
      <c r="B27" s="15">
        <v>0</v>
      </c>
      <c r="C27" s="14"/>
    </row>
    <row r="28" spans="1:5" ht="23.25" customHeight="1">
      <c r="A28" s="14" t="s">
        <v>496</v>
      </c>
      <c r="B28" s="15">
        <v>0</v>
      </c>
      <c r="C28" s="14"/>
    </row>
    <row r="29" spans="1:5" ht="23.25" customHeight="1">
      <c r="A29" s="18"/>
      <c r="B29" s="53"/>
      <c r="C29" s="14"/>
    </row>
    <row r="30" spans="1:5" ht="23.25" customHeight="1">
      <c r="A30" s="14" t="s">
        <v>497</v>
      </c>
      <c r="B30" s="15">
        <v>1551.62</v>
      </c>
      <c r="C30" s="14"/>
    </row>
    <row r="31" spans="1:5" ht="23.25" customHeight="1">
      <c r="A31" s="14" t="s">
        <v>498</v>
      </c>
      <c r="B31" s="15">
        <v>0</v>
      </c>
      <c r="C31" s="14"/>
    </row>
    <row r="32" spans="1:5" ht="23.25" customHeight="1">
      <c r="A32" s="14" t="s">
        <v>499</v>
      </c>
      <c r="B32" s="15">
        <v>0</v>
      </c>
      <c r="C32" s="14"/>
    </row>
    <row r="33" spans="1:60" ht="23.25" customHeight="1">
      <c r="A33" s="14" t="s">
        <v>500</v>
      </c>
      <c r="B33" s="15">
        <v>0</v>
      </c>
      <c r="C33" s="14"/>
    </row>
    <row r="34" spans="1:60" ht="23.25" customHeight="1">
      <c r="A34" s="14" t="s">
        <v>501</v>
      </c>
      <c r="B34" s="15">
        <v>0</v>
      </c>
      <c r="C34" s="14"/>
    </row>
    <row r="35" spans="1:60" ht="23.25" customHeight="1">
      <c r="A35" s="14" t="s">
        <v>502</v>
      </c>
      <c r="B35" s="15">
        <v>0</v>
      </c>
      <c r="C35" s="14"/>
    </row>
    <row r="36" spans="1:60" ht="23.25" customHeight="1">
      <c r="A36" s="14" t="s">
        <v>503</v>
      </c>
      <c r="B36" s="15">
        <f>B30</f>
        <v>1551.62</v>
      </c>
      <c r="C36" s="14"/>
    </row>
    <row r="37" spans="1:60" ht="23.25" customHeight="1">
      <c r="A37" s="14" t="s">
        <v>504</v>
      </c>
      <c r="B37" s="15">
        <v>0</v>
      </c>
      <c r="C37" s="14"/>
    </row>
    <row r="38" spans="1:60" s="138" customFormat="1" ht="23.25" customHeight="1">
      <c r="A38" s="130"/>
      <c r="B38" s="130"/>
      <c r="C38" s="130"/>
    </row>
    <row r="39" spans="1:60" ht="23.25" customHeight="1">
      <c r="A39" s="14" t="s">
        <v>505</v>
      </c>
      <c r="B39" s="15">
        <f>B23</f>
        <v>2719</v>
      </c>
      <c r="C39" s="14"/>
    </row>
    <row r="40" spans="1:60" ht="23.25" customHeight="1">
      <c r="A40" s="14" t="s">
        <v>506</v>
      </c>
      <c r="B40" s="15">
        <v>0</v>
      </c>
      <c r="C40" s="14"/>
    </row>
    <row r="41" spans="1:60" ht="23.25" customHeight="1">
      <c r="A41" s="14" t="s">
        <v>507</v>
      </c>
      <c r="B41" s="15">
        <v>0</v>
      </c>
      <c r="C41" s="14"/>
    </row>
    <row r="42" spans="1:60" ht="24" customHeight="1">
      <c r="A42" s="14" t="s">
        <v>508</v>
      </c>
      <c r="B42" s="15">
        <f>B39</f>
        <v>2719</v>
      </c>
      <c r="C42" s="9"/>
      <c r="AZ42" s="16"/>
      <c r="BA42" s="16"/>
      <c r="BB42" s="16"/>
      <c r="BC42" s="16"/>
      <c r="BD42" s="16"/>
      <c r="BE42" s="16"/>
      <c r="BF42" s="16"/>
      <c r="BG42" s="16"/>
      <c r="BH42" s="16"/>
    </row>
    <row r="43" spans="1:60" ht="23.25" customHeight="1">
      <c r="A43" s="14" t="s">
        <v>509</v>
      </c>
      <c r="B43" s="15">
        <v>0</v>
      </c>
      <c r="C43" s="14"/>
    </row>
    <row r="44" spans="1:60" ht="23.25" customHeight="1">
      <c r="A44" s="14" t="s">
        <v>510</v>
      </c>
      <c r="B44" s="15">
        <v>0</v>
      </c>
      <c r="C44" s="14"/>
    </row>
    <row r="45" spans="1:60" ht="23.25" customHeight="1">
      <c r="A45" s="14"/>
      <c r="B45" s="15" t="s">
        <v>36</v>
      </c>
      <c r="C45" s="14"/>
    </row>
    <row r="46" spans="1:60" ht="23.25" customHeight="1">
      <c r="A46" s="14" t="s">
        <v>511</v>
      </c>
      <c r="B46" s="15">
        <v>0</v>
      </c>
      <c r="C46" s="14"/>
    </row>
    <row r="47" spans="1:60" ht="23.25" customHeight="1">
      <c r="A47" s="14"/>
      <c r="B47" s="15"/>
      <c r="C47" s="14"/>
    </row>
    <row r="48" spans="1:60" ht="23.25" customHeight="1">
      <c r="A48" s="14" t="s">
        <v>512</v>
      </c>
      <c r="B48" s="15">
        <v>8292</v>
      </c>
      <c r="C48" s="14"/>
    </row>
    <row r="49" spans="1:3" ht="23.25" customHeight="1">
      <c r="A49" s="14" t="s">
        <v>513</v>
      </c>
      <c r="B49" s="15">
        <v>3374</v>
      </c>
      <c r="C49" s="14"/>
    </row>
    <row r="50" spans="1:3" ht="23.25" customHeight="1">
      <c r="A50" s="14" t="s">
        <v>514</v>
      </c>
      <c r="B50" s="15">
        <v>4918</v>
      </c>
      <c r="C50" s="14"/>
    </row>
    <row r="51" spans="1:3" ht="23.25">
      <c r="A51" s="18"/>
      <c r="B51" s="53"/>
      <c r="C51" s="20"/>
    </row>
    <row r="52" spans="1:3" ht="23.25" customHeight="1">
      <c r="A52" s="14" t="s">
        <v>515</v>
      </c>
      <c r="B52" s="15">
        <v>0</v>
      </c>
      <c r="C52" s="14"/>
    </row>
    <row r="53" spans="1:3" ht="23.25" customHeight="1">
      <c r="A53" s="14" t="s">
        <v>516</v>
      </c>
      <c r="B53" s="15">
        <v>0</v>
      </c>
      <c r="C53" s="14"/>
    </row>
    <row r="54" spans="1:3" ht="23.25" customHeight="1">
      <c r="A54" s="14" t="s">
        <v>517</v>
      </c>
      <c r="B54" s="15">
        <v>0</v>
      </c>
      <c r="C54" s="14"/>
    </row>
    <row r="55" spans="1:3" ht="23.25" customHeight="1">
      <c r="A55" s="14" t="s">
        <v>518</v>
      </c>
      <c r="B55" s="15">
        <v>0</v>
      </c>
      <c r="C55" s="14"/>
    </row>
    <row r="56" spans="1:3" ht="23.25" customHeight="1">
      <c r="A56" s="14" t="s">
        <v>519</v>
      </c>
      <c r="B56" s="15">
        <v>0</v>
      </c>
      <c r="C56" s="14"/>
    </row>
    <row r="57" spans="1:3" ht="23.25" customHeight="1">
      <c r="A57" s="14" t="s">
        <v>520</v>
      </c>
      <c r="B57" s="15">
        <v>0</v>
      </c>
      <c r="C57" s="14"/>
    </row>
    <row r="58" spans="1:3" ht="23.25" customHeight="1">
      <c r="A58" s="14" t="s">
        <v>521</v>
      </c>
      <c r="B58" s="15">
        <v>0</v>
      </c>
      <c r="C58" s="14"/>
    </row>
    <row r="59" spans="1:3" ht="23.25" customHeight="1">
      <c r="A59" s="14"/>
      <c r="B59" s="15" t="s">
        <v>36</v>
      </c>
      <c r="C59" s="14"/>
    </row>
    <row r="60" spans="1:3" ht="23.25" customHeight="1">
      <c r="A60" s="14" t="s">
        <v>522</v>
      </c>
      <c r="B60" s="15">
        <v>0</v>
      </c>
      <c r="C60" s="14"/>
    </row>
    <row r="61" spans="1:3" ht="23.25" customHeight="1">
      <c r="A61" s="14" t="s">
        <v>523</v>
      </c>
      <c r="B61" s="15">
        <v>1551.62</v>
      </c>
      <c r="C61" s="14"/>
    </row>
    <row r="62" spans="1:3" ht="23.25" customHeight="1">
      <c r="A62" s="14"/>
      <c r="B62" s="15"/>
      <c r="C62" s="14"/>
    </row>
    <row r="63" spans="1:3" ht="23.25" customHeight="1">
      <c r="A63" s="14" t="s">
        <v>524</v>
      </c>
      <c r="B63" s="15">
        <v>0</v>
      </c>
      <c r="C63" s="14"/>
    </row>
    <row r="64" spans="1:3" ht="23.25" customHeight="1">
      <c r="A64" s="14" t="s">
        <v>525</v>
      </c>
      <c r="B64" s="15">
        <v>0</v>
      </c>
      <c r="C64" s="14"/>
    </row>
    <row r="65" spans="1:4" ht="23.25" customHeight="1">
      <c r="A65" s="14" t="s">
        <v>526</v>
      </c>
      <c r="B65" s="15">
        <v>0</v>
      </c>
      <c r="C65" s="14"/>
    </row>
    <row r="66" spans="1:4" ht="23.25" customHeight="1">
      <c r="A66" s="130"/>
      <c r="B66" s="34" t="s">
        <v>36</v>
      </c>
      <c r="C66" s="130"/>
      <c r="D66" s="138"/>
    </row>
    <row r="67" spans="1:4" ht="23.25" customHeight="1">
      <c r="A67" s="14" t="s">
        <v>496</v>
      </c>
      <c r="B67" s="15">
        <v>0</v>
      </c>
      <c r="C67" s="14"/>
    </row>
    <row r="68" spans="1:4" ht="23.25" customHeight="1">
      <c r="A68" s="14" t="s">
        <v>527</v>
      </c>
      <c r="B68" s="15">
        <v>0</v>
      </c>
      <c r="C68" s="14"/>
    </row>
    <row r="69" spans="1:4" ht="23.25" customHeight="1">
      <c r="A69" s="14" t="s">
        <v>528</v>
      </c>
      <c r="B69" s="15">
        <v>0</v>
      </c>
      <c r="C69" s="14"/>
    </row>
    <row r="70" spans="1:4" ht="23.25" customHeight="1">
      <c r="A70" s="14" t="s">
        <v>529</v>
      </c>
      <c r="B70" s="15">
        <v>0</v>
      </c>
      <c r="C70" s="14"/>
    </row>
    <row r="71" spans="1:4" ht="23.25" customHeight="1">
      <c r="A71" s="14" t="s">
        <v>530</v>
      </c>
      <c r="B71" s="15">
        <v>0</v>
      </c>
      <c r="C71" s="14"/>
    </row>
    <row r="72" spans="1:4" ht="23.25" customHeight="1">
      <c r="A72" s="14" t="s">
        <v>531</v>
      </c>
      <c r="B72" s="15">
        <v>0</v>
      </c>
      <c r="C72" s="14"/>
    </row>
    <row r="73" spans="1:4" ht="23.25" customHeight="1">
      <c r="A73" s="14"/>
      <c r="B73" s="15"/>
      <c r="C73" s="14"/>
    </row>
    <row r="74" spans="1:4" ht="23.25" customHeight="1">
      <c r="A74" s="14" t="s">
        <v>532</v>
      </c>
      <c r="B74" s="15">
        <v>0</v>
      </c>
      <c r="C74" s="14"/>
    </row>
    <row r="75" spans="1:4" ht="23.25" customHeight="1">
      <c r="A75" s="14" t="s">
        <v>533</v>
      </c>
      <c r="B75" s="15">
        <v>0</v>
      </c>
      <c r="C75" s="14"/>
    </row>
    <row r="76" spans="1:4" ht="23.25" customHeight="1">
      <c r="A76" s="14" t="s">
        <v>534</v>
      </c>
      <c r="B76" s="15">
        <v>0</v>
      </c>
      <c r="C76" s="14"/>
    </row>
    <row r="77" spans="1:4" ht="23.25" customHeight="1">
      <c r="A77" s="14" t="s">
        <v>535</v>
      </c>
      <c r="B77" s="15">
        <v>0</v>
      </c>
      <c r="C77" s="14"/>
    </row>
    <row r="78" spans="1:4" ht="23.25" customHeight="1">
      <c r="A78" s="14"/>
      <c r="B78" s="15"/>
      <c r="C78" s="14"/>
    </row>
    <row r="79" spans="1:4" ht="23.25">
      <c r="A79" s="14" t="s">
        <v>536</v>
      </c>
      <c r="B79" s="15">
        <v>0</v>
      </c>
      <c r="C79" s="14"/>
    </row>
    <row r="80" spans="1:4" ht="23.25">
      <c r="A80" s="14" t="s">
        <v>537</v>
      </c>
      <c r="B80" s="15">
        <v>0</v>
      </c>
      <c r="C80" s="14"/>
    </row>
    <row r="81" spans="1:6" ht="23.25">
      <c r="A81" s="14" t="s">
        <v>538</v>
      </c>
      <c r="B81" s="15">
        <v>397.11</v>
      </c>
      <c r="C81" s="14"/>
    </row>
    <row r="82" spans="1:6" ht="23.25">
      <c r="A82" s="63" t="s">
        <v>539</v>
      </c>
      <c r="B82" s="15">
        <v>0</v>
      </c>
      <c r="C82" s="14"/>
    </row>
    <row r="83" spans="1:6" ht="23.25">
      <c r="A83" s="14"/>
      <c r="B83" s="15"/>
      <c r="C83" s="14"/>
    </row>
    <row r="84" spans="1:6" ht="23.25">
      <c r="A84" s="14"/>
      <c r="B84" s="15"/>
      <c r="C84" s="14"/>
    </row>
    <row r="86" spans="1:6">
      <c r="A86" s="1" t="s">
        <v>540</v>
      </c>
    </row>
    <row r="87" spans="1:6" ht="15">
      <c r="B87" s="248" t="s">
        <v>36</v>
      </c>
      <c r="D87" s="9"/>
      <c r="E87" s="9"/>
      <c r="F87" s="9"/>
    </row>
    <row r="88" spans="1:6" ht="23.25">
      <c r="A88" s="103" t="s">
        <v>641</v>
      </c>
      <c r="B88" s="26">
        <v>11.17</v>
      </c>
      <c r="D88" s="26">
        <v>13.61</v>
      </c>
      <c r="E88" s="9"/>
      <c r="F88" s="9"/>
    </row>
    <row r="89" spans="1:6" ht="23.25">
      <c r="A89" s="103" t="s">
        <v>642</v>
      </c>
      <c r="B89" s="26">
        <v>50.75</v>
      </c>
      <c r="D89" s="26">
        <v>54.09</v>
      </c>
      <c r="E89" s="9"/>
      <c r="F89" s="9"/>
    </row>
    <row r="90" spans="1:6" ht="23.25">
      <c r="A90" s="103" t="s">
        <v>643</v>
      </c>
      <c r="B90" s="26">
        <v>106.3</v>
      </c>
      <c r="D90" s="26">
        <v>106.3</v>
      </c>
      <c r="E90" s="9"/>
      <c r="F90" s="9"/>
    </row>
    <row r="91" spans="1:6" ht="23.25">
      <c r="A91" s="103" t="s">
        <v>644</v>
      </c>
      <c r="B91" s="26">
        <v>1004.2</v>
      </c>
      <c r="D91" s="26">
        <v>1004.2</v>
      </c>
      <c r="E91" s="9"/>
      <c r="F91" s="9"/>
    </row>
    <row r="92" spans="1:6" ht="23.25">
      <c r="A92" s="103"/>
      <c r="B92" s="26"/>
      <c r="D92" s="9"/>
      <c r="E92" s="9"/>
      <c r="F92" s="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indexed="40"/>
  </sheetPr>
  <dimension ref="A1:BA65"/>
  <sheetViews>
    <sheetView zoomScale="90" zoomScaleNormal="90" workbookViewId="0">
      <selection activeCell="B9" sqref="B9"/>
    </sheetView>
  </sheetViews>
  <sheetFormatPr defaultColWidth="11" defaultRowHeight="14.25"/>
  <cols>
    <col min="1" max="1" width="31.5703125" style="1" customWidth="1"/>
    <col min="2" max="2" width="30" customWidth="1"/>
    <col min="3" max="3" width="4.85546875" customWidth="1"/>
    <col min="4" max="183" width="11.42578125" customWidth="1"/>
    <col min="184" max="184" width="31.5703125" customWidth="1"/>
    <col min="185" max="185" width="30" customWidth="1"/>
    <col min="186" max="186" width="4.85546875" customWidth="1"/>
    <col min="187" max="187" width="2.28515625" customWidth="1"/>
    <col min="188" max="192" width="0" hidden="1" customWidth="1"/>
    <col min="193" max="193" width="0.42578125" customWidth="1"/>
    <col min="194" max="201" width="3.85546875" customWidth="1"/>
    <col min="202" max="202" width="0.42578125" customWidth="1"/>
    <col min="203" max="203" width="3" customWidth="1"/>
    <col min="204" max="210" width="3.140625" customWidth="1"/>
    <col min="211" max="211" width="0.42578125" customWidth="1"/>
    <col min="212" max="219" width="3.140625" customWidth="1"/>
    <col min="220" max="220" width="0.42578125" customWidth="1"/>
    <col min="221" max="226" width="3.140625" customWidth="1"/>
    <col min="227" max="227" width="3.28515625" customWidth="1"/>
    <col min="228" max="228" width="3.7109375" customWidth="1"/>
    <col min="229" max="229" width="0.85546875" customWidth="1"/>
    <col min="230" max="236" width="3.140625" customWidth="1"/>
    <col min="237" max="237" width="0.42578125" customWidth="1"/>
    <col min="238" max="245" width="3.140625" customWidth="1"/>
    <col min="246" max="246" width="0.28515625" customWidth="1"/>
  </cols>
  <sheetData>
    <row r="1" spans="1:3">
      <c r="A1" s="3"/>
      <c r="B1" s="5"/>
      <c r="C1" s="5"/>
    </row>
    <row r="2" spans="1:3" ht="15">
      <c r="A2" s="6" t="s">
        <v>0</v>
      </c>
      <c r="B2" s="71" t="s">
        <v>111</v>
      </c>
      <c r="C2" s="8" t="s">
        <v>2</v>
      </c>
    </row>
    <row r="3" spans="1:3" ht="15">
      <c r="A3" s="6"/>
      <c r="B3" s="71" t="s">
        <v>112</v>
      </c>
      <c r="C3" s="9"/>
    </row>
    <row r="4" spans="1:3" ht="15">
      <c r="A4" s="6" t="s">
        <v>4</v>
      </c>
      <c r="B4" s="72">
        <v>1</v>
      </c>
      <c r="C4" s="9"/>
    </row>
    <row r="5" spans="1:3" ht="12.75" customHeight="1">
      <c r="C5" s="9"/>
    </row>
    <row r="6" spans="1:3" ht="23.25">
      <c r="A6" s="11" t="s">
        <v>5</v>
      </c>
      <c r="B6" s="74">
        <v>36</v>
      </c>
      <c r="C6" s="9"/>
    </row>
    <row r="7" spans="1:3" ht="24" customHeight="1">
      <c r="A7" s="12" t="s">
        <v>6</v>
      </c>
      <c r="B7" s="75" t="s">
        <v>112</v>
      </c>
      <c r="C7" s="9"/>
    </row>
    <row r="8" spans="1:3" ht="24" customHeight="1">
      <c r="A8" s="14" t="s">
        <v>114</v>
      </c>
      <c r="B8" s="64">
        <v>1191340</v>
      </c>
      <c r="C8" s="14"/>
    </row>
    <row r="9" spans="1:3" ht="24" customHeight="1">
      <c r="A9" s="14" t="s">
        <v>115</v>
      </c>
      <c r="B9" s="64">
        <v>0</v>
      </c>
      <c r="C9" s="14"/>
    </row>
    <row r="10" spans="1:3" ht="24" customHeight="1">
      <c r="A10" s="14" t="s">
        <v>116</v>
      </c>
      <c r="B10" s="64">
        <v>1108462</v>
      </c>
      <c r="C10" s="14"/>
    </row>
    <row r="11" spans="1:3" ht="24" customHeight="1">
      <c r="A11" s="14" t="s">
        <v>117</v>
      </c>
      <c r="B11" s="64">
        <v>0</v>
      </c>
      <c r="C11" s="14"/>
    </row>
    <row r="12" spans="1:3" ht="24" customHeight="1">
      <c r="A12" s="14" t="s">
        <v>118</v>
      </c>
      <c r="B12" s="64">
        <v>0</v>
      </c>
      <c r="C12" s="14"/>
    </row>
    <row r="13" spans="1:3" ht="24" customHeight="1">
      <c r="A13" s="14" t="s">
        <v>119</v>
      </c>
      <c r="B13" s="64">
        <v>32000</v>
      </c>
      <c r="C13" s="9"/>
    </row>
    <row r="14" spans="1:3" ht="24" customHeight="1">
      <c r="A14" s="14" t="s">
        <v>120</v>
      </c>
      <c r="B14" s="64">
        <v>50878</v>
      </c>
      <c r="C14" s="9"/>
    </row>
    <row r="15" spans="1:3" ht="24" customHeight="1">
      <c r="A15" s="14" t="s">
        <v>121</v>
      </c>
      <c r="B15" s="64">
        <v>0</v>
      </c>
      <c r="C15" s="9"/>
    </row>
    <row r="16" spans="1:3" ht="24" customHeight="1">
      <c r="A16" s="14" t="s">
        <v>122</v>
      </c>
      <c r="B16" s="64">
        <v>8</v>
      </c>
      <c r="C16" s="9"/>
    </row>
    <row r="17" spans="1:53" ht="24" customHeight="1">
      <c r="A17" s="14" t="s">
        <v>123</v>
      </c>
      <c r="B17" s="64">
        <v>121839</v>
      </c>
      <c r="C17" s="9"/>
    </row>
    <row r="18" spans="1:53" ht="24" customHeight="1">
      <c r="A18" s="14" t="s">
        <v>124</v>
      </c>
      <c r="B18" s="64">
        <v>154287</v>
      </c>
      <c r="C18" s="9"/>
    </row>
    <row r="19" spans="1:53" ht="24" customHeight="1">
      <c r="A19" s="14" t="s">
        <v>125</v>
      </c>
      <c r="B19" s="64">
        <v>276126</v>
      </c>
      <c r="C19" s="9"/>
    </row>
    <row r="20" spans="1:53" ht="8.25" customHeight="1">
      <c r="A20" s="18"/>
      <c r="B20" s="20"/>
      <c r="C20" s="20"/>
    </row>
    <row r="21" spans="1:53" ht="24" customHeight="1">
      <c r="A21" s="14" t="s">
        <v>126</v>
      </c>
      <c r="B21" s="64"/>
      <c r="C21" s="9"/>
    </row>
    <row r="22" spans="1:53" ht="24" customHeight="1">
      <c r="A22" s="14" t="s">
        <v>127</v>
      </c>
      <c r="B22" s="64">
        <v>0</v>
      </c>
      <c r="C22" s="9"/>
    </row>
    <row r="23" spans="1:53" ht="24" customHeight="1">
      <c r="A23" s="14" t="s">
        <v>128</v>
      </c>
      <c r="B23" s="64">
        <v>0</v>
      </c>
      <c r="C23" s="9"/>
    </row>
    <row r="24" spans="1:53" ht="24" customHeight="1">
      <c r="A24" s="14" t="s">
        <v>129</v>
      </c>
      <c r="B24" s="64">
        <v>0</v>
      </c>
      <c r="C24" s="9"/>
    </row>
    <row r="25" spans="1:53" ht="24" customHeight="1">
      <c r="A25" s="14" t="s">
        <v>130</v>
      </c>
      <c r="B25" s="64">
        <v>70</v>
      </c>
      <c r="C25" s="9"/>
    </row>
    <row r="26" spans="1:53" ht="24" customHeight="1">
      <c r="A26" s="14" t="s">
        <v>131</v>
      </c>
      <c r="B26" s="64">
        <v>157</v>
      </c>
      <c r="C26" s="9"/>
    </row>
    <row r="27" spans="1:53" ht="24" customHeight="1">
      <c r="A27" s="14"/>
      <c r="B27" s="64"/>
      <c r="C27" s="9"/>
    </row>
    <row r="28" spans="1:53" ht="24" customHeight="1">
      <c r="A28" s="14" t="s">
        <v>132</v>
      </c>
      <c r="B28" s="64">
        <v>1191340</v>
      </c>
      <c r="C28" s="9"/>
    </row>
    <row r="29" spans="1:53" ht="24" customHeight="1">
      <c r="A29" s="14" t="s">
        <v>133</v>
      </c>
      <c r="B29" s="64">
        <v>1108467</v>
      </c>
      <c r="C29" s="9"/>
    </row>
    <row r="30" spans="1:53" ht="24" customHeight="1">
      <c r="A30" s="14" t="s">
        <v>134</v>
      </c>
      <c r="B30" s="64">
        <v>0</v>
      </c>
      <c r="C30" s="9"/>
    </row>
    <row r="31" spans="1:53" ht="24" customHeight="1">
      <c r="A31" s="393" t="s">
        <v>135</v>
      </c>
      <c r="B31" s="78"/>
      <c r="AS31" s="28"/>
      <c r="AT31" s="16"/>
      <c r="AU31" s="16"/>
      <c r="AV31" s="16"/>
      <c r="AW31" s="16"/>
      <c r="AX31" s="16"/>
      <c r="AY31" s="16"/>
      <c r="AZ31" s="16"/>
      <c r="BA31" s="16"/>
    </row>
    <row r="32" spans="1:53" ht="24" customHeight="1">
      <c r="A32" s="14" t="s">
        <v>136</v>
      </c>
      <c r="B32" s="64">
        <v>1191340</v>
      </c>
      <c r="C32" s="9"/>
    </row>
    <row r="33" spans="1:53" ht="24" customHeight="1">
      <c r="A33" s="14" t="s">
        <v>137</v>
      </c>
      <c r="B33" s="64">
        <v>1140467</v>
      </c>
      <c r="C33" s="9"/>
    </row>
    <row r="34" spans="1:53" ht="21" customHeight="1">
      <c r="A34" s="18" t="s">
        <v>52</v>
      </c>
      <c r="B34" s="20">
        <v>0</v>
      </c>
      <c r="C34" s="20"/>
    </row>
    <row r="35" spans="1:53" ht="24" customHeight="1">
      <c r="A35" s="14" t="s">
        <v>138</v>
      </c>
      <c r="B35" s="115">
        <f>B13</f>
        <v>32000</v>
      </c>
      <c r="C35" s="9"/>
    </row>
    <row r="36" spans="1:53" ht="24" customHeight="1">
      <c r="A36" s="14" t="s">
        <v>139</v>
      </c>
      <c r="B36" s="64">
        <v>0</v>
      </c>
      <c r="C36" s="9"/>
    </row>
    <row r="37" spans="1:53" ht="27.75" customHeight="1">
      <c r="A37" s="18" t="s">
        <v>140</v>
      </c>
      <c r="B37" s="20"/>
      <c r="C37" s="20"/>
    </row>
    <row r="38" spans="1:53" ht="24" customHeight="1">
      <c r="A38" s="1" t="s">
        <v>141</v>
      </c>
      <c r="B38" s="78">
        <v>0</v>
      </c>
      <c r="AS38" s="28"/>
      <c r="AT38" s="16"/>
      <c r="AU38" s="16"/>
      <c r="AV38" s="16"/>
      <c r="AW38" s="16"/>
      <c r="AX38" s="16"/>
      <c r="AY38" s="16"/>
      <c r="AZ38" s="16"/>
      <c r="BA38" s="16"/>
    </row>
    <row r="39" spans="1:53" ht="23.25">
      <c r="A39" s="69" t="s">
        <v>142</v>
      </c>
      <c r="B39" s="64">
        <v>0</v>
      </c>
      <c r="C39" s="9"/>
    </row>
    <row r="40" spans="1:53" ht="8.25" customHeight="1">
      <c r="A40" s="18"/>
      <c r="B40" s="20"/>
      <c r="C40" s="20"/>
    </row>
    <row r="41" spans="1:53" ht="40.5">
      <c r="A41" s="394" t="s">
        <v>143</v>
      </c>
      <c r="B41" s="64"/>
      <c r="C41" s="9"/>
    </row>
    <row r="42" spans="1:53" ht="30.75" customHeight="1">
      <c r="A42" s="18" t="s">
        <v>144</v>
      </c>
      <c r="B42" s="395">
        <v>0</v>
      </c>
      <c r="C42" s="20"/>
    </row>
    <row r="43" spans="1:53" ht="24" customHeight="1">
      <c r="A43" s="68" t="s">
        <v>145</v>
      </c>
      <c r="B43" s="40">
        <v>284978</v>
      </c>
      <c r="C43" s="396"/>
    </row>
    <row r="44" spans="1:53" ht="24" customHeight="1">
      <c r="A44" s="14" t="s">
        <v>146</v>
      </c>
      <c r="B44" s="397">
        <v>0</v>
      </c>
      <c r="C44" s="9"/>
    </row>
    <row r="45" spans="1:53" ht="24" customHeight="1">
      <c r="A45" s="14" t="s">
        <v>147</v>
      </c>
      <c r="B45" s="64">
        <v>0</v>
      </c>
      <c r="C45" s="9"/>
    </row>
    <row r="46" spans="1:53" ht="24" customHeight="1">
      <c r="A46" s="14" t="s">
        <v>148</v>
      </c>
      <c r="B46" s="64">
        <v>202100</v>
      </c>
      <c r="C46" s="9"/>
    </row>
    <row r="47" spans="1:53" ht="24" customHeight="1">
      <c r="A47" s="22" t="s">
        <v>149</v>
      </c>
      <c r="B47" s="84"/>
      <c r="C47" s="9"/>
    </row>
    <row r="48" spans="1:53" ht="33" customHeight="1">
      <c r="A48" s="14" t="s">
        <v>144</v>
      </c>
      <c r="B48" s="40">
        <v>0</v>
      </c>
    </row>
    <row r="49" spans="1:2" ht="23.25">
      <c r="A49" s="398" t="s">
        <v>150</v>
      </c>
      <c r="B49" s="115">
        <v>0</v>
      </c>
    </row>
    <row r="50" spans="1:2" ht="23.25">
      <c r="A50" s="77" t="s">
        <v>151</v>
      </c>
      <c r="B50" s="163"/>
    </row>
    <row r="51" spans="1:2" ht="23.25">
      <c r="A51" s="14" t="s">
        <v>152</v>
      </c>
      <c r="B51" s="115">
        <v>764</v>
      </c>
    </row>
    <row r="52" spans="1:2" ht="23.25">
      <c r="A52" s="14" t="s">
        <v>153</v>
      </c>
      <c r="B52" s="115">
        <v>1575</v>
      </c>
    </row>
    <row r="53" spans="1:2" ht="23.25">
      <c r="A53" s="14" t="s">
        <v>154</v>
      </c>
      <c r="B53" s="115">
        <v>34</v>
      </c>
    </row>
    <row r="54" spans="1:2" ht="23.25">
      <c r="A54" s="14" t="s">
        <v>155</v>
      </c>
      <c r="B54" s="115">
        <v>4</v>
      </c>
    </row>
    <row r="55" spans="1:2" ht="23.25">
      <c r="A55" s="14" t="s">
        <v>156</v>
      </c>
      <c r="B55" s="115">
        <v>8191</v>
      </c>
    </row>
    <row r="56" spans="1:2" ht="23.25">
      <c r="A56" s="14" t="s">
        <v>157</v>
      </c>
      <c r="B56" s="115">
        <v>0</v>
      </c>
    </row>
    <row r="57" spans="1:2" ht="23.25">
      <c r="A57" s="14" t="s">
        <v>158</v>
      </c>
      <c r="B57" s="115">
        <v>0</v>
      </c>
    </row>
    <row r="58" spans="1:2" ht="23.25">
      <c r="A58" s="14" t="s">
        <v>159</v>
      </c>
      <c r="B58" s="115">
        <v>0</v>
      </c>
    </row>
    <row r="59" spans="1:2" ht="23.25">
      <c r="A59" s="14" t="s">
        <v>160</v>
      </c>
      <c r="B59" s="115">
        <v>0</v>
      </c>
    </row>
    <row r="60" spans="1:2" ht="23.25">
      <c r="A60" s="14" t="s">
        <v>161</v>
      </c>
      <c r="B60" s="115">
        <v>0</v>
      </c>
    </row>
    <row r="61" spans="1:2" ht="23.25">
      <c r="B61" s="163"/>
    </row>
    <row r="62" spans="1:2" ht="23.25">
      <c r="B62" s="163" t="s">
        <v>36</v>
      </c>
    </row>
    <row r="63" spans="1:2" ht="23.25">
      <c r="B63" s="163"/>
    </row>
    <row r="64" spans="1:2" ht="23.25">
      <c r="B64" s="163"/>
    </row>
    <row r="65" spans="2:2" ht="23.25">
      <c r="B65" s="163"/>
    </row>
  </sheetData>
  <sheetProtection selectLockedCells="1" selectUnlockedCells="1"/>
  <pageMargins left="0.7" right="0.7" top="0.75" bottom="0.75" header="0.51180555555555551" footer="0.51180555555555551"/>
  <pageSetup paperSize="9" scale="81" firstPageNumber="0" orientation="portrait" horizontalDpi="300" verticalDpi="300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BH92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4.85546875" customWidth="1"/>
    <col min="4" max="4" width="27.28515625" customWidth="1"/>
    <col min="5" max="5" width="1" customWidth="1"/>
    <col min="6" max="6" width="0.7109375" customWidth="1"/>
    <col min="7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415</v>
      </c>
      <c r="C2" s="8" t="s">
        <v>2</v>
      </c>
    </row>
    <row r="3" spans="1:7" ht="15">
      <c r="A3" s="6"/>
      <c r="B3" s="7" t="s">
        <v>639</v>
      </c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71</v>
      </c>
      <c r="C6" s="9"/>
    </row>
    <row r="7" spans="1:7" ht="24" customHeight="1">
      <c r="A7" s="12" t="s">
        <v>6</v>
      </c>
      <c r="B7" s="128" t="s">
        <v>640</v>
      </c>
      <c r="C7" s="9"/>
    </row>
    <row r="8" spans="1:7" ht="24" customHeight="1">
      <c r="A8" s="12"/>
      <c r="B8" s="13" t="s">
        <v>36</v>
      </c>
    </row>
    <row r="9" spans="1:7" ht="23.25" customHeight="1">
      <c r="A9" s="14" t="s">
        <v>481</v>
      </c>
      <c r="B9" s="15">
        <v>7842</v>
      </c>
      <c r="C9" s="14"/>
    </row>
    <row r="10" spans="1:7" ht="23.25" customHeight="1">
      <c r="A10" s="14" t="s">
        <v>482</v>
      </c>
      <c r="B10" s="15">
        <v>0</v>
      </c>
      <c r="C10" s="14"/>
    </row>
    <row r="11" spans="1:7" ht="23.25" customHeight="1">
      <c r="A11" s="14" t="s">
        <v>483</v>
      </c>
      <c r="B11" s="15">
        <v>0</v>
      </c>
      <c r="C11" s="14"/>
    </row>
    <row r="12" spans="1:7" ht="23.25" customHeight="1">
      <c r="A12" s="14"/>
      <c r="B12" s="15">
        <v>0</v>
      </c>
      <c r="C12" s="14"/>
    </row>
    <row r="13" spans="1:7" ht="23.25" customHeight="1">
      <c r="A13" s="14" t="s">
        <v>484</v>
      </c>
      <c r="B13" s="15">
        <v>6416.39</v>
      </c>
      <c r="C13" s="14"/>
    </row>
    <row r="14" spans="1:7" ht="23.25" customHeight="1">
      <c r="A14" s="14" t="s">
        <v>485</v>
      </c>
      <c r="B14" s="15">
        <v>6699</v>
      </c>
      <c r="C14" s="14"/>
    </row>
    <row r="15" spans="1:7" ht="23.25" customHeight="1">
      <c r="A15" s="14"/>
      <c r="B15" s="15" t="s">
        <v>36</v>
      </c>
      <c r="C15" s="14"/>
    </row>
    <row r="16" spans="1:7" ht="23.25" customHeight="1">
      <c r="A16" s="14" t="s">
        <v>486</v>
      </c>
      <c r="B16" s="15">
        <v>14.58</v>
      </c>
      <c r="C16" s="14"/>
    </row>
    <row r="17" spans="1:5" ht="23.25" customHeight="1">
      <c r="A17" s="14" t="s">
        <v>487</v>
      </c>
      <c r="B17" s="15">
        <v>85.42</v>
      </c>
      <c r="C17" s="14"/>
    </row>
    <row r="18" spans="1:5" ht="23.25" customHeight="1">
      <c r="A18" s="14" t="s">
        <v>488</v>
      </c>
      <c r="B18" s="15">
        <v>91.5</v>
      </c>
      <c r="C18" s="14"/>
    </row>
    <row r="19" spans="1:5" ht="23.25" customHeight="1">
      <c r="A19" s="14"/>
      <c r="B19" s="15" t="s">
        <v>36</v>
      </c>
      <c r="C19" s="14"/>
      <c r="E19">
        <v>2</v>
      </c>
    </row>
    <row r="20" spans="1:5" ht="23.25" customHeight="1">
      <c r="A20" s="18"/>
      <c r="B20" s="53"/>
      <c r="C20" s="14"/>
    </row>
    <row r="21" spans="1:5" ht="23.25" customHeight="1">
      <c r="A21" s="14" t="s">
        <v>489</v>
      </c>
      <c r="B21" s="15">
        <v>1735</v>
      </c>
      <c r="C21" s="14"/>
    </row>
    <row r="22" spans="1:5" ht="23.25" customHeight="1">
      <c r="A22" s="14" t="s">
        <v>490</v>
      </c>
      <c r="B22" s="15">
        <v>0</v>
      </c>
      <c r="C22" s="14"/>
    </row>
    <row r="23" spans="1:5" ht="23.25" customHeight="1">
      <c r="A23" s="14" t="s">
        <v>491</v>
      </c>
      <c r="B23" s="15">
        <f>B21</f>
        <v>1735</v>
      </c>
      <c r="C23" s="9"/>
    </row>
    <row r="24" spans="1:5" ht="23.25" customHeight="1">
      <c r="A24" s="14" t="s">
        <v>492</v>
      </c>
      <c r="B24" s="15">
        <v>0</v>
      </c>
      <c r="C24" s="15"/>
    </row>
    <row r="25" spans="1:5" ht="23.25" customHeight="1">
      <c r="A25" s="14" t="s">
        <v>493</v>
      </c>
      <c r="B25" s="15">
        <v>0</v>
      </c>
      <c r="C25" s="14"/>
    </row>
    <row r="26" spans="1:5" ht="23.25" customHeight="1">
      <c r="A26" s="14" t="s">
        <v>494</v>
      </c>
      <c r="B26" s="15">
        <v>0</v>
      </c>
      <c r="C26" s="14"/>
    </row>
    <row r="27" spans="1:5" ht="23.25" customHeight="1">
      <c r="A27" s="14" t="s">
        <v>495</v>
      </c>
      <c r="B27" s="15">
        <v>0</v>
      </c>
      <c r="C27" s="14"/>
    </row>
    <row r="28" spans="1:5" ht="23.25" customHeight="1">
      <c r="A28" s="14" t="s">
        <v>496</v>
      </c>
      <c r="B28" s="15">
        <v>0</v>
      </c>
      <c r="C28" s="14"/>
    </row>
    <row r="29" spans="1:5" ht="23.25" customHeight="1">
      <c r="A29" s="18"/>
      <c r="B29" s="53"/>
      <c r="C29" s="14"/>
    </row>
    <row r="30" spans="1:5" ht="23.25" customHeight="1">
      <c r="A30" s="14" t="s">
        <v>497</v>
      </c>
      <c r="B30" s="15">
        <v>592</v>
      </c>
      <c r="C30" s="14"/>
    </row>
    <row r="31" spans="1:5" ht="23.25" customHeight="1">
      <c r="A31" s="14" t="s">
        <v>498</v>
      </c>
      <c r="B31" s="15">
        <v>0</v>
      </c>
      <c r="C31" s="14"/>
    </row>
    <row r="32" spans="1:5" ht="23.25" customHeight="1">
      <c r="A32" s="14" t="s">
        <v>499</v>
      </c>
      <c r="B32" s="15">
        <v>0</v>
      </c>
      <c r="C32" s="14"/>
    </row>
    <row r="33" spans="1:60" ht="23.25" customHeight="1">
      <c r="A33" s="14" t="s">
        <v>500</v>
      </c>
      <c r="B33" s="15">
        <v>0</v>
      </c>
      <c r="C33" s="14"/>
    </row>
    <row r="34" spans="1:60" ht="23.25" customHeight="1">
      <c r="A34" s="14" t="s">
        <v>501</v>
      </c>
      <c r="B34" s="15">
        <v>0</v>
      </c>
      <c r="C34" s="14"/>
    </row>
    <row r="35" spans="1:60" ht="23.25" customHeight="1">
      <c r="A35" s="14" t="s">
        <v>502</v>
      </c>
      <c r="B35" s="15">
        <v>0</v>
      </c>
      <c r="C35" s="14"/>
    </row>
    <row r="36" spans="1:60" ht="23.25" customHeight="1">
      <c r="A36" s="14" t="s">
        <v>503</v>
      </c>
      <c r="B36" s="15">
        <f>B30</f>
        <v>592</v>
      </c>
      <c r="C36" s="14"/>
    </row>
    <row r="37" spans="1:60" ht="23.25" customHeight="1">
      <c r="A37" s="14" t="s">
        <v>504</v>
      </c>
      <c r="B37" s="15">
        <v>0</v>
      </c>
      <c r="C37" s="14"/>
    </row>
    <row r="38" spans="1:60" s="138" customFormat="1" ht="23.25" customHeight="1">
      <c r="A38" s="130"/>
      <c r="B38" s="130"/>
      <c r="C38" s="130"/>
    </row>
    <row r="39" spans="1:60" ht="23.25" customHeight="1">
      <c r="A39" s="14" t="s">
        <v>505</v>
      </c>
      <c r="B39" s="15">
        <f>B23</f>
        <v>1735</v>
      </c>
      <c r="C39" s="14"/>
    </row>
    <row r="40" spans="1:60" ht="23.25" customHeight="1">
      <c r="A40" s="14" t="s">
        <v>506</v>
      </c>
      <c r="B40" s="15">
        <v>0</v>
      </c>
      <c r="C40" s="14"/>
    </row>
    <row r="41" spans="1:60" ht="23.25" customHeight="1">
      <c r="A41" s="14" t="s">
        <v>507</v>
      </c>
      <c r="B41" s="15">
        <v>0</v>
      </c>
      <c r="C41" s="14"/>
    </row>
    <row r="42" spans="1:60" ht="24" customHeight="1">
      <c r="A42" s="14" t="s">
        <v>508</v>
      </c>
      <c r="B42" s="15">
        <f>B39</f>
        <v>1735</v>
      </c>
      <c r="C42" s="9"/>
      <c r="AZ42" s="16"/>
      <c r="BA42" s="16"/>
      <c r="BB42" s="16"/>
      <c r="BC42" s="16"/>
      <c r="BD42" s="16"/>
      <c r="BE42" s="16"/>
      <c r="BF42" s="16"/>
      <c r="BG42" s="16"/>
      <c r="BH42" s="16"/>
    </row>
    <row r="43" spans="1:60" ht="23.25" customHeight="1">
      <c r="A43" s="14" t="s">
        <v>509</v>
      </c>
      <c r="B43" s="15">
        <f>B42</f>
        <v>1735</v>
      </c>
      <c r="C43" s="14"/>
    </row>
    <row r="44" spans="1:60" ht="23.25" customHeight="1">
      <c r="A44" s="14" t="s">
        <v>510</v>
      </c>
      <c r="B44" s="15">
        <v>0</v>
      </c>
      <c r="C44" s="14"/>
    </row>
    <row r="45" spans="1:60" ht="23.25" customHeight="1">
      <c r="A45" s="14"/>
      <c r="B45" s="15" t="s">
        <v>36</v>
      </c>
      <c r="C45" s="14"/>
    </row>
    <row r="46" spans="1:60" ht="23.25" customHeight="1">
      <c r="A46" s="14" t="s">
        <v>511</v>
      </c>
      <c r="B46" s="15">
        <v>0</v>
      </c>
      <c r="C46" s="14"/>
    </row>
    <row r="47" spans="1:60" ht="23.25" customHeight="1">
      <c r="A47" s="14"/>
      <c r="B47" s="15"/>
      <c r="C47" s="14"/>
    </row>
    <row r="48" spans="1:60" ht="23.25" customHeight="1">
      <c r="A48" s="14" t="s">
        <v>512</v>
      </c>
      <c r="B48" s="15">
        <v>6208</v>
      </c>
      <c r="C48" s="14"/>
    </row>
    <row r="49" spans="1:3" ht="23.25" customHeight="1">
      <c r="A49" s="14" t="s">
        <v>513</v>
      </c>
      <c r="B49" s="15">
        <v>2485</v>
      </c>
      <c r="C49" s="14"/>
    </row>
    <row r="50" spans="1:3" ht="23.25" customHeight="1">
      <c r="A50" s="14" t="s">
        <v>514</v>
      </c>
      <c r="B50" s="15">
        <v>3723</v>
      </c>
      <c r="C50" s="14"/>
    </row>
    <row r="51" spans="1:3" ht="23.25">
      <c r="A51" s="18"/>
      <c r="B51" s="53"/>
      <c r="C51" s="20"/>
    </row>
    <row r="52" spans="1:3" ht="23.25" customHeight="1">
      <c r="A52" s="14" t="s">
        <v>515</v>
      </c>
      <c r="B52" s="15">
        <v>0</v>
      </c>
      <c r="C52" s="14"/>
    </row>
    <row r="53" spans="1:3" ht="23.25" customHeight="1">
      <c r="A53" s="14" t="s">
        <v>516</v>
      </c>
      <c r="B53" s="15">
        <v>0</v>
      </c>
      <c r="C53" s="14"/>
    </row>
    <row r="54" spans="1:3" ht="23.25" customHeight="1">
      <c r="A54" s="14" t="s">
        <v>517</v>
      </c>
      <c r="B54" s="15">
        <v>0</v>
      </c>
      <c r="C54" s="14"/>
    </row>
    <row r="55" spans="1:3" ht="23.25" customHeight="1">
      <c r="A55" s="14" t="s">
        <v>518</v>
      </c>
      <c r="B55" s="15">
        <v>0</v>
      </c>
      <c r="C55" s="14"/>
    </row>
    <row r="56" spans="1:3" ht="23.25" customHeight="1">
      <c r="A56" s="14" t="s">
        <v>519</v>
      </c>
      <c r="B56" s="15">
        <v>0</v>
      </c>
      <c r="C56" s="14"/>
    </row>
    <row r="57" spans="1:3" ht="23.25" customHeight="1">
      <c r="A57" s="14" t="s">
        <v>520</v>
      </c>
      <c r="B57" s="15">
        <v>0</v>
      </c>
      <c r="C57" s="14"/>
    </row>
    <row r="58" spans="1:3" ht="23.25" customHeight="1">
      <c r="A58" s="14" t="s">
        <v>521</v>
      </c>
      <c r="B58" s="15">
        <v>0</v>
      </c>
      <c r="C58" s="14"/>
    </row>
    <row r="59" spans="1:3" ht="23.25" customHeight="1">
      <c r="A59" s="14"/>
      <c r="B59" s="15" t="s">
        <v>36</v>
      </c>
      <c r="C59" s="14"/>
    </row>
    <row r="60" spans="1:3" ht="23.25" customHeight="1">
      <c r="A60" s="14" t="s">
        <v>522</v>
      </c>
      <c r="B60" s="15">
        <v>0</v>
      </c>
      <c r="C60" s="14"/>
    </row>
    <row r="61" spans="1:3" ht="23.25" customHeight="1">
      <c r="A61" s="14" t="s">
        <v>523</v>
      </c>
      <c r="B61" s="15">
        <v>592</v>
      </c>
      <c r="C61" s="14"/>
    </row>
    <row r="62" spans="1:3" ht="23.25" customHeight="1">
      <c r="A62" s="14"/>
      <c r="B62" s="15"/>
      <c r="C62" s="14"/>
    </row>
    <row r="63" spans="1:3" ht="23.25" customHeight="1">
      <c r="A63" s="14" t="s">
        <v>524</v>
      </c>
      <c r="B63" s="15">
        <v>0</v>
      </c>
      <c r="C63" s="14"/>
    </row>
    <row r="64" spans="1:3" ht="23.25" customHeight="1">
      <c r="A64" s="14" t="s">
        <v>525</v>
      </c>
      <c r="B64" s="15">
        <v>0</v>
      </c>
      <c r="C64" s="14"/>
    </row>
    <row r="65" spans="1:4" ht="23.25" customHeight="1">
      <c r="A65" s="14" t="s">
        <v>526</v>
      </c>
      <c r="B65" s="15">
        <v>0</v>
      </c>
      <c r="C65" s="14"/>
    </row>
    <row r="66" spans="1:4" ht="23.25" customHeight="1">
      <c r="A66" s="130"/>
      <c r="B66" s="34" t="s">
        <v>36</v>
      </c>
      <c r="C66" s="130"/>
      <c r="D66" s="138"/>
    </row>
    <row r="67" spans="1:4" ht="23.25" customHeight="1">
      <c r="A67" s="14" t="s">
        <v>496</v>
      </c>
      <c r="B67" s="15">
        <v>0</v>
      </c>
      <c r="C67" s="14"/>
    </row>
    <row r="68" spans="1:4" ht="23.25" customHeight="1">
      <c r="A68" s="14" t="s">
        <v>527</v>
      </c>
      <c r="B68" s="15">
        <v>0</v>
      </c>
      <c r="C68" s="14"/>
    </row>
    <row r="69" spans="1:4" ht="23.25" customHeight="1">
      <c r="A69" s="14" t="s">
        <v>528</v>
      </c>
      <c r="B69" s="15">
        <v>0</v>
      </c>
      <c r="C69" s="14"/>
    </row>
    <row r="70" spans="1:4" ht="23.25" customHeight="1">
      <c r="A70" s="14" t="s">
        <v>529</v>
      </c>
      <c r="B70" s="15">
        <v>0</v>
      </c>
      <c r="C70" s="14"/>
    </row>
    <row r="71" spans="1:4" ht="23.25" customHeight="1">
      <c r="A71" s="14" t="s">
        <v>530</v>
      </c>
      <c r="B71" s="15">
        <v>0</v>
      </c>
      <c r="C71" s="14"/>
    </row>
    <row r="72" spans="1:4" ht="23.25" customHeight="1">
      <c r="A72" s="14" t="s">
        <v>531</v>
      </c>
      <c r="B72" s="15">
        <v>0</v>
      </c>
      <c r="C72" s="14"/>
    </row>
    <row r="73" spans="1:4" ht="23.25" customHeight="1">
      <c r="A73" s="14"/>
      <c r="B73" s="15"/>
      <c r="C73" s="14"/>
    </row>
    <row r="74" spans="1:4" ht="23.25" customHeight="1">
      <c r="A74" s="14" t="s">
        <v>532</v>
      </c>
      <c r="B74" s="15">
        <v>0</v>
      </c>
      <c r="C74" s="14"/>
    </row>
    <row r="75" spans="1:4" ht="23.25" customHeight="1">
      <c r="A75" s="14" t="s">
        <v>533</v>
      </c>
      <c r="B75" s="15">
        <v>0</v>
      </c>
      <c r="C75" s="14"/>
    </row>
    <row r="76" spans="1:4" ht="23.25" customHeight="1">
      <c r="A76" s="14" t="s">
        <v>534</v>
      </c>
      <c r="B76" s="15">
        <v>0</v>
      </c>
      <c r="C76" s="14"/>
    </row>
    <row r="77" spans="1:4" ht="23.25" customHeight="1">
      <c r="A77" s="14" t="s">
        <v>535</v>
      </c>
      <c r="B77" s="15">
        <v>0</v>
      </c>
      <c r="C77" s="14"/>
    </row>
    <row r="78" spans="1:4" ht="23.25" customHeight="1">
      <c r="A78" s="14"/>
      <c r="B78" s="15"/>
      <c r="C78" s="14"/>
    </row>
    <row r="79" spans="1:4" ht="23.25">
      <c r="A79" s="14" t="s">
        <v>536</v>
      </c>
      <c r="B79" s="15">
        <v>0</v>
      </c>
      <c r="C79" s="14"/>
    </row>
    <row r="80" spans="1:4" ht="23.25">
      <c r="A80" s="14" t="s">
        <v>537</v>
      </c>
      <c r="B80" s="15">
        <v>0</v>
      </c>
      <c r="C80" s="14"/>
    </row>
    <row r="81" spans="1:6" ht="23.25">
      <c r="A81" s="14" t="s">
        <v>538</v>
      </c>
      <c r="B81" s="15">
        <v>0</v>
      </c>
      <c r="C81" s="14"/>
    </row>
    <row r="82" spans="1:6" ht="23.25">
      <c r="A82" s="63" t="s">
        <v>539</v>
      </c>
      <c r="B82" s="15">
        <v>282.61</v>
      </c>
      <c r="C82" s="14"/>
    </row>
    <row r="83" spans="1:6" ht="23.25">
      <c r="A83" s="14"/>
      <c r="B83" s="15"/>
      <c r="C83" s="14"/>
    </row>
    <row r="84" spans="1:6" ht="23.25">
      <c r="A84" s="14"/>
      <c r="B84" s="15"/>
      <c r="C84" s="14"/>
    </row>
    <row r="86" spans="1:6">
      <c r="A86" s="1" t="s">
        <v>540</v>
      </c>
    </row>
    <row r="87" spans="1:6" ht="15">
      <c r="B87" s="248" t="s">
        <v>36</v>
      </c>
      <c r="C87" s="82"/>
      <c r="D87" s="9"/>
      <c r="E87" s="9"/>
      <c r="F87" s="9"/>
    </row>
    <row r="88" spans="1:6" ht="23.25">
      <c r="A88" s="103" t="s">
        <v>641</v>
      </c>
      <c r="B88" s="26">
        <v>13.7</v>
      </c>
      <c r="C88" s="82"/>
      <c r="D88" s="26">
        <v>11.14</v>
      </c>
      <c r="E88" s="9"/>
      <c r="F88" s="9"/>
    </row>
    <row r="89" spans="1:6" ht="23.25">
      <c r="A89" s="103" t="s">
        <v>642</v>
      </c>
      <c r="B89" s="26">
        <v>60.93</v>
      </c>
      <c r="C89" s="82"/>
      <c r="D89" s="26">
        <v>60.93</v>
      </c>
      <c r="E89" s="9"/>
      <c r="F89" s="9"/>
    </row>
    <row r="90" spans="1:6" ht="23.25">
      <c r="A90" s="103" t="s">
        <v>643</v>
      </c>
      <c r="B90" s="26">
        <v>108.19</v>
      </c>
      <c r="C90" s="82"/>
      <c r="D90" s="26">
        <v>108.19</v>
      </c>
      <c r="E90" s="9"/>
      <c r="F90" s="9"/>
    </row>
    <row r="91" spans="1:6" ht="23.25">
      <c r="A91" s="103" t="s">
        <v>644</v>
      </c>
      <c r="B91" s="26">
        <v>1005.46</v>
      </c>
      <c r="C91" s="82"/>
      <c r="D91" s="26">
        <v>1005.46</v>
      </c>
      <c r="E91" s="9"/>
      <c r="F91" s="9"/>
    </row>
    <row r="92" spans="1:6" ht="23.25">
      <c r="A92" s="103"/>
      <c r="B92" s="26"/>
      <c r="C92" s="82"/>
      <c r="D92" s="9"/>
      <c r="E92" s="9"/>
      <c r="F92" s="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BH117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5" customWidth="1"/>
    <col min="6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s="8" t="s">
        <v>2</v>
      </c>
    </row>
    <row r="3" spans="1:7" ht="15">
      <c r="A3" s="6"/>
      <c r="B3" s="7"/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72</v>
      </c>
      <c r="C6" s="9"/>
    </row>
    <row r="7" spans="1:7" ht="24" customHeight="1">
      <c r="A7" s="12" t="s">
        <v>6</v>
      </c>
      <c r="B7" s="128" t="s">
        <v>329</v>
      </c>
      <c r="C7" s="9"/>
    </row>
    <row r="8" spans="1:7" ht="24" customHeight="1">
      <c r="A8" s="12"/>
      <c r="B8" s="13" t="s">
        <v>256</v>
      </c>
      <c r="C8" s="129" t="s">
        <v>257</v>
      </c>
    </row>
    <row r="9" spans="1:7" ht="23.25" customHeight="1">
      <c r="A9" s="130" t="s">
        <v>24</v>
      </c>
      <c r="B9" s="34">
        <f>C9/E9</f>
        <v>53924</v>
      </c>
      <c r="C9" s="131">
        <v>5392400</v>
      </c>
      <c r="E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</row>
    <row r="11" spans="1:7" ht="23.25" customHeight="1">
      <c r="A11" s="14" t="s">
        <v>231</v>
      </c>
      <c r="B11" s="15">
        <f>C11/E11</f>
        <v>53924</v>
      </c>
      <c r="C11" s="133">
        <f>C9</f>
        <v>5392400</v>
      </c>
      <c r="E11" s="132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v>0</v>
      </c>
      <c r="C13" s="133">
        <v>0</v>
      </c>
    </row>
    <row r="14" spans="1:7" ht="23.25" customHeight="1">
      <c r="A14" s="14" t="s">
        <v>261</v>
      </c>
      <c r="B14" s="15">
        <v>0</v>
      </c>
      <c r="C14" s="133">
        <v>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5" ht="23.25" customHeight="1">
      <c r="A17" s="14" t="s">
        <v>264</v>
      </c>
      <c r="B17" s="15">
        <v>0</v>
      </c>
      <c r="C17" s="133">
        <v>0</v>
      </c>
    </row>
    <row r="18" spans="1:5" ht="23.25" customHeight="1">
      <c r="A18" s="130" t="s">
        <v>265</v>
      </c>
      <c r="B18" s="34">
        <f>C18/E18</f>
        <v>43708.160000000003</v>
      </c>
      <c r="C18" s="131">
        <v>4370816</v>
      </c>
      <c r="E18" s="132">
        <v>100</v>
      </c>
    </row>
    <row r="19" spans="1:5" ht="23.25" customHeight="1">
      <c r="A19" s="14" t="s">
        <v>266</v>
      </c>
      <c r="B19" s="15">
        <v>0</v>
      </c>
      <c r="C19" s="133">
        <v>0</v>
      </c>
    </row>
    <row r="20" spans="1:5" ht="23.25" customHeight="1">
      <c r="A20" s="14" t="s">
        <v>267</v>
      </c>
      <c r="B20" s="15">
        <f>B18</f>
        <v>43708.160000000003</v>
      </c>
      <c r="C20" s="133">
        <f>C18</f>
        <v>4370816</v>
      </c>
    </row>
    <row r="21" spans="1:5" ht="23.25" customHeight="1">
      <c r="A21" s="14" t="s">
        <v>268</v>
      </c>
      <c r="B21" s="15">
        <v>0</v>
      </c>
      <c r="C21" s="133">
        <v>0</v>
      </c>
    </row>
    <row r="22" spans="1:5" ht="23.25" customHeight="1">
      <c r="A22" s="14" t="s">
        <v>269</v>
      </c>
      <c r="B22" s="15">
        <v>0</v>
      </c>
      <c r="C22" s="133">
        <v>0</v>
      </c>
    </row>
    <row r="23" spans="1:5" ht="23.25" customHeight="1">
      <c r="A23" s="14" t="s">
        <v>270</v>
      </c>
      <c r="B23" s="15">
        <v>0</v>
      </c>
      <c r="C23" s="133">
        <v>0</v>
      </c>
    </row>
    <row r="24" spans="1:5" ht="23.25" customHeight="1">
      <c r="A24" s="14" t="s">
        <v>271</v>
      </c>
      <c r="B24" s="15">
        <v>0</v>
      </c>
      <c r="C24" s="133">
        <v>0</v>
      </c>
    </row>
    <row r="25" spans="1:5" ht="23.25" customHeight="1">
      <c r="A25" s="14" t="s">
        <v>272</v>
      </c>
      <c r="B25" s="15">
        <v>0</v>
      </c>
      <c r="C25" s="133">
        <v>0</v>
      </c>
    </row>
    <row r="26" spans="1:5" ht="23.25" customHeight="1">
      <c r="A26" s="14" t="s">
        <v>273</v>
      </c>
      <c r="B26" s="15">
        <v>0</v>
      </c>
      <c r="C26" s="133">
        <v>0</v>
      </c>
    </row>
    <row r="27" spans="1:5" ht="23.25" customHeight="1">
      <c r="A27" s="14" t="s">
        <v>274</v>
      </c>
      <c r="B27" s="15">
        <v>0</v>
      </c>
      <c r="C27" s="133">
        <v>0</v>
      </c>
    </row>
    <row r="28" spans="1:5" ht="23.25" customHeight="1">
      <c r="A28" s="80" t="s">
        <v>275</v>
      </c>
      <c r="B28" s="134">
        <v>10215.84</v>
      </c>
      <c r="C28" s="133"/>
      <c r="E28" s="133"/>
    </row>
    <row r="29" spans="1:5" ht="23.25" customHeight="1">
      <c r="A29" s="14" t="s">
        <v>276</v>
      </c>
      <c r="B29" s="14"/>
      <c r="C29" s="133">
        <v>21834315</v>
      </c>
    </row>
    <row r="30" spans="1:5" ht="23.25" customHeight="1">
      <c r="A30" s="14" t="s">
        <v>277</v>
      </c>
      <c r="B30" s="15">
        <v>0</v>
      </c>
      <c r="C30" s="133">
        <v>20812731</v>
      </c>
    </row>
    <row r="31" spans="1:5" ht="23.25" customHeight="1">
      <c r="A31" s="14" t="s">
        <v>278</v>
      </c>
      <c r="B31" s="15">
        <v>0</v>
      </c>
      <c r="C31" s="133">
        <f>C30</f>
        <v>20812731</v>
      </c>
    </row>
    <row r="32" spans="1:5" ht="23.25" customHeight="1">
      <c r="A32" s="14" t="s">
        <v>279</v>
      </c>
      <c r="B32" s="25">
        <v>0</v>
      </c>
      <c r="C32" s="133">
        <v>0</v>
      </c>
    </row>
    <row r="33" spans="1:60" ht="23.25" customHeight="1">
      <c r="A33" s="22" t="s">
        <v>280</v>
      </c>
      <c r="B33" s="117">
        <v>0.95320000000000005</v>
      </c>
      <c r="C33" s="133"/>
    </row>
    <row r="34" spans="1:60" ht="23.25" customHeight="1">
      <c r="A34" s="61" t="s">
        <v>125</v>
      </c>
      <c r="B34" s="26"/>
      <c r="C34" s="135">
        <v>450001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2</v>
      </c>
      <c r="D71" s="147">
        <v>10000</v>
      </c>
      <c r="E71" s="148">
        <v>100</v>
      </c>
    </row>
    <row r="72" spans="1:5" ht="23.25" hidden="1" customHeight="1">
      <c r="A72" s="146">
        <v>7</v>
      </c>
      <c r="B72" s="146">
        <v>100</v>
      </c>
      <c r="C72" s="147">
        <v>14</v>
      </c>
      <c r="D72" s="147">
        <v>140000</v>
      </c>
      <c r="E72" s="148">
        <v>1400</v>
      </c>
    </row>
    <row r="73" spans="1:5" ht="23.25" hidden="1" customHeight="1">
      <c r="B73" s="78" t="s">
        <v>68</v>
      </c>
      <c r="C73" s="147">
        <v>24</v>
      </c>
      <c r="D73" s="147">
        <v>157200</v>
      </c>
      <c r="E73" s="148">
        <v>1572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4" ht="23.25" hidden="1">
      <c r="A97" s="14" t="s">
        <v>319</v>
      </c>
      <c r="B97" s="115">
        <v>0</v>
      </c>
      <c r="C97" s="26">
        <v>0</v>
      </c>
      <c r="D97" s="9"/>
    </row>
    <row r="98" spans="1:4" ht="23.25" hidden="1">
      <c r="A98" s="22"/>
      <c r="B98" s="153"/>
      <c r="C98" s="24"/>
      <c r="D98" s="24"/>
    </row>
    <row r="99" spans="1:4" ht="23.25">
      <c r="B99" s="78" t="s">
        <v>321</v>
      </c>
    </row>
    <row r="101" spans="1:4" ht="23.25">
      <c r="B101" s="154" t="s">
        <v>136</v>
      </c>
      <c r="C101" s="399">
        <v>53924</v>
      </c>
    </row>
    <row r="103" spans="1:4" ht="23.25">
      <c r="B103" s="14" t="s">
        <v>322</v>
      </c>
      <c r="C103" s="26">
        <v>43708</v>
      </c>
    </row>
    <row r="105" spans="1:4" ht="23.25">
      <c r="B105" s="14" t="s">
        <v>323</v>
      </c>
      <c r="C105" s="26">
        <v>218343</v>
      </c>
    </row>
    <row r="107" spans="1:4" ht="23.25">
      <c r="B107" s="14" t="s">
        <v>324</v>
      </c>
      <c r="C107" s="26">
        <v>450001</v>
      </c>
    </row>
    <row r="109" spans="1:4" ht="23.25">
      <c r="B109" s="14" t="s">
        <v>325</v>
      </c>
      <c r="C109" s="26">
        <v>0</v>
      </c>
    </row>
    <row r="111" spans="1:4" ht="23.25">
      <c r="B111" s="14" t="s">
        <v>326</v>
      </c>
      <c r="C111" s="26">
        <v>0</v>
      </c>
    </row>
    <row r="113" spans="1:3" ht="23.25">
      <c r="A113"/>
      <c r="B113" s="14" t="s">
        <v>327</v>
      </c>
      <c r="C113" s="26">
        <f>C103</f>
        <v>43708</v>
      </c>
    </row>
    <row r="115" spans="1:3" ht="23.25">
      <c r="A115"/>
      <c r="B115" s="14" t="s">
        <v>328</v>
      </c>
      <c r="C115" s="26">
        <f>C101</f>
        <v>53924</v>
      </c>
    </row>
    <row r="117" spans="1:3" ht="23.25">
      <c r="A117"/>
      <c r="B117" s="14"/>
      <c r="C117" s="2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BH114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4.7109375" customWidth="1"/>
    <col min="6" max="6" width="10" customWidth="1"/>
    <col min="7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t="s">
        <v>2</v>
      </c>
    </row>
    <row r="3" spans="1:7" ht="15">
      <c r="A3" s="6"/>
      <c r="B3" s="7"/>
    </row>
    <row r="4" spans="1:7" ht="15">
      <c r="A4" s="6" t="s">
        <v>4</v>
      </c>
      <c r="B4" s="10">
        <v>0.01</v>
      </c>
      <c r="G4">
        <v>2</v>
      </c>
    </row>
    <row r="6" spans="1:7" ht="21" customHeight="1">
      <c r="A6" s="11" t="s">
        <v>5</v>
      </c>
      <c r="B6" s="38">
        <v>72</v>
      </c>
    </row>
    <row r="7" spans="1:7" ht="24" customHeight="1">
      <c r="A7" s="12" t="s">
        <v>6</v>
      </c>
      <c r="B7" s="128" t="s">
        <v>329</v>
      </c>
    </row>
    <row r="8" spans="1:7" ht="24" customHeight="1">
      <c r="A8" s="12"/>
      <c r="B8" s="13" t="s">
        <v>256</v>
      </c>
      <c r="C8" s="129" t="s">
        <v>257</v>
      </c>
    </row>
    <row r="9" spans="1:7" ht="23.25" customHeight="1">
      <c r="A9" s="130" t="s">
        <v>24</v>
      </c>
      <c r="B9" s="34">
        <f>C9/F9</f>
        <v>5957.2</v>
      </c>
      <c r="C9" s="133">
        <v>595720</v>
      </c>
      <c r="F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  <c r="F10">
        <v>100</v>
      </c>
    </row>
    <row r="11" spans="1:7" ht="23.25" customHeight="1">
      <c r="A11" s="14" t="s">
        <v>231</v>
      </c>
      <c r="B11" s="15">
        <f>C11/F11</f>
        <v>3711</v>
      </c>
      <c r="C11" s="133">
        <v>371100</v>
      </c>
      <c r="E11" s="132" t="b">
        <f>C9=C11+C13</f>
        <v>1</v>
      </c>
      <c r="F11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f>C13/F13</f>
        <v>2246.1999999999998</v>
      </c>
      <c r="C13" s="133">
        <v>224620</v>
      </c>
      <c r="F13">
        <v>100</v>
      </c>
    </row>
    <row r="14" spans="1:7" ht="23.25" customHeight="1">
      <c r="A14" s="14" t="s">
        <v>261</v>
      </c>
      <c r="B14" s="15">
        <f>C14/F14</f>
        <v>2246.1999999999998</v>
      </c>
      <c r="C14" s="133">
        <f>C13</f>
        <v>224620</v>
      </c>
      <c r="F14">
        <v>100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6" ht="23.25" customHeight="1">
      <c r="A17" s="14" t="s">
        <v>264</v>
      </c>
      <c r="B17" s="15">
        <v>0</v>
      </c>
      <c r="C17" s="133">
        <v>0</v>
      </c>
    </row>
    <row r="18" spans="1:6" ht="23.25" customHeight="1">
      <c r="A18" s="130" t="s">
        <v>265</v>
      </c>
      <c r="B18" s="34">
        <f>C18/F18</f>
        <v>7837.24</v>
      </c>
      <c r="C18" s="131">
        <v>783724</v>
      </c>
      <c r="E18" s="132" t="b">
        <f>C18=C20+C23</f>
        <v>1</v>
      </c>
      <c r="F18" s="132">
        <v>100</v>
      </c>
    </row>
    <row r="19" spans="1:6" ht="23.25" customHeight="1">
      <c r="A19" s="14" t="s">
        <v>266</v>
      </c>
      <c r="B19" s="15">
        <v>0</v>
      </c>
      <c r="C19" s="133">
        <v>0</v>
      </c>
      <c r="E19">
        <v>2</v>
      </c>
    </row>
    <row r="20" spans="1:6" ht="23.25" customHeight="1">
      <c r="A20" s="14" t="s">
        <v>267</v>
      </c>
      <c r="B20" s="15"/>
      <c r="C20" s="133">
        <v>0</v>
      </c>
    </row>
    <row r="21" spans="1:6" ht="23.25" customHeight="1">
      <c r="A21" s="14" t="s">
        <v>268</v>
      </c>
      <c r="B21" s="15">
        <v>0</v>
      </c>
      <c r="C21" s="133">
        <v>0</v>
      </c>
    </row>
    <row r="22" spans="1:6" ht="23.25" customHeight="1">
      <c r="A22" s="14" t="s">
        <v>269</v>
      </c>
      <c r="B22" s="15">
        <v>0</v>
      </c>
      <c r="C22" s="133">
        <v>0</v>
      </c>
    </row>
    <row r="23" spans="1:6" ht="23.25" customHeight="1">
      <c r="A23" s="14" t="s">
        <v>270</v>
      </c>
      <c r="B23" s="15">
        <f>C23/F23</f>
        <v>7837.24</v>
      </c>
      <c r="C23" s="133">
        <f>C18</f>
        <v>783724</v>
      </c>
      <c r="F23">
        <v>100</v>
      </c>
    </row>
    <row r="24" spans="1:6" ht="23.25" customHeight="1">
      <c r="A24" s="14" t="s">
        <v>271</v>
      </c>
      <c r="B24" s="15">
        <f>C24/F24</f>
        <v>7837.24</v>
      </c>
      <c r="C24" s="133">
        <f>C23</f>
        <v>783724</v>
      </c>
      <c r="F24">
        <v>100</v>
      </c>
    </row>
    <row r="25" spans="1:6" ht="23.25" customHeight="1">
      <c r="A25" s="14" t="s">
        <v>272</v>
      </c>
      <c r="B25" s="15">
        <v>0</v>
      </c>
      <c r="C25" s="133">
        <v>0</v>
      </c>
    </row>
    <row r="26" spans="1:6" ht="23.25" customHeight="1">
      <c r="A26" s="14" t="s">
        <v>273</v>
      </c>
      <c r="B26" s="15">
        <v>0</v>
      </c>
      <c r="C26" s="133">
        <v>0</v>
      </c>
    </row>
    <row r="27" spans="1:6" ht="23.25" customHeight="1">
      <c r="A27" s="14" t="s">
        <v>274</v>
      </c>
      <c r="B27" s="15">
        <v>0</v>
      </c>
      <c r="C27" s="133">
        <v>0</v>
      </c>
    </row>
    <row r="28" spans="1:6" ht="23.25" customHeight="1">
      <c r="A28" s="80" t="s">
        <v>275</v>
      </c>
      <c r="B28" s="134">
        <v>-1880.05</v>
      </c>
      <c r="C28" s="133"/>
      <c r="E28" s="133"/>
    </row>
    <row r="29" spans="1:6" ht="23.25" customHeight="1">
      <c r="A29" s="14" t="s">
        <v>276</v>
      </c>
      <c r="B29" s="14"/>
      <c r="C29" s="133">
        <v>0</v>
      </c>
    </row>
    <row r="30" spans="1:6" ht="23.25" customHeight="1">
      <c r="A30" s="14" t="s">
        <v>277</v>
      </c>
      <c r="B30" s="15">
        <v>0</v>
      </c>
      <c r="C30" s="133">
        <v>3693402</v>
      </c>
      <c r="E30">
        <v>100</v>
      </c>
    </row>
    <row r="31" spans="1:6" ht="23.25" customHeight="1">
      <c r="A31" s="14" t="s">
        <v>278</v>
      </c>
      <c r="B31" s="15">
        <v>0</v>
      </c>
      <c r="C31" s="133">
        <v>3881407</v>
      </c>
      <c r="E31">
        <v>100</v>
      </c>
    </row>
    <row r="32" spans="1:6" ht="23.25" customHeight="1">
      <c r="A32" s="14" t="s">
        <v>279</v>
      </c>
      <c r="B32" s="15">
        <v>0</v>
      </c>
      <c r="C32" s="133">
        <f>C31</f>
        <v>3881407</v>
      </c>
      <c r="E32">
        <v>100</v>
      </c>
    </row>
    <row r="33" spans="1:60" ht="23.25" customHeight="1">
      <c r="A33" s="22" t="s">
        <v>280</v>
      </c>
      <c r="B33" s="117">
        <v>1.0508999999999999</v>
      </c>
      <c r="C33" s="133"/>
    </row>
    <row r="34" spans="1:60" ht="23.25" customHeight="1">
      <c r="A34" s="61" t="s">
        <v>125</v>
      </c>
      <c r="B34" s="26"/>
      <c r="C34" s="135">
        <v>60178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6</v>
      </c>
      <c r="D71" s="147">
        <v>30000</v>
      </c>
      <c r="E71" s="148">
        <v>300</v>
      </c>
    </row>
    <row r="72" spans="1:5" ht="23.25" hidden="1" customHeight="1">
      <c r="A72" s="146">
        <v>7</v>
      </c>
      <c r="B72" s="146">
        <v>100</v>
      </c>
      <c r="C72" s="147">
        <v>25</v>
      </c>
      <c r="D72" s="147">
        <v>250000</v>
      </c>
      <c r="E72" s="148">
        <v>2500</v>
      </c>
    </row>
    <row r="73" spans="1:5" ht="23.25" hidden="1" customHeight="1">
      <c r="B73" s="78" t="s">
        <v>68</v>
      </c>
      <c r="C73" s="147">
        <v>39</v>
      </c>
      <c r="D73" s="147">
        <v>287200</v>
      </c>
      <c r="E73" s="148">
        <v>2872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6" ht="23.25" hidden="1">
      <c r="A97" s="14" t="s">
        <v>319</v>
      </c>
      <c r="B97" s="115">
        <v>0</v>
      </c>
      <c r="C97" s="26">
        <v>0</v>
      </c>
      <c r="D97" s="9"/>
    </row>
    <row r="98" spans="1:6" ht="23.25">
      <c r="A98" s="22"/>
      <c r="B98" s="153"/>
      <c r="C98" s="24"/>
      <c r="D98" s="24"/>
    </row>
    <row r="99" spans="1:6" ht="15">
      <c r="A99" s="1100" t="s">
        <v>321</v>
      </c>
      <c r="B99" s="1100"/>
    </row>
    <row r="100" spans="1:6" ht="23.25">
      <c r="A100" s="14" t="s">
        <v>645</v>
      </c>
      <c r="B100" s="26">
        <v>5957</v>
      </c>
    </row>
    <row r="101" spans="1:6" ht="15">
      <c r="A101" s="400"/>
      <c r="B101" s="401"/>
    </row>
    <row r="102" spans="1:6" ht="23.25">
      <c r="A102" s="14" t="s">
        <v>322</v>
      </c>
      <c r="B102" s="26">
        <v>7837</v>
      </c>
      <c r="D102" s="132"/>
      <c r="E102" s="16"/>
      <c r="F102" s="16"/>
    </row>
    <row r="103" spans="1:6" ht="15">
      <c r="A103" s="400"/>
      <c r="B103" s="401"/>
    </row>
    <row r="104" spans="1:6" ht="23.25">
      <c r="A104" s="14" t="s">
        <v>323</v>
      </c>
      <c r="B104" s="26">
        <v>36934</v>
      </c>
    </row>
    <row r="105" spans="1:6" ht="15">
      <c r="A105" s="400"/>
      <c r="B105" s="401"/>
    </row>
    <row r="106" spans="1:6" ht="23.25">
      <c r="A106" s="14" t="s">
        <v>324</v>
      </c>
      <c r="B106" s="26">
        <v>60178</v>
      </c>
    </row>
    <row r="107" spans="1:6">
      <c r="A107" s="14"/>
      <c r="B107" s="401"/>
    </row>
    <row r="108" spans="1:6" ht="23.25">
      <c r="A108" s="14" t="s">
        <v>325</v>
      </c>
      <c r="B108" s="26">
        <v>0</v>
      </c>
    </row>
    <row r="109" spans="1:6" ht="15">
      <c r="A109" s="400"/>
      <c r="B109" s="401"/>
    </row>
    <row r="110" spans="1:6" ht="23.25">
      <c r="A110" s="14" t="s">
        <v>326</v>
      </c>
      <c r="B110" s="26">
        <v>0</v>
      </c>
    </row>
    <row r="111" spans="1:6" ht="15">
      <c r="A111" s="400"/>
      <c r="B111" s="401"/>
    </row>
    <row r="112" spans="1:6" ht="23.25">
      <c r="A112" s="14" t="s">
        <v>327</v>
      </c>
      <c r="B112" s="26">
        <v>0</v>
      </c>
    </row>
    <row r="113" spans="1:2" ht="15">
      <c r="A113" s="400"/>
      <c r="B113" s="401"/>
    </row>
    <row r="114" spans="1:2" ht="23.25">
      <c r="A114" s="14" t="s">
        <v>328</v>
      </c>
      <c r="B114" s="26">
        <v>3711</v>
      </c>
    </row>
  </sheetData>
  <sheetProtection selectLockedCells="1" selectUnlockedCells="1"/>
  <mergeCells count="1">
    <mergeCell ref="A99:B99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BH114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4.7109375" customWidth="1"/>
    <col min="6" max="6" width="10" customWidth="1"/>
    <col min="7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t="s">
        <v>2</v>
      </c>
    </row>
    <row r="3" spans="1:7" ht="15">
      <c r="A3" s="6"/>
      <c r="B3" s="7"/>
    </row>
    <row r="4" spans="1:7" ht="15">
      <c r="A4" s="6" t="s">
        <v>4</v>
      </c>
      <c r="B4" s="10">
        <v>0.01</v>
      </c>
      <c r="G4">
        <v>2</v>
      </c>
    </row>
    <row r="6" spans="1:7" ht="21" customHeight="1">
      <c r="A6" s="11" t="s">
        <v>5</v>
      </c>
      <c r="B6" s="38">
        <v>75</v>
      </c>
    </row>
    <row r="7" spans="1:7" ht="24" customHeight="1">
      <c r="A7" s="12" t="s">
        <v>6</v>
      </c>
      <c r="B7" s="128" t="s">
        <v>329</v>
      </c>
    </row>
    <row r="8" spans="1:7" ht="24" customHeight="1">
      <c r="A8" s="12"/>
      <c r="B8" s="13" t="s">
        <v>256</v>
      </c>
      <c r="C8" s="129" t="s">
        <v>257</v>
      </c>
    </row>
    <row r="9" spans="1:7" ht="23.25" customHeight="1">
      <c r="A9" s="130" t="s">
        <v>24</v>
      </c>
      <c r="B9" s="34">
        <f>C9/F9</f>
        <v>14595.24</v>
      </c>
      <c r="C9" s="133">
        <v>1459524</v>
      </c>
      <c r="F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  <c r="F10">
        <v>100</v>
      </c>
    </row>
    <row r="11" spans="1:7" ht="23.25" customHeight="1">
      <c r="A11" s="14" t="s">
        <v>231</v>
      </c>
      <c r="B11" s="15">
        <f>C11/F11</f>
        <v>9933</v>
      </c>
      <c r="C11" s="133">
        <v>993300</v>
      </c>
      <c r="E11" s="132" t="b">
        <f>C9=C11+C13</f>
        <v>1</v>
      </c>
      <c r="F11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f>C13/F13</f>
        <v>4662.24</v>
      </c>
      <c r="C13" s="133">
        <v>466224</v>
      </c>
      <c r="F13">
        <v>100</v>
      </c>
    </row>
    <row r="14" spans="1:7" ht="23.25" customHeight="1">
      <c r="A14" s="14" t="s">
        <v>261</v>
      </c>
      <c r="B14" s="15">
        <f>C14/F14</f>
        <v>4662.24</v>
      </c>
      <c r="C14" s="133">
        <f>C13</f>
        <v>466224</v>
      </c>
      <c r="F14">
        <v>100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6" ht="23.25" customHeight="1">
      <c r="A17" s="14" t="s">
        <v>264</v>
      </c>
      <c r="B17" s="15">
        <v>0</v>
      </c>
      <c r="C17" s="133">
        <v>0</v>
      </c>
    </row>
    <row r="18" spans="1:6" ht="23.25" customHeight="1">
      <c r="A18" s="130" t="s">
        <v>265</v>
      </c>
      <c r="B18" s="34">
        <f>C18/F18</f>
        <v>12106.64</v>
      </c>
      <c r="C18" s="131">
        <v>1210664</v>
      </c>
      <c r="E18" s="132" t="b">
        <f>C18=C20+C23</f>
        <v>1</v>
      </c>
      <c r="F18" s="132">
        <v>100</v>
      </c>
    </row>
    <row r="19" spans="1:6" ht="23.25" customHeight="1">
      <c r="A19" s="14" t="s">
        <v>266</v>
      </c>
      <c r="B19" s="15">
        <v>0</v>
      </c>
      <c r="C19" s="133">
        <v>0</v>
      </c>
      <c r="E19">
        <v>2</v>
      </c>
    </row>
    <row r="20" spans="1:6" ht="23.25" customHeight="1">
      <c r="A20" s="14" t="s">
        <v>267</v>
      </c>
      <c r="B20" s="15"/>
      <c r="C20" s="133">
        <v>0</v>
      </c>
    </row>
    <row r="21" spans="1:6" ht="23.25" customHeight="1">
      <c r="A21" s="14" t="s">
        <v>268</v>
      </c>
      <c r="B21" s="15">
        <v>0</v>
      </c>
      <c r="C21" s="133">
        <v>0</v>
      </c>
    </row>
    <row r="22" spans="1:6" ht="23.25" customHeight="1">
      <c r="A22" s="14" t="s">
        <v>269</v>
      </c>
      <c r="B22" s="15">
        <v>0</v>
      </c>
      <c r="C22" s="133">
        <v>0</v>
      </c>
    </row>
    <row r="23" spans="1:6" ht="23.25" customHeight="1">
      <c r="A23" s="14" t="s">
        <v>270</v>
      </c>
      <c r="B23" s="15">
        <f>C23/F23</f>
        <v>12106.64</v>
      </c>
      <c r="C23" s="133">
        <f>C18</f>
        <v>1210664</v>
      </c>
      <c r="F23">
        <v>100</v>
      </c>
    </row>
    <row r="24" spans="1:6" ht="23.25" customHeight="1">
      <c r="A24" s="14" t="s">
        <v>271</v>
      </c>
      <c r="B24" s="15">
        <f>C24/F24</f>
        <v>12106.64</v>
      </c>
      <c r="C24" s="133">
        <f>C23</f>
        <v>1210664</v>
      </c>
      <c r="F24">
        <v>100</v>
      </c>
    </row>
    <row r="25" spans="1:6" ht="23.25" customHeight="1">
      <c r="A25" s="14" t="s">
        <v>272</v>
      </c>
      <c r="B25" s="15">
        <v>0</v>
      </c>
      <c r="C25" s="133">
        <v>0</v>
      </c>
    </row>
    <row r="26" spans="1:6" ht="23.25" customHeight="1">
      <c r="A26" s="14" t="s">
        <v>273</v>
      </c>
      <c r="B26" s="15">
        <v>0</v>
      </c>
      <c r="C26" s="133">
        <v>0</v>
      </c>
    </row>
    <row r="27" spans="1:6" ht="23.25" customHeight="1">
      <c r="A27" s="14" t="s">
        <v>274</v>
      </c>
      <c r="B27" s="15">
        <v>0</v>
      </c>
      <c r="C27" s="133">
        <v>0</v>
      </c>
    </row>
    <row r="28" spans="1:6" ht="23.25" customHeight="1">
      <c r="A28" s="80" t="s">
        <v>275</v>
      </c>
      <c r="B28" s="134">
        <v>2488.59</v>
      </c>
      <c r="C28" s="133"/>
      <c r="E28" s="133"/>
    </row>
    <row r="29" spans="1:6" ht="23.25" customHeight="1">
      <c r="A29" s="14" t="s">
        <v>276</v>
      </c>
      <c r="B29" s="14"/>
      <c r="C29" s="133">
        <v>0</v>
      </c>
    </row>
    <row r="30" spans="1:6" ht="23.25" customHeight="1">
      <c r="A30" s="14" t="s">
        <v>277</v>
      </c>
      <c r="B30" s="15">
        <v>0</v>
      </c>
      <c r="C30" s="133">
        <v>5187272</v>
      </c>
      <c r="E30">
        <v>100</v>
      </c>
    </row>
    <row r="31" spans="1:6" ht="23.25" customHeight="1">
      <c r="A31" s="14" t="s">
        <v>278</v>
      </c>
      <c r="B31" s="15">
        <v>0</v>
      </c>
      <c r="C31" s="133">
        <v>4938413</v>
      </c>
      <c r="E31">
        <v>100</v>
      </c>
    </row>
    <row r="32" spans="1:6" ht="23.25" customHeight="1">
      <c r="A32" s="14" t="s">
        <v>279</v>
      </c>
      <c r="B32" s="15">
        <v>0</v>
      </c>
      <c r="C32" s="133">
        <f>C31</f>
        <v>4938413</v>
      </c>
      <c r="E32">
        <v>100</v>
      </c>
    </row>
    <row r="33" spans="1:60" ht="23.25" customHeight="1">
      <c r="A33" s="22" t="s">
        <v>280</v>
      </c>
      <c r="B33" s="117">
        <v>0.95199999999999996</v>
      </c>
      <c r="C33" s="133"/>
    </row>
    <row r="34" spans="1:60" ht="23.25" customHeight="1">
      <c r="A34" s="61" t="s">
        <v>125</v>
      </c>
      <c r="B34" s="26"/>
      <c r="C34" s="135">
        <v>88483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6</v>
      </c>
      <c r="D71" s="147">
        <v>30000</v>
      </c>
      <c r="E71" s="148">
        <v>300</v>
      </c>
    </row>
    <row r="72" spans="1:5" ht="23.25" hidden="1" customHeight="1">
      <c r="A72" s="146">
        <v>7</v>
      </c>
      <c r="B72" s="146">
        <v>100</v>
      </c>
      <c r="C72" s="147">
        <v>25</v>
      </c>
      <c r="D72" s="147">
        <v>250000</v>
      </c>
      <c r="E72" s="148">
        <v>2500</v>
      </c>
    </row>
    <row r="73" spans="1:5" ht="23.25" hidden="1" customHeight="1">
      <c r="B73" s="78" t="s">
        <v>68</v>
      </c>
      <c r="C73" s="147">
        <v>39</v>
      </c>
      <c r="D73" s="147">
        <v>287200</v>
      </c>
      <c r="E73" s="148">
        <v>2872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6" ht="23.25" hidden="1">
      <c r="A97" s="14" t="s">
        <v>319</v>
      </c>
      <c r="B97" s="115">
        <v>0</v>
      </c>
      <c r="C97" s="26">
        <v>0</v>
      </c>
      <c r="D97" s="9"/>
    </row>
    <row r="98" spans="1:6" ht="23.25">
      <c r="A98" s="22"/>
      <c r="B98" s="153"/>
      <c r="C98" s="24"/>
      <c r="D98" s="24"/>
    </row>
    <row r="99" spans="1:6" ht="15">
      <c r="A99" s="1100" t="s">
        <v>321</v>
      </c>
      <c r="B99" s="1100"/>
    </row>
    <row r="100" spans="1:6" ht="23.25">
      <c r="A100" s="14" t="s">
        <v>645</v>
      </c>
      <c r="B100" s="115">
        <v>14595</v>
      </c>
    </row>
    <row r="101" spans="1:6" ht="15">
      <c r="A101" s="400"/>
      <c r="B101" s="402"/>
    </row>
    <row r="102" spans="1:6" ht="23.25">
      <c r="A102" s="14" t="s">
        <v>322</v>
      </c>
      <c r="B102" s="115">
        <v>12106</v>
      </c>
      <c r="D102" s="132"/>
      <c r="E102" s="16"/>
      <c r="F102" s="16"/>
    </row>
    <row r="103" spans="1:6" ht="15">
      <c r="A103" s="400"/>
      <c r="B103" s="402"/>
    </row>
    <row r="104" spans="1:6" ht="23.25">
      <c r="A104" s="14" t="s">
        <v>323</v>
      </c>
      <c r="B104" s="115">
        <v>51872</v>
      </c>
    </row>
    <row r="105" spans="1:6" ht="15">
      <c r="A105" s="400"/>
      <c r="B105" s="402"/>
    </row>
    <row r="106" spans="1:6" ht="23.25">
      <c r="A106" s="14" t="s">
        <v>324</v>
      </c>
      <c r="B106" s="115">
        <v>88483</v>
      </c>
    </row>
    <row r="107" spans="1:6">
      <c r="A107" s="14"/>
      <c r="B107" s="402"/>
    </row>
    <row r="108" spans="1:6" ht="23.25">
      <c r="A108" s="14" t="s">
        <v>325</v>
      </c>
      <c r="B108" s="115">
        <v>0</v>
      </c>
    </row>
    <row r="109" spans="1:6" ht="15">
      <c r="A109" s="400"/>
      <c r="B109" s="402"/>
    </row>
    <row r="110" spans="1:6" ht="23.25">
      <c r="A110" s="14" t="s">
        <v>326</v>
      </c>
      <c r="B110" s="115">
        <v>0</v>
      </c>
    </row>
    <row r="111" spans="1:6" ht="15">
      <c r="A111" s="400"/>
      <c r="B111" s="402"/>
    </row>
    <row r="112" spans="1:6" ht="23.25">
      <c r="A112" s="14" t="s">
        <v>327</v>
      </c>
      <c r="B112" s="115">
        <v>0</v>
      </c>
    </row>
    <row r="113" spans="1:2" ht="15">
      <c r="A113" s="400"/>
      <c r="B113" s="402"/>
    </row>
    <row r="114" spans="1:2" ht="23.25">
      <c r="A114" s="14" t="s">
        <v>328</v>
      </c>
      <c r="B114" s="115">
        <v>9933</v>
      </c>
    </row>
  </sheetData>
  <sheetProtection selectLockedCells="1" selectUnlockedCells="1"/>
  <mergeCells count="1">
    <mergeCell ref="A99:B99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BH114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4.7109375" customWidth="1"/>
    <col min="6" max="6" width="10" customWidth="1"/>
    <col min="7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t="s">
        <v>2</v>
      </c>
    </row>
    <row r="3" spans="1:7" ht="15">
      <c r="A3" s="6"/>
      <c r="B3" s="7"/>
    </row>
    <row r="4" spans="1:7" ht="15">
      <c r="A4" s="6" t="s">
        <v>4</v>
      </c>
      <c r="B4" s="10">
        <v>0.01</v>
      </c>
      <c r="G4">
        <v>2</v>
      </c>
    </row>
    <row r="6" spans="1:7" ht="21" customHeight="1">
      <c r="A6" s="11" t="s">
        <v>5</v>
      </c>
      <c r="B6" s="38">
        <v>74</v>
      </c>
    </row>
    <row r="7" spans="1:7" ht="24" customHeight="1">
      <c r="A7" s="12" t="s">
        <v>6</v>
      </c>
      <c r="B7" s="128" t="s">
        <v>329</v>
      </c>
    </row>
    <row r="8" spans="1:7" ht="24" customHeight="1">
      <c r="A8" s="12"/>
      <c r="B8" s="13" t="s">
        <v>256</v>
      </c>
      <c r="C8" s="129" t="s">
        <v>257</v>
      </c>
    </row>
    <row r="9" spans="1:7" ht="23.25" customHeight="1">
      <c r="A9" s="130" t="s">
        <v>24</v>
      </c>
      <c r="B9" s="34">
        <f>C9/F9</f>
        <v>18042.23</v>
      </c>
      <c r="C9" s="133">
        <v>1804223</v>
      </c>
      <c r="F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  <c r="F10">
        <v>100</v>
      </c>
    </row>
    <row r="11" spans="1:7" ht="23.25" customHeight="1">
      <c r="A11" s="14" t="s">
        <v>231</v>
      </c>
      <c r="B11" s="15">
        <f>C11/F11</f>
        <v>12091</v>
      </c>
      <c r="C11" s="133">
        <v>1209100</v>
      </c>
      <c r="E11" s="132" t="b">
        <f>C9=C11+C13</f>
        <v>1</v>
      </c>
      <c r="F11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f>C13/F13</f>
        <v>5951.23</v>
      </c>
      <c r="C13" s="133">
        <v>595123</v>
      </c>
      <c r="F13">
        <v>100</v>
      </c>
    </row>
    <row r="14" spans="1:7" ht="23.25" customHeight="1">
      <c r="A14" s="14" t="s">
        <v>261</v>
      </c>
      <c r="B14" s="15">
        <f>C14/F14</f>
        <v>5951.23</v>
      </c>
      <c r="C14" s="133">
        <f>C13</f>
        <v>595123</v>
      </c>
      <c r="F14">
        <v>100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6" ht="23.25" customHeight="1">
      <c r="A17" s="14" t="s">
        <v>264</v>
      </c>
      <c r="B17" s="15">
        <v>0</v>
      </c>
      <c r="C17" s="133">
        <v>0</v>
      </c>
    </row>
    <row r="18" spans="1:6" ht="23.25" customHeight="1">
      <c r="A18" s="130" t="s">
        <v>265</v>
      </c>
      <c r="B18" s="34">
        <f>C18/F18</f>
        <v>14039.88</v>
      </c>
      <c r="C18" s="131">
        <v>1403988</v>
      </c>
      <c r="E18" s="132" t="b">
        <f>C18=C20+C23</f>
        <v>1</v>
      </c>
      <c r="F18" s="132">
        <v>100</v>
      </c>
    </row>
    <row r="19" spans="1:6" ht="23.25" customHeight="1">
      <c r="A19" s="14" t="s">
        <v>266</v>
      </c>
      <c r="B19" s="15">
        <v>0</v>
      </c>
      <c r="C19" s="133">
        <v>0</v>
      </c>
      <c r="E19">
        <v>2</v>
      </c>
    </row>
    <row r="20" spans="1:6" ht="23.25" customHeight="1">
      <c r="A20" s="14" t="s">
        <v>267</v>
      </c>
      <c r="B20" s="15"/>
      <c r="C20" s="133">
        <v>0</v>
      </c>
    </row>
    <row r="21" spans="1:6" ht="23.25" customHeight="1">
      <c r="A21" s="14" t="s">
        <v>268</v>
      </c>
      <c r="B21" s="15">
        <v>0</v>
      </c>
      <c r="C21" s="133">
        <v>0</v>
      </c>
    </row>
    <row r="22" spans="1:6" ht="23.25" customHeight="1">
      <c r="A22" s="14" t="s">
        <v>269</v>
      </c>
      <c r="B22" s="15">
        <v>0</v>
      </c>
      <c r="C22" s="133">
        <v>0</v>
      </c>
    </row>
    <row r="23" spans="1:6" ht="23.25" customHeight="1">
      <c r="A23" s="14" t="s">
        <v>270</v>
      </c>
      <c r="B23" s="15">
        <f>C23/F23</f>
        <v>14039.88</v>
      </c>
      <c r="C23" s="133">
        <f>C18</f>
        <v>1403988</v>
      </c>
      <c r="F23">
        <v>100</v>
      </c>
    </row>
    <row r="24" spans="1:6" ht="23.25" customHeight="1">
      <c r="A24" s="14" t="s">
        <v>271</v>
      </c>
      <c r="B24" s="15">
        <f>C24/F24</f>
        <v>14039.88</v>
      </c>
      <c r="C24" s="133">
        <f>C23</f>
        <v>1403988</v>
      </c>
      <c r="F24">
        <v>100</v>
      </c>
    </row>
    <row r="25" spans="1:6" ht="23.25" customHeight="1">
      <c r="A25" s="14" t="s">
        <v>272</v>
      </c>
      <c r="B25" s="15">
        <v>0</v>
      </c>
      <c r="C25" s="133">
        <v>0</v>
      </c>
    </row>
    <row r="26" spans="1:6" ht="23.25" customHeight="1">
      <c r="A26" s="14" t="s">
        <v>273</v>
      </c>
      <c r="B26" s="15">
        <v>0</v>
      </c>
      <c r="C26" s="133">
        <v>0</v>
      </c>
    </row>
    <row r="27" spans="1:6" ht="23.25" customHeight="1">
      <c r="A27" s="14" t="s">
        <v>274</v>
      </c>
      <c r="B27" s="15">
        <v>0</v>
      </c>
      <c r="C27" s="133">
        <v>0</v>
      </c>
    </row>
    <row r="28" spans="1:6" ht="23.25" customHeight="1">
      <c r="A28" s="80" t="s">
        <v>275</v>
      </c>
      <c r="B28" s="134">
        <v>4002.35</v>
      </c>
      <c r="C28" s="133"/>
      <c r="E28" s="133"/>
    </row>
    <row r="29" spans="1:6" ht="23.25" customHeight="1">
      <c r="A29" s="14" t="s">
        <v>276</v>
      </c>
      <c r="B29" s="14"/>
      <c r="C29" s="133">
        <v>0</v>
      </c>
    </row>
    <row r="30" spans="1:6" ht="23.25" customHeight="1">
      <c r="A30" s="14" t="s">
        <v>277</v>
      </c>
      <c r="B30" s="15"/>
      <c r="C30" s="133">
        <v>6154691</v>
      </c>
      <c r="E30">
        <v>100</v>
      </c>
    </row>
    <row r="31" spans="1:6" ht="23.25" customHeight="1">
      <c r="A31" s="14" t="s">
        <v>278</v>
      </c>
      <c r="B31" s="15"/>
      <c r="C31" s="133">
        <v>5754456</v>
      </c>
      <c r="E31">
        <v>100</v>
      </c>
    </row>
    <row r="32" spans="1:6" ht="23.25" customHeight="1">
      <c r="A32" s="14" t="s">
        <v>279</v>
      </c>
      <c r="B32" s="15">
        <v>0</v>
      </c>
      <c r="C32" s="133">
        <f>C31</f>
        <v>5754456</v>
      </c>
      <c r="E32">
        <v>100</v>
      </c>
    </row>
    <row r="33" spans="1:60" ht="23.25" customHeight="1">
      <c r="A33" s="22" t="s">
        <v>280</v>
      </c>
      <c r="B33" s="117">
        <v>0.93489999999999995</v>
      </c>
      <c r="C33" s="133"/>
    </row>
    <row r="34" spans="1:60" ht="23.25" customHeight="1">
      <c r="A34" s="61" t="s">
        <v>125</v>
      </c>
      <c r="B34" s="26"/>
      <c r="C34" s="135">
        <v>80384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6</v>
      </c>
      <c r="D71" s="147">
        <v>30000</v>
      </c>
      <c r="E71" s="148">
        <v>300</v>
      </c>
    </row>
    <row r="72" spans="1:5" ht="23.25" hidden="1" customHeight="1">
      <c r="A72" s="146">
        <v>7</v>
      </c>
      <c r="B72" s="146">
        <v>100</v>
      </c>
      <c r="C72" s="147">
        <v>25</v>
      </c>
      <c r="D72" s="147">
        <v>250000</v>
      </c>
      <c r="E72" s="148">
        <v>2500</v>
      </c>
    </row>
    <row r="73" spans="1:5" ht="23.25" hidden="1" customHeight="1">
      <c r="B73" s="78" t="s">
        <v>68</v>
      </c>
      <c r="C73" s="147">
        <v>39</v>
      </c>
      <c r="D73" s="147">
        <v>287200</v>
      </c>
      <c r="E73" s="148">
        <v>2872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6" ht="23.25" hidden="1">
      <c r="A97" s="14" t="s">
        <v>319</v>
      </c>
      <c r="B97" s="115">
        <v>0</v>
      </c>
      <c r="C97" s="26">
        <v>0</v>
      </c>
      <c r="D97" s="9"/>
    </row>
    <row r="98" spans="1:6" ht="23.25">
      <c r="A98" s="22"/>
      <c r="B98" s="153"/>
      <c r="C98" s="24"/>
      <c r="D98" s="24"/>
    </row>
    <row r="99" spans="1:6" ht="15">
      <c r="A99" s="1100" t="s">
        <v>321</v>
      </c>
      <c r="B99" s="1100"/>
    </row>
    <row r="100" spans="1:6" ht="23.25">
      <c r="A100" s="14" t="s">
        <v>645</v>
      </c>
      <c r="B100" s="115">
        <v>18042</v>
      </c>
    </row>
    <row r="101" spans="1:6" ht="15">
      <c r="A101" s="400"/>
      <c r="B101" s="402"/>
    </row>
    <row r="102" spans="1:6" ht="23.25">
      <c r="A102" s="14" t="s">
        <v>322</v>
      </c>
      <c r="B102" s="115">
        <v>14039</v>
      </c>
      <c r="D102" s="132"/>
      <c r="E102" s="16"/>
      <c r="F102" s="16"/>
    </row>
    <row r="103" spans="1:6" ht="15">
      <c r="A103" s="400"/>
      <c r="B103" s="402"/>
    </row>
    <row r="104" spans="1:6" ht="23.25">
      <c r="A104" s="14" t="s">
        <v>323</v>
      </c>
      <c r="B104" s="115">
        <v>61546</v>
      </c>
    </row>
    <row r="105" spans="1:6" ht="15">
      <c r="A105" s="400"/>
      <c r="B105" s="402"/>
    </row>
    <row r="106" spans="1:6" ht="23.25">
      <c r="A106" s="14" t="s">
        <v>324</v>
      </c>
      <c r="B106" s="115">
        <v>71546</v>
      </c>
    </row>
    <row r="107" spans="1:6">
      <c r="A107" s="14"/>
      <c r="B107" s="402"/>
    </row>
    <row r="108" spans="1:6" ht="23.25">
      <c r="A108" s="14" t="s">
        <v>325</v>
      </c>
      <c r="B108" s="115">
        <v>0</v>
      </c>
    </row>
    <row r="109" spans="1:6" ht="15">
      <c r="A109" s="400"/>
      <c r="B109" s="402"/>
    </row>
    <row r="110" spans="1:6" ht="23.25">
      <c r="A110" s="14" t="s">
        <v>326</v>
      </c>
      <c r="B110" s="115">
        <v>0</v>
      </c>
    </row>
    <row r="111" spans="1:6" ht="15">
      <c r="A111" s="400"/>
      <c r="B111" s="402"/>
    </row>
    <row r="112" spans="1:6" ht="23.25">
      <c r="A112" s="14" t="s">
        <v>327</v>
      </c>
      <c r="B112" s="115">
        <v>0</v>
      </c>
    </row>
    <row r="113" spans="1:2" ht="15">
      <c r="A113" s="400"/>
      <c r="B113" s="402"/>
    </row>
    <row r="114" spans="1:2" ht="23.25">
      <c r="A114" s="14" t="s">
        <v>328</v>
      </c>
      <c r="B114" s="115">
        <v>12091</v>
      </c>
    </row>
  </sheetData>
  <sheetProtection selectLockedCells="1" selectUnlockedCells="1"/>
  <mergeCells count="1">
    <mergeCell ref="A99:B99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BH114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4.7109375" customWidth="1"/>
    <col min="6" max="6" width="10" customWidth="1"/>
    <col min="7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t="s">
        <v>2</v>
      </c>
    </row>
    <row r="3" spans="1:7" ht="15">
      <c r="A3" s="6"/>
      <c r="B3" s="7"/>
    </row>
    <row r="4" spans="1:7" ht="15">
      <c r="A4" s="6" t="s">
        <v>4</v>
      </c>
      <c r="B4" s="10">
        <v>0.01</v>
      </c>
      <c r="G4">
        <v>2</v>
      </c>
    </row>
    <row r="6" spans="1:7" ht="21" customHeight="1">
      <c r="A6" s="11" t="s">
        <v>5</v>
      </c>
      <c r="B6" s="38">
        <v>73</v>
      </c>
    </row>
    <row r="7" spans="1:7" ht="24" customHeight="1">
      <c r="A7" s="12" t="s">
        <v>6</v>
      </c>
      <c r="B7" s="128" t="s">
        <v>255</v>
      </c>
    </row>
    <row r="8" spans="1:7" ht="24" customHeight="1">
      <c r="A8" s="12"/>
      <c r="B8" s="13" t="s">
        <v>256</v>
      </c>
      <c r="C8" s="129" t="s">
        <v>257</v>
      </c>
    </row>
    <row r="9" spans="1:7" ht="23.25" customHeight="1">
      <c r="A9" s="130" t="s">
        <v>24</v>
      </c>
      <c r="B9" s="34">
        <f>C9/F9</f>
        <v>16243.43</v>
      </c>
      <c r="C9" s="133">
        <v>1624343</v>
      </c>
      <c r="F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  <c r="F10">
        <v>100</v>
      </c>
    </row>
    <row r="11" spans="1:7" ht="23.25" customHeight="1">
      <c r="A11" s="14" t="s">
        <v>231</v>
      </c>
      <c r="B11" s="15">
        <f>C11/F11</f>
        <v>11293</v>
      </c>
      <c r="C11" s="133">
        <v>1129300</v>
      </c>
      <c r="E11" s="132" t="b">
        <f>C9=C11+C13</f>
        <v>1</v>
      </c>
      <c r="F11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f>C13/F13</f>
        <v>4950.43</v>
      </c>
      <c r="C13" s="133">
        <v>495043</v>
      </c>
      <c r="F13">
        <v>100</v>
      </c>
    </row>
    <row r="14" spans="1:7" ht="23.25" customHeight="1">
      <c r="A14" s="14" t="s">
        <v>261</v>
      </c>
      <c r="B14" s="15">
        <f>C14/F14</f>
        <v>4950.43</v>
      </c>
      <c r="C14" s="133">
        <f>C13</f>
        <v>495043</v>
      </c>
      <c r="F14">
        <v>100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6" ht="23.25" customHeight="1">
      <c r="A17" s="14" t="s">
        <v>264</v>
      </c>
      <c r="B17" s="15">
        <v>0</v>
      </c>
      <c r="C17" s="133">
        <v>0</v>
      </c>
    </row>
    <row r="18" spans="1:6" ht="23.25" customHeight="1">
      <c r="A18" s="130" t="s">
        <v>265</v>
      </c>
      <c r="B18" s="34">
        <f>C18/F18</f>
        <v>10517.42</v>
      </c>
      <c r="C18" s="131">
        <v>1051742</v>
      </c>
      <c r="E18" s="132" t="b">
        <f>C18=C20+C23</f>
        <v>1</v>
      </c>
      <c r="F18" s="132">
        <v>100</v>
      </c>
    </row>
    <row r="19" spans="1:6" ht="23.25" customHeight="1">
      <c r="A19" s="14" t="s">
        <v>266</v>
      </c>
      <c r="B19" s="15">
        <v>0</v>
      </c>
      <c r="C19" s="133">
        <v>0</v>
      </c>
      <c r="E19">
        <v>2</v>
      </c>
    </row>
    <row r="20" spans="1:6" ht="23.25" customHeight="1">
      <c r="A20" s="14" t="s">
        <v>267</v>
      </c>
      <c r="B20" s="15"/>
      <c r="C20" s="133">
        <v>0</v>
      </c>
    </row>
    <row r="21" spans="1:6" ht="23.25" customHeight="1">
      <c r="A21" s="14" t="s">
        <v>268</v>
      </c>
      <c r="B21" s="15">
        <v>0</v>
      </c>
      <c r="C21" s="133">
        <v>0</v>
      </c>
    </row>
    <row r="22" spans="1:6" ht="23.25" customHeight="1">
      <c r="A22" s="14" t="s">
        <v>269</v>
      </c>
      <c r="B22" s="15">
        <v>0</v>
      </c>
      <c r="C22" s="133">
        <v>0</v>
      </c>
    </row>
    <row r="23" spans="1:6" ht="23.25" customHeight="1">
      <c r="A23" s="14" t="s">
        <v>270</v>
      </c>
      <c r="B23" s="15">
        <f>C23/F23</f>
        <v>10517.42</v>
      </c>
      <c r="C23" s="133">
        <f>C18</f>
        <v>1051742</v>
      </c>
      <c r="F23">
        <v>100</v>
      </c>
    </row>
    <row r="24" spans="1:6" ht="23.25" customHeight="1">
      <c r="A24" s="14" t="s">
        <v>271</v>
      </c>
      <c r="B24" s="15">
        <f>C24/F24</f>
        <v>10517.42</v>
      </c>
      <c r="C24" s="133">
        <f>C23</f>
        <v>1051742</v>
      </c>
      <c r="F24">
        <v>100</v>
      </c>
    </row>
    <row r="25" spans="1:6" ht="23.25" customHeight="1">
      <c r="A25" s="14" t="s">
        <v>272</v>
      </c>
      <c r="B25" s="15">
        <v>0</v>
      </c>
      <c r="C25" s="133">
        <v>0</v>
      </c>
    </row>
    <row r="26" spans="1:6" ht="23.25" customHeight="1">
      <c r="A26" s="14" t="s">
        <v>273</v>
      </c>
      <c r="B26" s="15">
        <v>0</v>
      </c>
      <c r="C26" s="133">
        <v>0</v>
      </c>
    </row>
    <row r="27" spans="1:6" ht="23.25" customHeight="1">
      <c r="A27" s="14" t="s">
        <v>274</v>
      </c>
      <c r="B27" s="15">
        <v>0</v>
      </c>
      <c r="C27" s="133">
        <v>0</v>
      </c>
    </row>
    <row r="28" spans="1:6" ht="23.25" customHeight="1">
      <c r="A28" s="80" t="s">
        <v>275</v>
      </c>
      <c r="B28" s="134">
        <v>5726.01</v>
      </c>
      <c r="C28" s="133"/>
      <c r="E28" s="133"/>
    </row>
    <row r="29" spans="1:6" ht="23.25" customHeight="1">
      <c r="A29" s="14" t="s">
        <v>276</v>
      </c>
      <c r="B29" s="14"/>
      <c r="C29" s="133">
        <v>0</v>
      </c>
    </row>
    <row r="30" spans="1:6" ht="23.25" customHeight="1">
      <c r="A30" s="14" t="s">
        <v>277</v>
      </c>
      <c r="B30" s="15">
        <v>0</v>
      </c>
      <c r="C30" s="133">
        <v>6168266</v>
      </c>
      <c r="E30">
        <v>100</v>
      </c>
    </row>
    <row r="31" spans="1:6" ht="23.25" customHeight="1">
      <c r="A31" s="14" t="s">
        <v>278</v>
      </c>
      <c r="B31" s="15">
        <v>0</v>
      </c>
      <c r="C31" s="133">
        <v>5595665</v>
      </c>
      <c r="E31">
        <v>100</v>
      </c>
    </row>
    <row r="32" spans="1:6" ht="23.25" customHeight="1">
      <c r="A32" s="14" t="s">
        <v>279</v>
      </c>
      <c r="B32" s="15">
        <v>0</v>
      </c>
      <c r="C32" s="133">
        <f>C31</f>
        <v>5595665</v>
      </c>
      <c r="E32">
        <v>100</v>
      </c>
    </row>
    <row r="33" spans="1:60" ht="23.25" customHeight="1">
      <c r="A33" s="22" t="s">
        <v>280</v>
      </c>
      <c r="B33" s="117">
        <v>0.90710000000000002</v>
      </c>
      <c r="C33" s="133"/>
    </row>
    <row r="34" spans="1:60" ht="23.25" customHeight="1">
      <c r="A34" s="61" t="s">
        <v>125</v>
      </c>
      <c r="B34" s="26"/>
      <c r="C34" s="135">
        <v>107337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6</v>
      </c>
      <c r="D71" s="147">
        <v>30000</v>
      </c>
      <c r="E71" s="148">
        <v>300</v>
      </c>
    </row>
    <row r="72" spans="1:5" ht="23.25" hidden="1" customHeight="1">
      <c r="A72" s="146">
        <v>7</v>
      </c>
      <c r="B72" s="146">
        <v>100</v>
      </c>
      <c r="C72" s="147">
        <v>25</v>
      </c>
      <c r="D72" s="147">
        <v>250000</v>
      </c>
      <c r="E72" s="148">
        <v>2500</v>
      </c>
    </row>
    <row r="73" spans="1:5" ht="23.25" hidden="1" customHeight="1">
      <c r="B73" s="78" t="s">
        <v>68</v>
      </c>
      <c r="C73" s="147">
        <v>39</v>
      </c>
      <c r="D73" s="147">
        <v>287200</v>
      </c>
      <c r="E73" s="148">
        <v>2872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6" ht="23.25" hidden="1">
      <c r="A97" s="14" t="s">
        <v>319</v>
      </c>
      <c r="B97" s="115">
        <v>0</v>
      </c>
      <c r="C97" s="26">
        <v>0</v>
      </c>
      <c r="D97" s="9"/>
    </row>
    <row r="98" spans="1:6" ht="23.25">
      <c r="A98" s="22"/>
      <c r="B98" s="153"/>
      <c r="C98" s="24"/>
      <c r="D98" s="24"/>
    </row>
    <row r="99" spans="1:6" ht="15">
      <c r="A99" s="1100" t="s">
        <v>321</v>
      </c>
      <c r="B99" s="1100"/>
    </row>
    <row r="100" spans="1:6" ht="23.25">
      <c r="A100" s="14" t="s">
        <v>645</v>
      </c>
      <c r="B100" s="115">
        <v>16243</v>
      </c>
    </row>
    <row r="101" spans="1:6" ht="15">
      <c r="A101" s="400"/>
      <c r="B101" s="402"/>
    </row>
    <row r="102" spans="1:6" ht="23.25">
      <c r="A102" s="14" t="s">
        <v>322</v>
      </c>
      <c r="B102" s="115">
        <v>10517</v>
      </c>
      <c r="D102" s="132"/>
      <c r="E102" s="16"/>
      <c r="F102" s="16"/>
    </row>
    <row r="103" spans="1:6" ht="15">
      <c r="A103" s="400"/>
      <c r="B103" s="402"/>
    </row>
    <row r="104" spans="1:6" ht="23.25">
      <c r="A104" s="14" t="s">
        <v>323</v>
      </c>
      <c r="B104" s="115">
        <v>61682</v>
      </c>
    </row>
    <row r="105" spans="1:6" ht="15">
      <c r="A105" s="400"/>
      <c r="B105" s="402"/>
    </row>
    <row r="106" spans="1:6" ht="23.25">
      <c r="A106" s="14" t="s">
        <v>324</v>
      </c>
      <c r="B106" s="115">
        <v>107337</v>
      </c>
    </row>
    <row r="107" spans="1:6">
      <c r="A107" s="14"/>
      <c r="B107" s="402"/>
    </row>
    <row r="108" spans="1:6" ht="23.25">
      <c r="A108" s="14" t="s">
        <v>325</v>
      </c>
      <c r="B108" s="115">
        <v>0</v>
      </c>
    </row>
    <row r="109" spans="1:6" ht="15">
      <c r="A109" s="400"/>
      <c r="B109" s="402"/>
    </row>
    <row r="110" spans="1:6" ht="23.25">
      <c r="A110" s="14" t="s">
        <v>326</v>
      </c>
      <c r="B110" s="115">
        <v>0</v>
      </c>
    </row>
    <row r="111" spans="1:6" ht="15">
      <c r="A111" s="400"/>
      <c r="B111" s="402"/>
    </row>
    <row r="112" spans="1:6" ht="23.25">
      <c r="A112" s="14" t="s">
        <v>327</v>
      </c>
      <c r="B112" s="115">
        <v>0</v>
      </c>
    </row>
    <row r="113" spans="1:2" ht="15">
      <c r="A113" s="400"/>
      <c r="B113" s="402"/>
    </row>
    <row r="114" spans="1:2" ht="23.25">
      <c r="A114" s="14" t="s">
        <v>328</v>
      </c>
      <c r="B114" s="115">
        <v>11293</v>
      </c>
    </row>
  </sheetData>
  <sheetProtection selectLockedCells="1" selectUnlockedCells="1"/>
  <mergeCells count="1">
    <mergeCell ref="A99:B99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BH114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4.7109375" customWidth="1"/>
    <col min="6" max="6" width="10" customWidth="1"/>
    <col min="7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t="s">
        <v>2</v>
      </c>
    </row>
    <row r="3" spans="1:7" ht="15">
      <c r="A3" s="6"/>
      <c r="B3" s="7"/>
    </row>
    <row r="4" spans="1:7" ht="15">
      <c r="A4" s="6" t="s">
        <v>4</v>
      </c>
      <c r="B4" s="10">
        <v>0.01</v>
      </c>
      <c r="G4">
        <v>2</v>
      </c>
    </row>
    <row r="6" spans="1:7" ht="21" customHeight="1">
      <c r="A6" s="11" t="s">
        <v>5</v>
      </c>
      <c r="B6" s="38">
        <v>72</v>
      </c>
    </row>
    <row r="7" spans="1:7" ht="24" customHeight="1">
      <c r="A7" s="12" t="s">
        <v>6</v>
      </c>
      <c r="B7" s="128" t="s">
        <v>329</v>
      </c>
    </row>
    <row r="8" spans="1:7" ht="24" customHeight="1">
      <c r="A8" s="12"/>
      <c r="B8" s="13" t="s">
        <v>256</v>
      </c>
      <c r="C8" s="129" t="s">
        <v>257</v>
      </c>
    </row>
    <row r="9" spans="1:7" ht="23.25" customHeight="1">
      <c r="A9" s="130" t="s">
        <v>24</v>
      </c>
      <c r="B9" s="34">
        <f>C9/F9</f>
        <v>12242.86</v>
      </c>
      <c r="C9" s="133">
        <v>1224286</v>
      </c>
      <c r="F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  <c r="F10">
        <v>100</v>
      </c>
    </row>
    <row r="11" spans="1:7" ht="23.25" customHeight="1">
      <c r="A11" s="14" t="s">
        <v>231</v>
      </c>
      <c r="B11" s="15">
        <f>C11/F11</f>
        <v>6908</v>
      </c>
      <c r="C11" s="133">
        <v>690800</v>
      </c>
      <c r="E11" s="132" t="b">
        <f>C9=C11+C13</f>
        <v>1</v>
      </c>
      <c r="F11">
        <v>100</v>
      </c>
    </row>
    <row r="12" spans="1:7" ht="23.25" customHeight="1">
      <c r="A12" s="14" t="s">
        <v>259</v>
      </c>
      <c r="B12" s="15">
        <v>0</v>
      </c>
      <c r="C12" s="133"/>
    </row>
    <row r="13" spans="1:7" ht="23.25" customHeight="1">
      <c r="A13" s="14" t="s">
        <v>260</v>
      </c>
      <c r="B13" s="15">
        <f>C13/F13</f>
        <v>5334.86</v>
      </c>
      <c r="C13" s="133">
        <v>533486</v>
      </c>
      <c r="F13">
        <v>100</v>
      </c>
    </row>
    <row r="14" spans="1:7" ht="23.25" customHeight="1">
      <c r="A14" s="14" t="s">
        <v>261</v>
      </c>
      <c r="B14" s="15">
        <f>C14/F14</f>
        <v>5334.86</v>
      </c>
      <c r="C14" s="133">
        <f>C13</f>
        <v>533486</v>
      </c>
      <c r="F14">
        <v>100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6" ht="23.25" customHeight="1">
      <c r="A17" s="14" t="s">
        <v>264</v>
      </c>
      <c r="B17" s="15">
        <v>0</v>
      </c>
      <c r="C17" s="133">
        <v>0</v>
      </c>
    </row>
    <row r="18" spans="1:6" ht="23.25" customHeight="1">
      <c r="A18" s="130" t="s">
        <v>265</v>
      </c>
      <c r="B18" s="34">
        <f>C18/F18</f>
        <v>7292.35</v>
      </c>
      <c r="C18" s="131">
        <v>729235</v>
      </c>
      <c r="E18" s="132" t="b">
        <f>C18=C20+C23</f>
        <v>1</v>
      </c>
      <c r="F18" s="132">
        <v>100</v>
      </c>
    </row>
    <row r="19" spans="1:6" ht="23.25" customHeight="1">
      <c r="A19" s="14" t="s">
        <v>266</v>
      </c>
      <c r="B19" s="15">
        <v>0</v>
      </c>
      <c r="C19" s="133">
        <v>0</v>
      </c>
      <c r="E19">
        <v>2</v>
      </c>
    </row>
    <row r="20" spans="1:6" ht="23.25" customHeight="1">
      <c r="A20" s="14" t="s">
        <v>267</v>
      </c>
      <c r="B20" s="15"/>
      <c r="C20" s="133">
        <v>0</v>
      </c>
    </row>
    <row r="21" spans="1:6" ht="23.25" customHeight="1">
      <c r="A21" s="14" t="s">
        <v>268</v>
      </c>
      <c r="B21" s="15">
        <v>0</v>
      </c>
      <c r="C21" s="133">
        <v>0</v>
      </c>
    </row>
    <row r="22" spans="1:6" ht="23.25" customHeight="1">
      <c r="A22" s="14" t="s">
        <v>269</v>
      </c>
      <c r="B22" s="15">
        <v>0</v>
      </c>
      <c r="C22" s="133">
        <v>0</v>
      </c>
    </row>
    <row r="23" spans="1:6" ht="23.25" customHeight="1">
      <c r="A23" s="14" t="s">
        <v>270</v>
      </c>
      <c r="B23" s="15">
        <f>C23/F23</f>
        <v>7292.35</v>
      </c>
      <c r="C23" s="133">
        <f>C18</f>
        <v>729235</v>
      </c>
      <c r="F23">
        <v>100</v>
      </c>
    </row>
    <row r="24" spans="1:6" ht="23.25" customHeight="1">
      <c r="A24" s="14" t="s">
        <v>271</v>
      </c>
      <c r="B24" s="15">
        <f>C24/F24</f>
        <v>7292.35</v>
      </c>
      <c r="C24" s="133">
        <f>C23</f>
        <v>729235</v>
      </c>
      <c r="F24">
        <v>100</v>
      </c>
    </row>
    <row r="25" spans="1:6" ht="23.25" customHeight="1">
      <c r="A25" s="14" t="s">
        <v>272</v>
      </c>
      <c r="B25" s="15">
        <v>0</v>
      </c>
      <c r="C25" s="133">
        <v>0</v>
      </c>
    </row>
    <row r="26" spans="1:6" ht="23.25" customHeight="1">
      <c r="A26" s="14" t="s">
        <v>273</v>
      </c>
      <c r="B26" s="15">
        <v>0</v>
      </c>
      <c r="C26" s="133">
        <v>0</v>
      </c>
    </row>
    <row r="27" spans="1:6" ht="23.25" customHeight="1">
      <c r="A27" s="14" t="s">
        <v>274</v>
      </c>
      <c r="B27" s="15">
        <v>0</v>
      </c>
      <c r="C27" s="133">
        <v>0</v>
      </c>
    </row>
    <row r="28" spans="1:6" ht="23.25" customHeight="1">
      <c r="A28" s="80" t="s">
        <v>275</v>
      </c>
      <c r="B28" s="134">
        <v>4950.51</v>
      </c>
      <c r="C28" s="133"/>
      <c r="E28" s="133"/>
    </row>
    <row r="29" spans="1:6" ht="23.25" customHeight="1">
      <c r="A29" s="14" t="s">
        <v>276</v>
      </c>
      <c r="B29" s="14"/>
      <c r="C29" s="133">
        <v>0</v>
      </c>
    </row>
    <row r="30" spans="1:6" ht="23.25" customHeight="1">
      <c r="A30" s="14" t="s">
        <v>277</v>
      </c>
      <c r="B30" s="15">
        <v>0</v>
      </c>
      <c r="C30" s="133">
        <v>3390142</v>
      </c>
      <c r="E30">
        <v>100</v>
      </c>
    </row>
    <row r="31" spans="1:6" ht="23.25" customHeight="1">
      <c r="A31" s="14" t="s">
        <v>278</v>
      </c>
      <c r="B31" s="15">
        <v>0</v>
      </c>
      <c r="C31" s="133">
        <v>2895091</v>
      </c>
      <c r="E31">
        <v>100</v>
      </c>
    </row>
    <row r="32" spans="1:6" ht="23.25" customHeight="1">
      <c r="A32" s="14" t="s">
        <v>279</v>
      </c>
      <c r="B32" s="15">
        <v>0</v>
      </c>
      <c r="C32" s="133">
        <f>C31</f>
        <v>2895091</v>
      </c>
      <c r="E32">
        <v>100</v>
      </c>
    </row>
    <row r="33" spans="1:60" ht="23.25" customHeight="1">
      <c r="A33" s="22" t="s">
        <v>280</v>
      </c>
      <c r="B33" s="117">
        <v>0.95389999999999997</v>
      </c>
      <c r="C33" s="133"/>
    </row>
    <row r="34" spans="1:60" ht="23.25" customHeight="1">
      <c r="A34" s="61" t="s">
        <v>125</v>
      </c>
      <c r="B34" s="26"/>
      <c r="C34" s="135">
        <v>61858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6</v>
      </c>
      <c r="D71" s="147">
        <v>30000</v>
      </c>
      <c r="E71" s="148">
        <v>300</v>
      </c>
    </row>
    <row r="72" spans="1:5" ht="23.25" hidden="1" customHeight="1">
      <c r="A72" s="146">
        <v>7</v>
      </c>
      <c r="B72" s="146">
        <v>100</v>
      </c>
      <c r="C72" s="147">
        <v>25</v>
      </c>
      <c r="D72" s="147">
        <v>250000</v>
      </c>
      <c r="E72" s="148">
        <v>2500</v>
      </c>
    </row>
    <row r="73" spans="1:5" ht="23.25" hidden="1" customHeight="1">
      <c r="B73" s="78" t="s">
        <v>68</v>
      </c>
      <c r="C73" s="147">
        <v>39</v>
      </c>
      <c r="D73" s="147">
        <v>287200</v>
      </c>
      <c r="E73" s="148">
        <v>2872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6" ht="23.25" hidden="1">
      <c r="A97" s="14" t="s">
        <v>319</v>
      </c>
      <c r="B97" s="115">
        <v>0</v>
      </c>
      <c r="C97" s="26">
        <v>0</v>
      </c>
      <c r="D97" s="9"/>
    </row>
    <row r="98" spans="1:6" ht="23.25">
      <c r="A98" s="22"/>
      <c r="B98" s="153"/>
      <c r="C98" s="24"/>
      <c r="D98" s="24"/>
    </row>
    <row r="99" spans="1:6" ht="15">
      <c r="A99" s="1100" t="s">
        <v>321</v>
      </c>
      <c r="B99" s="1100"/>
    </row>
    <row r="100" spans="1:6" ht="23.25">
      <c r="A100" s="14" t="s">
        <v>645</v>
      </c>
      <c r="B100" s="115">
        <v>12242</v>
      </c>
    </row>
    <row r="101" spans="1:6" ht="15">
      <c r="A101" s="400"/>
      <c r="B101" s="402"/>
    </row>
    <row r="102" spans="1:6" ht="23.25">
      <c r="A102" s="14" t="s">
        <v>322</v>
      </c>
      <c r="B102" s="115">
        <v>7292</v>
      </c>
      <c r="D102" s="132"/>
      <c r="E102" s="16"/>
      <c r="F102" s="16"/>
    </row>
    <row r="103" spans="1:6" ht="15">
      <c r="A103" s="400"/>
      <c r="B103" s="402"/>
    </row>
    <row r="104" spans="1:6" ht="23.25">
      <c r="A104" s="14" t="s">
        <v>323</v>
      </c>
      <c r="B104" s="115">
        <v>33901</v>
      </c>
    </row>
    <row r="105" spans="1:6" ht="15">
      <c r="A105" s="400"/>
      <c r="B105" s="402"/>
    </row>
    <row r="106" spans="1:6" ht="23.25">
      <c r="A106" s="14" t="s">
        <v>324</v>
      </c>
      <c r="B106" s="115">
        <v>61858</v>
      </c>
    </row>
    <row r="107" spans="1:6">
      <c r="A107" s="14"/>
      <c r="B107" s="402"/>
    </row>
    <row r="108" spans="1:6" ht="23.25">
      <c r="A108" s="14" t="s">
        <v>325</v>
      </c>
      <c r="B108" s="115">
        <v>0</v>
      </c>
    </row>
    <row r="109" spans="1:6" ht="15">
      <c r="A109" s="400"/>
      <c r="B109" s="402"/>
    </row>
    <row r="110" spans="1:6" ht="23.25">
      <c r="A110" s="14" t="s">
        <v>326</v>
      </c>
      <c r="B110" s="115">
        <v>0</v>
      </c>
    </row>
    <row r="111" spans="1:6" ht="15">
      <c r="A111" s="400"/>
      <c r="B111" s="402"/>
    </row>
    <row r="112" spans="1:6" ht="23.25">
      <c r="A112" s="14" t="s">
        <v>327</v>
      </c>
      <c r="B112" s="115">
        <v>0</v>
      </c>
    </row>
    <row r="113" spans="1:2" ht="15">
      <c r="A113" s="400"/>
      <c r="B113" s="402"/>
    </row>
    <row r="114" spans="1:2" ht="23.25">
      <c r="A114" s="14" t="s">
        <v>328</v>
      </c>
      <c r="B114" s="115">
        <v>6908</v>
      </c>
    </row>
  </sheetData>
  <sheetProtection selectLockedCells="1" selectUnlockedCells="1"/>
  <mergeCells count="1">
    <mergeCell ref="A99:B99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BH114"/>
  <sheetViews>
    <sheetView topLeftCell="A7"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4.7109375" customWidth="1"/>
    <col min="6" max="6" width="10" customWidth="1"/>
    <col min="7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t="s">
        <v>2</v>
      </c>
    </row>
    <row r="3" spans="1:7" ht="15">
      <c r="A3" s="6"/>
      <c r="B3" s="7"/>
    </row>
    <row r="4" spans="1:7" ht="15">
      <c r="A4" s="6" t="s">
        <v>4</v>
      </c>
      <c r="B4" s="10">
        <v>0.01</v>
      </c>
      <c r="G4">
        <v>2</v>
      </c>
    </row>
    <row r="6" spans="1:7" ht="21" customHeight="1">
      <c r="A6" s="11" t="s">
        <v>5</v>
      </c>
      <c r="B6" s="38">
        <v>74</v>
      </c>
    </row>
    <row r="7" spans="1:7" ht="24" customHeight="1">
      <c r="A7" s="12" t="s">
        <v>6</v>
      </c>
      <c r="B7" s="128" t="s">
        <v>329</v>
      </c>
    </row>
    <row r="8" spans="1:7" ht="24" customHeight="1">
      <c r="A8" s="12"/>
      <c r="B8" s="13" t="s">
        <v>256</v>
      </c>
      <c r="C8" s="129" t="s">
        <v>257</v>
      </c>
    </row>
    <row r="9" spans="1:7" ht="23.25" customHeight="1">
      <c r="A9" s="130" t="s">
        <v>24</v>
      </c>
      <c r="B9" s="34">
        <f>C9/F9</f>
        <v>7602.28</v>
      </c>
      <c r="C9" s="133">
        <v>760228</v>
      </c>
      <c r="F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  <c r="F10">
        <v>100</v>
      </c>
    </row>
    <row r="11" spans="1:7" ht="23.25" customHeight="1">
      <c r="A11" s="14" t="s">
        <v>231</v>
      </c>
      <c r="B11" s="15">
        <f>C11/F11</f>
        <v>4383</v>
      </c>
      <c r="C11" s="133">
        <v>438300</v>
      </c>
      <c r="E11" s="132" t="b">
        <f>C9=C11+C13</f>
        <v>0</v>
      </c>
      <c r="F11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f>C13/F13</f>
        <v>3219.29</v>
      </c>
      <c r="C13" s="133">
        <v>321929</v>
      </c>
      <c r="F13">
        <v>100</v>
      </c>
    </row>
    <row r="14" spans="1:7" ht="23.25" customHeight="1">
      <c r="A14" s="14" t="s">
        <v>261</v>
      </c>
      <c r="B14" s="15">
        <f>C14/F14</f>
        <v>3219.29</v>
      </c>
      <c r="C14" s="133">
        <f>C13</f>
        <v>321929</v>
      </c>
      <c r="F14">
        <v>100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6" ht="23.25" customHeight="1">
      <c r="A17" s="14" t="s">
        <v>264</v>
      </c>
      <c r="B17" s="15">
        <v>0</v>
      </c>
      <c r="C17" s="133">
        <v>0</v>
      </c>
    </row>
    <row r="18" spans="1:6" ht="23.25" customHeight="1">
      <c r="A18" s="130" t="s">
        <v>265</v>
      </c>
      <c r="B18" s="34">
        <f>C18/F18</f>
        <v>9655.44</v>
      </c>
      <c r="C18" s="131">
        <v>965544</v>
      </c>
      <c r="E18" s="132" t="b">
        <f>C18=C20+C23</f>
        <v>1</v>
      </c>
      <c r="F18" s="132">
        <v>100</v>
      </c>
    </row>
    <row r="19" spans="1:6" ht="23.25" customHeight="1">
      <c r="A19" s="14" t="s">
        <v>266</v>
      </c>
      <c r="B19" s="15">
        <v>0</v>
      </c>
      <c r="C19" s="133">
        <v>0</v>
      </c>
      <c r="E19">
        <v>2</v>
      </c>
    </row>
    <row r="20" spans="1:6" ht="23.25" customHeight="1">
      <c r="A20" s="14" t="s">
        <v>267</v>
      </c>
      <c r="B20" s="15"/>
      <c r="C20" s="133">
        <v>0</v>
      </c>
    </row>
    <row r="21" spans="1:6" ht="23.25" customHeight="1">
      <c r="A21" s="14" t="s">
        <v>268</v>
      </c>
      <c r="B21" s="15">
        <v>0</v>
      </c>
      <c r="C21" s="133">
        <v>0</v>
      </c>
    </row>
    <row r="22" spans="1:6" ht="23.25" customHeight="1">
      <c r="A22" s="14" t="s">
        <v>269</v>
      </c>
      <c r="B22" s="15">
        <v>0</v>
      </c>
      <c r="C22" s="133">
        <v>0</v>
      </c>
    </row>
    <row r="23" spans="1:6" ht="23.25" customHeight="1">
      <c r="A23" s="14" t="s">
        <v>270</v>
      </c>
      <c r="B23" s="15">
        <f>C23/F23</f>
        <v>9655.44</v>
      </c>
      <c r="C23" s="133">
        <f>C18</f>
        <v>965544</v>
      </c>
      <c r="F23">
        <v>100</v>
      </c>
    </row>
    <row r="24" spans="1:6" ht="23.25" customHeight="1">
      <c r="A24" s="14" t="s">
        <v>271</v>
      </c>
      <c r="B24" s="15">
        <f>C24/F24</f>
        <v>9655.44</v>
      </c>
      <c r="C24" s="133">
        <f>C23</f>
        <v>965544</v>
      </c>
      <c r="F24">
        <v>100</v>
      </c>
    </row>
    <row r="25" spans="1:6" ht="23.25" customHeight="1">
      <c r="A25" s="14" t="s">
        <v>272</v>
      </c>
      <c r="B25" s="15">
        <v>0</v>
      </c>
      <c r="C25" s="133">
        <v>0</v>
      </c>
    </row>
    <row r="26" spans="1:6" ht="23.25" customHeight="1">
      <c r="A26" s="14" t="s">
        <v>273</v>
      </c>
      <c r="B26" s="15">
        <v>0</v>
      </c>
      <c r="C26" s="133">
        <v>0</v>
      </c>
    </row>
    <row r="27" spans="1:6" ht="23.25" customHeight="1">
      <c r="A27" s="14" t="s">
        <v>274</v>
      </c>
      <c r="B27" s="15">
        <v>0</v>
      </c>
      <c r="C27" s="133">
        <v>0</v>
      </c>
    </row>
    <row r="28" spans="1:6" ht="23.25" customHeight="1">
      <c r="A28" s="80" t="s">
        <v>275</v>
      </c>
      <c r="B28" s="134">
        <v>-2053.16</v>
      </c>
      <c r="C28" s="133"/>
      <c r="E28" s="133"/>
    </row>
    <row r="29" spans="1:6" ht="23.25" customHeight="1">
      <c r="A29" s="14" t="s">
        <v>276</v>
      </c>
      <c r="B29" s="14"/>
      <c r="C29" s="133">
        <v>0</v>
      </c>
    </row>
    <row r="30" spans="1:6" ht="23.25" customHeight="1">
      <c r="A30" s="14" t="s">
        <v>277</v>
      </c>
      <c r="B30" s="15">
        <v>0</v>
      </c>
      <c r="C30" s="133">
        <v>3038126</v>
      </c>
      <c r="E30">
        <v>100</v>
      </c>
    </row>
    <row r="31" spans="1:6" ht="23.25" customHeight="1">
      <c r="A31" s="14" t="s">
        <v>278</v>
      </c>
      <c r="B31" s="15">
        <v>0</v>
      </c>
      <c r="C31" s="133">
        <v>3243442</v>
      </c>
      <c r="E31">
        <v>100</v>
      </c>
    </row>
    <row r="32" spans="1:6" ht="23.25" customHeight="1">
      <c r="A32" s="14" t="s">
        <v>279</v>
      </c>
      <c r="B32" s="15">
        <v>0</v>
      </c>
      <c r="C32" s="133">
        <f>C31</f>
        <v>3243442</v>
      </c>
      <c r="E32">
        <v>100</v>
      </c>
    </row>
    <row r="33" spans="1:60" ht="23.25" customHeight="1">
      <c r="A33" s="22" t="s">
        <v>280</v>
      </c>
      <c r="B33" s="117">
        <v>1.0674999999999999</v>
      </c>
      <c r="C33" s="133"/>
    </row>
    <row r="34" spans="1:60" ht="23.25" customHeight="1">
      <c r="A34" s="61" t="s">
        <v>125</v>
      </c>
      <c r="B34" s="26"/>
      <c r="C34" s="135">
        <v>39376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6</v>
      </c>
      <c r="D71" s="147">
        <v>30000</v>
      </c>
      <c r="E71" s="148">
        <v>300</v>
      </c>
    </row>
    <row r="72" spans="1:5" ht="23.25" hidden="1" customHeight="1">
      <c r="A72" s="146">
        <v>7</v>
      </c>
      <c r="B72" s="146">
        <v>100</v>
      </c>
      <c r="C72" s="147">
        <v>25</v>
      </c>
      <c r="D72" s="147">
        <v>250000</v>
      </c>
      <c r="E72" s="148">
        <v>2500</v>
      </c>
    </row>
    <row r="73" spans="1:5" ht="23.25" hidden="1" customHeight="1">
      <c r="B73" s="78" t="s">
        <v>68</v>
      </c>
      <c r="C73" s="147">
        <v>39</v>
      </c>
      <c r="D73" s="147">
        <v>287200</v>
      </c>
      <c r="E73" s="148">
        <v>2872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6" ht="23.25" hidden="1">
      <c r="A97" s="14" t="s">
        <v>319</v>
      </c>
      <c r="B97" s="115">
        <v>0</v>
      </c>
      <c r="C97" s="26">
        <v>0</v>
      </c>
      <c r="D97" s="9"/>
    </row>
    <row r="98" spans="1:6" ht="23.25">
      <c r="A98" s="22"/>
      <c r="B98" s="153"/>
      <c r="C98" s="24"/>
      <c r="D98" s="24"/>
    </row>
    <row r="99" spans="1:6" ht="15">
      <c r="A99" s="1100" t="s">
        <v>321</v>
      </c>
      <c r="B99" s="1100"/>
    </row>
    <row r="100" spans="1:6" ht="23.25">
      <c r="A100" s="14" t="s">
        <v>645</v>
      </c>
      <c r="B100" s="26">
        <v>7602</v>
      </c>
    </row>
    <row r="101" spans="1:6" ht="15">
      <c r="A101" s="400"/>
      <c r="B101" s="401"/>
    </row>
    <row r="102" spans="1:6" ht="23.25">
      <c r="A102" s="14" t="s">
        <v>322</v>
      </c>
      <c r="B102" s="26">
        <v>9655</v>
      </c>
      <c r="D102" s="132"/>
      <c r="E102" s="16"/>
      <c r="F102" s="16"/>
    </row>
    <row r="103" spans="1:6" ht="15">
      <c r="A103" s="400"/>
      <c r="B103" s="401"/>
    </row>
    <row r="104" spans="1:6" ht="23.25">
      <c r="A104" s="14" t="s">
        <v>323</v>
      </c>
      <c r="B104" s="26">
        <v>30381</v>
      </c>
    </row>
    <row r="105" spans="1:6" ht="15">
      <c r="A105" s="400"/>
      <c r="B105" s="401"/>
    </row>
    <row r="106" spans="1:6" ht="23.25">
      <c r="A106" s="14" t="s">
        <v>324</v>
      </c>
      <c r="B106" s="26">
        <v>39376</v>
      </c>
    </row>
    <row r="107" spans="1:6">
      <c r="A107" s="14"/>
      <c r="B107" s="401"/>
    </row>
    <row r="108" spans="1:6" ht="23.25">
      <c r="A108" s="14" t="s">
        <v>325</v>
      </c>
      <c r="B108" s="26">
        <v>0</v>
      </c>
    </row>
    <row r="109" spans="1:6" ht="15">
      <c r="A109" s="400"/>
      <c r="B109" s="401"/>
    </row>
    <row r="110" spans="1:6" ht="23.25">
      <c r="A110" s="14" t="s">
        <v>326</v>
      </c>
      <c r="B110" s="26">
        <v>0</v>
      </c>
    </row>
    <row r="111" spans="1:6" ht="15">
      <c r="A111" s="400"/>
      <c r="B111" s="401"/>
    </row>
    <row r="112" spans="1:6" ht="23.25">
      <c r="A112" s="14" t="s">
        <v>327</v>
      </c>
      <c r="B112" s="26">
        <v>0</v>
      </c>
    </row>
    <row r="113" spans="1:2" ht="15">
      <c r="A113" s="400"/>
      <c r="B113" s="401"/>
    </row>
    <row r="114" spans="1:2" ht="23.25">
      <c r="A114" s="14" t="s">
        <v>328</v>
      </c>
      <c r="B114" s="26">
        <v>4383</v>
      </c>
    </row>
  </sheetData>
  <sheetProtection selectLockedCells="1" selectUnlockedCells="1"/>
  <mergeCells count="1">
    <mergeCell ref="A99:B99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BH115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21" customWidth="1"/>
    <col min="7" max="7" width="1.5703125" customWidth="1"/>
    <col min="8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t="s">
        <v>2</v>
      </c>
    </row>
    <row r="3" spans="1:7" ht="15">
      <c r="A3" s="6"/>
      <c r="B3" s="7"/>
    </row>
    <row r="4" spans="1:7" ht="15">
      <c r="A4" s="6" t="s">
        <v>4</v>
      </c>
      <c r="B4" s="10">
        <v>0.01</v>
      </c>
      <c r="G4">
        <v>2</v>
      </c>
    </row>
    <row r="6" spans="1:7" ht="21" customHeight="1">
      <c r="A6" s="11" t="s">
        <v>5</v>
      </c>
      <c r="B6" s="38">
        <v>73</v>
      </c>
    </row>
    <row r="7" spans="1:7" ht="24" customHeight="1">
      <c r="A7" s="12" t="s">
        <v>6</v>
      </c>
      <c r="B7" s="128" t="s">
        <v>255</v>
      </c>
    </row>
    <row r="8" spans="1:7" ht="24" customHeight="1">
      <c r="A8" s="12"/>
      <c r="B8" s="13" t="s">
        <v>256</v>
      </c>
      <c r="C8" s="403" t="s">
        <v>257</v>
      </c>
    </row>
    <row r="9" spans="1:7" ht="23.25" customHeight="1">
      <c r="A9" s="130" t="s">
        <v>24</v>
      </c>
      <c r="B9" s="34">
        <f>C9/F9</f>
        <v>73220</v>
      </c>
      <c r="C9" s="131">
        <v>7322000</v>
      </c>
      <c r="F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</row>
    <row r="11" spans="1:7" ht="23.25" customHeight="1">
      <c r="A11" s="14" t="s">
        <v>231</v>
      </c>
      <c r="B11" s="15">
        <f>B9</f>
        <v>73220</v>
      </c>
      <c r="C11" s="133">
        <f>C9</f>
        <v>7322000</v>
      </c>
      <c r="F11" s="132">
        <v>100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v>0</v>
      </c>
      <c r="C13" s="133">
        <v>0</v>
      </c>
    </row>
    <row r="14" spans="1:7" ht="23.25" customHeight="1">
      <c r="A14" s="14" t="s">
        <v>261</v>
      </c>
      <c r="B14" s="15">
        <v>0</v>
      </c>
      <c r="C14" s="133">
        <v>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6" ht="23.25" customHeight="1">
      <c r="A17" s="14" t="s">
        <v>264</v>
      </c>
      <c r="B17" s="15">
        <v>0</v>
      </c>
      <c r="C17" s="133">
        <v>0</v>
      </c>
    </row>
    <row r="18" spans="1:6" ht="23.25" customHeight="1">
      <c r="A18" s="130" t="s">
        <v>265</v>
      </c>
      <c r="B18" s="34">
        <f>C18/F18</f>
        <v>55806.96</v>
      </c>
      <c r="C18" s="131">
        <v>5580696</v>
      </c>
      <c r="F18" s="132">
        <v>100</v>
      </c>
    </row>
    <row r="19" spans="1:6" ht="23.25" customHeight="1">
      <c r="A19" s="14" t="s">
        <v>266</v>
      </c>
      <c r="B19" s="15">
        <v>0</v>
      </c>
      <c r="C19" s="133">
        <v>0</v>
      </c>
      <c r="E19">
        <v>2</v>
      </c>
    </row>
    <row r="20" spans="1:6" ht="23.25" customHeight="1">
      <c r="A20" s="14" t="s">
        <v>267</v>
      </c>
      <c r="B20" s="15">
        <f>B18</f>
        <v>55806.96</v>
      </c>
      <c r="C20" s="133">
        <f>C18</f>
        <v>5580696</v>
      </c>
    </row>
    <row r="21" spans="1:6" ht="23.25" customHeight="1">
      <c r="A21" s="14" t="s">
        <v>268</v>
      </c>
      <c r="B21" s="15">
        <v>0</v>
      </c>
      <c r="C21" s="133">
        <v>0</v>
      </c>
    </row>
    <row r="22" spans="1:6" ht="23.25" customHeight="1">
      <c r="A22" s="14" t="s">
        <v>269</v>
      </c>
      <c r="B22" s="15">
        <v>0</v>
      </c>
      <c r="C22" s="133">
        <v>0</v>
      </c>
    </row>
    <row r="23" spans="1:6" ht="23.25" customHeight="1">
      <c r="A23" s="14" t="s">
        <v>270</v>
      </c>
      <c r="B23" s="15">
        <v>0</v>
      </c>
      <c r="C23" s="133">
        <v>0</v>
      </c>
    </row>
    <row r="24" spans="1:6" ht="23.25" customHeight="1">
      <c r="A24" s="14" t="s">
        <v>271</v>
      </c>
      <c r="B24" s="15">
        <v>0</v>
      </c>
      <c r="C24" s="133">
        <v>0</v>
      </c>
    </row>
    <row r="25" spans="1:6" ht="23.25" customHeight="1">
      <c r="A25" s="14" t="s">
        <v>272</v>
      </c>
      <c r="B25" s="15">
        <v>0</v>
      </c>
      <c r="C25" s="133">
        <v>0</v>
      </c>
    </row>
    <row r="26" spans="1:6" ht="23.25" customHeight="1">
      <c r="A26" s="14" t="s">
        <v>273</v>
      </c>
      <c r="B26" s="15">
        <v>0</v>
      </c>
      <c r="C26" s="133">
        <v>0</v>
      </c>
    </row>
    <row r="27" spans="1:6" ht="23.25" customHeight="1">
      <c r="A27" s="14" t="s">
        <v>274</v>
      </c>
      <c r="B27" s="15">
        <v>0</v>
      </c>
      <c r="C27" s="133">
        <v>0</v>
      </c>
    </row>
    <row r="28" spans="1:6" ht="23.25" customHeight="1">
      <c r="A28" s="80" t="s">
        <v>275</v>
      </c>
      <c r="B28" s="134">
        <v>17413.04</v>
      </c>
      <c r="C28" s="404"/>
      <c r="E28" s="133"/>
    </row>
    <row r="29" spans="1:6" ht="23.25" customHeight="1">
      <c r="A29" s="14" t="s">
        <v>276</v>
      </c>
      <c r="B29" s="14"/>
      <c r="C29" s="133">
        <v>31953948</v>
      </c>
    </row>
    <row r="30" spans="1:6" ht="23.25" customHeight="1">
      <c r="A30" s="14" t="s">
        <v>277</v>
      </c>
      <c r="B30" s="15">
        <v>0</v>
      </c>
      <c r="C30" s="133">
        <v>30212644</v>
      </c>
    </row>
    <row r="31" spans="1:6" ht="23.25" customHeight="1">
      <c r="A31" s="14" t="s">
        <v>278</v>
      </c>
      <c r="B31" s="15">
        <v>0</v>
      </c>
      <c r="C31" s="133">
        <f>C30</f>
        <v>30212644</v>
      </c>
    </row>
    <row r="32" spans="1:6" ht="23.25" customHeight="1">
      <c r="A32" s="14" t="s">
        <v>279</v>
      </c>
      <c r="B32" s="25">
        <v>0</v>
      </c>
      <c r="C32" s="133">
        <v>0</v>
      </c>
    </row>
    <row r="33" spans="1:60" ht="23.25" customHeight="1">
      <c r="A33" s="22" t="s">
        <v>280</v>
      </c>
      <c r="B33" s="117">
        <v>0.94550000000000001</v>
      </c>
      <c r="C33" s="133"/>
    </row>
    <row r="34" spans="1:60" ht="23.25" customHeight="1">
      <c r="A34" s="61" t="s">
        <v>125</v>
      </c>
      <c r="B34" s="26">
        <v>0</v>
      </c>
      <c r="C34" s="135">
        <v>528694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4</v>
      </c>
      <c r="D71" s="147">
        <v>20000</v>
      </c>
      <c r="E71" s="148">
        <v>200</v>
      </c>
    </row>
    <row r="72" spans="1:5" ht="23.25" hidden="1" customHeight="1">
      <c r="A72" s="146">
        <v>7</v>
      </c>
      <c r="B72" s="146">
        <v>100</v>
      </c>
      <c r="C72" s="147">
        <v>16</v>
      </c>
      <c r="D72" s="147">
        <v>160000</v>
      </c>
      <c r="E72" s="148">
        <v>1600</v>
      </c>
    </row>
    <row r="73" spans="1:5" ht="23.25" hidden="1" customHeight="1">
      <c r="B73" s="78" t="s">
        <v>68</v>
      </c>
      <c r="C73" s="147">
        <v>28</v>
      </c>
      <c r="D73" s="147">
        <v>187200</v>
      </c>
      <c r="E73" s="148">
        <v>1872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8" ht="23.25" hidden="1">
      <c r="A97" s="14" t="s">
        <v>319</v>
      </c>
      <c r="B97" s="115">
        <v>0</v>
      </c>
      <c r="C97" s="26">
        <v>0</v>
      </c>
      <c r="D97" s="9"/>
    </row>
    <row r="98" spans="1:8" ht="23.25">
      <c r="A98" s="22"/>
      <c r="B98" s="153"/>
      <c r="C98" s="24"/>
      <c r="D98" s="24"/>
    </row>
    <row r="99" spans="1:8" ht="23.25">
      <c r="B99" s="78" t="s">
        <v>321</v>
      </c>
      <c r="E99" t="s">
        <v>646</v>
      </c>
    </row>
    <row r="101" spans="1:8" ht="23.25">
      <c r="B101" s="14" t="s">
        <v>136</v>
      </c>
      <c r="C101" s="26">
        <v>73220</v>
      </c>
    </row>
    <row r="102" spans="1:8">
      <c r="E102" s="124" t="s">
        <v>328</v>
      </c>
      <c r="F102" t="s">
        <v>322</v>
      </c>
      <c r="H102" t="s">
        <v>647</v>
      </c>
    </row>
    <row r="103" spans="1:8" ht="23.25">
      <c r="B103" s="14" t="s">
        <v>322</v>
      </c>
      <c r="C103" s="26">
        <v>55806</v>
      </c>
    </row>
    <row r="104" spans="1:8">
      <c r="E104" s="124">
        <v>1186</v>
      </c>
      <c r="F104">
        <v>1543</v>
      </c>
      <c r="H104">
        <f>+E104-F104</f>
        <v>-357</v>
      </c>
    </row>
    <row r="105" spans="1:8" ht="23.25">
      <c r="B105" s="14" t="s">
        <v>323</v>
      </c>
      <c r="C105" s="26">
        <v>319539</v>
      </c>
    </row>
    <row r="107" spans="1:8" ht="23.25">
      <c r="B107" s="14" t="s">
        <v>324</v>
      </c>
      <c r="C107" s="26">
        <v>528694</v>
      </c>
    </row>
    <row r="109" spans="1:8" ht="23.25">
      <c r="B109" s="14" t="s">
        <v>325</v>
      </c>
      <c r="C109" s="26">
        <v>0</v>
      </c>
    </row>
    <row r="111" spans="1:8" ht="23.25">
      <c r="B111" s="14" t="s">
        <v>326</v>
      </c>
      <c r="C111" s="26">
        <v>0</v>
      </c>
    </row>
    <row r="113" spans="2:3" ht="23.25">
      <c r="B113" s="14" t="s">
        <v>327</v>
      </c>
      <c r="C113" s="26">
        <f>C103</f>
        <v>55806</v>
      </c>
    </row>
    <row r="115" spans="2:3" ht="23.25">
      <c r="B115" s="14" t="s">
        <v>328</v>
      </c>
      <c r="C115" s="26">
        <f>C101</f>
        <v>73220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BH115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4.7109375" customWidth="1"/>
    <col min="6" max="6" width="22.28515625" customWidth="1"/>
    <col min="7" max="7" width="0.85546875" customWidth="1"/>
    <col min="8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t="s">
        <v>2</v>
      </c>
    </row>
    <row r="3" spans="1:7" ht="15">
      <c r="A3" s="6"/>
      <c r="B3" s="7"/>
    </row>
    <row r="4" spans="1:7" ht="15">
      <c r="A4" s="6" t="s">
        <v>4</v>
      </c>
      <c r="B4" s="10">
        <v>0.01</v>
      </c>
      <c r="G4">
        <v>2</v>
      </c>
    </row>
    <row r="6" spans="1:7" ht="21" customHeight="1">
      <c r="A6" s="11" t="s">
        <v>5</v>
      </c>
      <c r="B6" s="38">
        <v>74</v>
      </c>
    </row>
    <row r="7" spans="1:7" ht="24" customHeight="1">
      <c r="A7" s="12" t="s">
        <v>6</v>
      </c>
      <c r="B7" s="128" t="s">
        <v>329</v>
      </c>
    </row>
    <row r="8" spans="1:7" ht="24" customHeight="1">
      <c r="A8" s="12"/>
      <c r="B8" s="13" t="s">
        <v>256</v>
      </c>
      <c r="C8" s="405" t="s">
        <v>257</v>
      </c>
    </row>
    <row r="9" spans="1:7" ht="23.25" customHeight="1">
      <c r="A9" s="14" t="s">
        <v>24</v>
      </c>
      <c r="B9" s="15">
        <f>C9/E9</f>
        <v>99281.99</v>
      </c>
      <c r="C9" s="133">
        <v>9928199</v>
      </c>
      <c r="D9" s="167"/>
      <c r="E9" s="132">
        <v>100</v>
      </c>
    </row>
    <row r="10" spans="1:7" ht="23.25" customHeight="1">
      <c r="A10" s="14" t="s">
        <v>258</v>
      </c>
      <c r="B10" s="15">
        <v>0</v>
      </c>
      <c r="C10" s="133"/>
      <c r="D10" s="167"/>
    </row>
    <row r="11" spans="1:7" ht="23.25" customHeight="1">
      <c r="A11" s="14" t="s">
        <v>231</v>
      </c>
      <c r="B11" s="15">
        <f>B9</f>
        <v>99281.99</v>
      </c>
      <c r="C11" s="133">
        <f>C9</f>
        <v>9928199</v>
      </c>
      <c r="D11" s="167"/>
      <c r="E11" s="132">
        <v>100</v>
      </c>
    </row>
    <row r="12" spans="1:7" ht="23.25" customHeight="1">
      <c r="A12" s="14" t="s">
        <v>259</v>
      </c>
      <c r="B12" s="15">
        <v>0</v>
      </c>
      <c r="C12" s="133"/>
      <c r="D12" s="167"/>
    </row>
    <row r="13" spans="1:7" ht="23.25" customHeight="1">
      <c r="A13" s="14" t="s">
        <v>260</v>
      </c>
      <c r="B13" s="15">
        <v>0</v>
      </c>
      <c r="C13" s="133"/>
      <c r="D13" s="167"/>
    </row>
    <row r="14" spans="1:7" ht="23.25" customHeight="1">
      <c r="A14" s="14" t="s">
        <v>261</v>
      </c>
      <c r="B14" s="15">
        <v>0</v>
      </c>
      <c r="C14" s="133"/>
      <c r="D14" s="167"/>
    </row>
    <row r="15" spans="1:7" ht="23.25" customHeight="1">
      <c r="A15" s="14" t="s">
        <v>262</v>
      </c>
      <c r="B15" s="15">
        <v>0</v>
      </c>
      <c r="C15" s="133"/>
      <c r="D15" s="167"/>
    </row>
    <row r="16" spans="1:7" ht="23.25" customHeight="1">
      <c r="A16" s="14" t="s">
        <v>263</v>
      </c>
      <c r="B16" s="15">
        <v>0</v>
      </c>
      <c r="C16" s="133"/>
      <c r="D16" s="167"/>
    </row>
    <row r="17" spans="1:5" ht="23.25" customHeight="1">
      <c r="A17" s="14" t="s">
        <v>264</v>
      </c>
      <c r="B17" s="15">
        <v>0</v>
      </c>
      <c r="C17" s="133"/>
      <c r="D17" s="167"/>
    </row>
    <row r="18" spans="1:5" ht="23.25" customHeight="1">
      <c r="A18" s="130" t="s">
        <v>265</v>
      </c>
      <c r="B18" s="406">
        <f>C18/E18</f>
        <v>79078.84</v>
      </c>
      <c r="C18" s="406">
        <v>7907884</v>
      </c>
      <c r="D18" s="167"/>
      <c r="E18" s="132">
        <v>100</v>
      </c>
    </row>
    <row r="19" spans="1:5" ht="23.25" customHeight="1">
      <c r="A19" s="14" t="s">
        <v>266</v>
      </c>
      <c r="B19" s="15">
        <v>0</v>
      </c>
      <c r="C19" s="133"/>
      <c r="D19" s="167"/>
    </row>
    <row r="20" spans="1:5" ht="23.25" customHeight="1">
      <c r="A20" s="14" t="s">
        <v>267</v>
      </c>
      <c r="B20" s="15">
        <f>B18</f>
        <v>79078.84</v>
      </c>
      <c r="C20" s="133">
        <f>C18</f>
        <v>7907884</v>
      </c>
      <c r="D20" s="167"/>
      <c r="E20" s="132">
        <v>100</v>
      </c>
    </row>
    <row r="21" spans="1:5" ht="23.25" customHeight="1">
      <c r="A21" s="14" t="s">
        <v>268</v>
      </c>
      <c r="B21" s="15">
        <v>0</v>
      </c>
      <c r="C21" s="133"/>
      <c r="D21" s="167"/>
    </row>
    <row r="22" spans="1:5" ht="23.25" customHeight="1">
      <c r="A22" s="14" t="s">
        <v>269</v>
      </c>
      <c r="B22" s="15">
        <v>0</v>
      </c>
      <c r="C22" s="133"/>
      <c r="D22" s="167"/>
    </row>
    <row r="23" spans="1:5" ht="23.25" customHeight="1">
      <c r="A23" s="14" t="s">
        <v>270</v>
      </c>
      <c r="B23" s="15">
        <v>0</v>
      </c>
      <c r="C23" s="133"/>
      <c r="D23" s="167"/>
    </row>
    <row r="24" spans="1:5" ht="23.25" customHeight="1">
      <c r="A24" s="14" t="s">
        <v>271</v>
      </c>
      <c r="B24" s="15">
        <v>0</v>
      </c>
      <c r="C24" s="133"/>
      <c r="D24" s="167"/>
    </row>
    <row r="25" spans="1:5" ht="23.25" customHeight="1">
      <c r="A25" s="14" t="s">
        <v>272</v>
      </c>
      <c r="B25" s="15">
        <v>0</v>
      </c>
      <c r="C25" s="133"/>
      <c r="D25" s="167"/>
    </row>
    <row r="26" spans="1:5" ht="23.25" customHeight="1">
      <c r="A26" s="14" t="s">
        <v>273</v>
      </c>
      <c r="B26" s="15">
        <v>0</v>
      </c>
      <c r="C26" s="133"/>
      <c r="D26" s="167"/>
    </row>
    <row r="27" spans="1:5" ht="23.25" customHeight="1">
      <c r="A27" s="14" t="s">
        <v>274</v>
      </c>
      <c r="B27" s="15">
        <v>0</v>
      </c>
      <c r="C27" s="133"/>
      <c r="D27" s="167"/>
    </row>
    <row r="28" spans="1:5" ht="23.25" customHeight="1">
      <c r="A28" s="80" t="s">
        <v>275</v>
      </c>
      <c r="B28" s="134">
        <v>20203.16</v>
      </c>
      <c r="C28" s="133">
        <v>0</v>
      </c>
      <c r="D28" s="167"/>
      <c r="E28" s="167"/>
    </row>
    <row r="29" spans="1:5" ht="23.25" customHeight="1">
      <c r="A29" s="14" t="s">
        <v>276</v>
      </c>
      <c r="B29" s="61">
        <v>0</v>
      </c>
      <c r="C29" s="133">
        <v>43127623</v>
      </c>
      <c r="D29" s="167"/>
    </row>
    <row r="30" spans="1:5" ht="23.25" customHeight="1">
      <c r="A30" s="14" t="s">
        <v>277</v>
      </c>
      <c r="B30" s="15">
        <v>0</v>
      </c>
      <c r="C30" s="133">
        <v>41107307</v>
      </c>
      <c r="D30" s="167"/>
    </row>
    <row r="31" spans="1:5" ht="23.25" customHeight="1">
      <c r="A31" s="14" t="s">
        <v>278</v>
      </c>
      <c r="B31" s="15">
        <v>0</v>
      </c>
      <c r="C31" s="133">
        <f>C30</f>
        <v>41107307</v>
      </c>
      <c r="D31" s="167"/>
    </row>
    <row r="32" spans="1:5" ht="23.25" customHeight="1">
      <c r="A32" s="14" t="s">
        <v>279</v>
      </c>
      <c r="B32" s="25">
        <v>0</v>
      </c>
      <c r="C32" s="133"/>
      <c r="D32" s="167"/>
    </row>
    <row r="33" spans="1:60" ht="23.25" customHeight="1">
      <c r="A33" s="22" t="s">
        <v>280</v>
      </c>
      <c r="B33" s="21">
        <v>0.95309999999999995</v>
      </c>
      <c r="C33" s="133"/>
      <c r="D33" s="167"/>
    </row>
    <row r="34" spans="1:60" ht="23.25" customHeight="1">
      <c r="A34" s="61" t="s">
        <v>125</v>
      </c>
      <c r="B34" s="15">
        <v>0</v>
      </c>
      <c r="C34" s="407">
        <v>480585</v>
      </c>
      <c r="D34" s="167"/>
    </row>
    <row r="35" spans="1:60" ht="23.25" hidden="1" customHeight="1">
      <c r="B35" s="136" t="s">
        <v>281</v>
      </c>
      <c r="C35" s="1" t="s">
        <v>282</v>
      </c>
      <c r="D35" s="408" t="s">
        <v>283</v>
      </c>
    </row>
    <row r="36" spans="1:60" ht="23.25" hidden="1" customHeight="1">
      <c r="B36" s="115"/>
      <c r="C36" s="26"/>
      <c r="D36" s="133"/>
    </row>
    <row r="37" spans="1:60" ht="23.25" hidden="1" customHeight="1">
      <c r="A37" s="137" t="s">
        <v>284</v>
      </c>
      <c r="B37" s="115">
        <v>0</v>
      </c>
      <c r="C37" s="26">
        <v>0</v>
      </c>
      <c r="D37" s="133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33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33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33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33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33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33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33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33">
        <v>0</v>
      </c>
    </row>
    <row r="46" spans="1:60" ht="23.25" hidden="1" customHeight="1">
      <c r="A46" s="14"/>
      <c r="B46" s="115"/>
      <c r="C46" s="26"/>
      <c r="D46" s="133"/>
    </row>
    <row r="47" spans="1:60" ht="23.25" hidden="1" customHeight="1">
      <c r="A47" s="14" t="s">
        <v>293</v>
      </c>
      <c r="B47" s="64"/>
      <c r="C47" s="26"/>
      <c r="D47" s="133"/>
    </row>
    <row r="48" spans="1:60" ht="23.25" hidden="1" customHeight="1">
      <c r="A48" s="14" t="s">
        <v>294</v>
      </c>
      <c r="B48" s="64"/>
      <c r="C48" s="26"/>
      <c r="D48" s="133"/>
    </row>
    <row r="49" spans="1:5" ht="23.25" hidden="1" customHeight="1">
      <c r="A49" s="14" t="s">
        <v>295</v>
      </c>
      <c r="B49" s="64"/>
      <c r="C49" s="26"/>
      <c r="D49" s="115"/>
    </row>
    <row r="50" spans="1:5" ht="23.25" hidden="1" customHeight="1">
      <c r="A50" s="14" t="s">
        <v>296</v>
      </c>
      <c r="B50" s="64"/>
      <c r="C50" s="26"/>
      <c r="D50" s="115"/>
    </row>
    <row r="51" spans="1:5" ht="23.25" hidden="1" customHeight="1">
      <c r="A51" s="14" t="s">
        <v>297</v>
      </c>
      <c r="B51" s="64"/>
      <c r="C51" s="26"/>
      <c r="D51" s="115"/>
    </row>
    <row r="52" spans="1:5" ht="23.25" hidden="1" customHeight="1">
      <c r="A52" s="14" t="s">
        <v>298</v>
      </c>
      <c r="B52" s="64"/>
      <c r="C52" s="26"/>
      <c r="D52" s="115"/>
    </row>
    <row r="53" spans="1:5" ht="23.25" hidden="1">
      <c r="A53" s="14" t="s">
        <v>299</v>
      </c>
      <c r="B53" s="64"/>
      <c r="C53" s="26"/>
      <c r="D53" s="115"/>
    </row>
    <row r="54" spans="1:5" ht="23.25" hidden="1" customHeight="1">
      <c r="A54" s="14" t="s">
        <v>300</v>
      </c>
      <c r="B54" s="64"/>
      <c r="C54" s="26"/>
      <c r="D54" s="115"/>
    </row>
    <row r="55" spans="1:5" ht="23.25" hidden="1" customHeight="1">
      <c r="A55" s="14" t="s">
        <v>301</v>
      </c>
      <c r="B55" s="64"/>
      <c r="C55" s="26"/>
      <c r="D55" s="115"/>
    </row>
    <row r="56" spans="1:5" ht="23.25" hidden="1" customHeight="1">
      <c r="A56" s="14" t="s">
        <v>302</v>
      </c>
      <c r="B56" s="64"/>
      <c r="C56" s="26"/>
      <c r="D56" s="115"/>
    </row>
    <row r="57" spans="1:5" ht="23.25" hidden="1" customHeight="1">
      <c r="A57" s="14" t="s">
        <v>303</v>
      </c>
      <c r="B57" s="64"/>
      <c r="C57" s="26"/>
      <c r="D57" s="115"/>
    </row>
    <row r="58" spans="1:5" ht="23.25" hidden="1" customHeight="1">
      <c r="A58" s="14" t="s">
        <v>304</v>
      </c>
      <c r="B58" s="64"/>
      <c r="C58" s="26"/>
      <c r="D58" s="115"/>
    </row>
    <row r="59" spans="1:5" ht="23.25" hidden="1" customHeight="1">
      <c r="A59" s="14" t="s">
        <v>305</v>
      </c>
      <c r="B59" s="84"/>
      <c r="C59" s="26"/>
      <c r="D59" s="115"/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50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50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60</v>
      </c>
    </row>
    <row r="71" spans="1:5" ht="23.25" hidden="1" customHeight="1">
      <c r="A71" s="146">
        <v>6</v>
      </c>
      <c r="B71" s="146">
        <v>50</v>
      </c>
      <c r="C71" s="147">
        <v>6</v>
      </c>
      <c r="D71" s="147">
        <v>30000</v>
      </c>
      <c r="E71" s="148">
        <v>300</v>
      </c>
    </row>
    <row r="72" spans="1:5" ht="23.25" hidden="1" customHeight="1">
      <c r="A72" s="146">
        <v>7</v>
      </c>
      <c r="B72" s="146">
        <v>100</v>
      </c>
      <c r="C72" s="147">
        <v>22</v>
      </c>
      <c r="D72" s="147">
        <v>220000</v>
      </c>
      <c r="E72" s="148">
        <v>2200</v>
      </c>
    </row>
    <row r="73" spans="1:5" ht="23.25" hidden="1" customHeight="1">
      <c r="B73" s="78" t="s">
        <v>68</v>
      </c>
      <c r="C73" s="147">
        <v>36</v>
      </c>
      <c r="D73" s="147">
        <v>257200</v>
      </c>
      <c r="E73" s="148">
        <v>2662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5" ht="23.25" hidden="1">
      <c r="A97" s="14" t="s">
        <v>319</v>
      </c>
      <c r="B97" s="115">
        <v>0</v>
      </c>
      <c r="C97" s="26">
        <v>0</v>
      </c>
      <c r="D97" s="82"/>
    </row>
    <row r="98" spans="1:5" ht="23.25" hidden="1">
      <c r="A98" s="22"/>
      <c r="B98" s="153"/>
      <c r="C98" s="24"/>
      <c r="D98" s="409"/>
    </row>
    <row r="99" spans="1:5" ht="23.25">
      <c r="B99" s="78" t="s">
        <v>648</v>
      </c>
    </row>
    <row r="100" spans="1:5" ht="23.25">
      <c r="B100" s="14" t="s">
        <v>136</v>
      </c>
      <c r="C100" s="410">
        <v>99282</v>
      </c>
    </row>
    <row r="101" spans="1:5" ht="23.25">
      <c r="B101" s="1"/>
      <c r="C101" s="411"/>
      <c r="E101" s="16"/>
    </row>
    <row r="102" spans="1:5" ht="23.25">
      <c r="B102" s="14" t="s">
        <v>322</v>
      </c>
      <c r="C102" s="410">
        <v>79078</v>
      </c>
    </row>
    <row r="103" spans="1:5" ht="23.25">
      <c r="B103" s="1"/>
      <c r="C103" s="411"/>
    </row>
    <row r="104" spans="1:5" ht="23.25">
      <c r="B104" s="14" t="s">
        <v>323</v>
      </c>
      <c r="C104" s="410">
        <v>431276</v>
      </c>
    </row>
    <row r="105" spans="1:5" ht="23.25">
      <c r="B105" s="1"/>
      <c r="C105" s="411"/>
    </row>
    <row r="106" spans="1:5" ht="23.25">
      <c r="B106" s="14" t="s">
        <v>324</v>
      </c>
      <c r="C106" s="410">
        <v>480585</v>
      </c>
    </row>
    <row r="107" spans="1:5" ht="23.25">
      <c r="B107" s="1"/>
      <c r="C107" s="411"/>
    </row>
    <row r="108" spans="1:5" ht="23.25">
      <c r="B108" s="14" t="s">
        <v>325</v>
      </c>
      <c r="C108" s="410">
        <v>0</v>
      </c>
    </row>
    <row r="109" spans="1:5" ht="23.25">
      <c r="B109" s="1"/>
      <c r="C109" s="411"/>
    </row>
    <row r="110" spans="1:5" ht="23.25">
      <c r="B110" s="14" t="s">
        <v>326</v>
      </c>
      <c r="C110" s="410">
        <v>0</v>
      </c>
    </row>
    <row r="111" spans="1:5" ht="23.25">
      <c r="B111" s="1"/>
      <c r="C111" s="411"/>
    </row>
    <row r="112" spans="1:5" ht="23.25">
      <c r="B112" s="14" t="s">
        <v>327</v>
      </c>
      <c r="C112" s="410">
        <f>C102</f>
        <v>79078</v>
      </c>
    </row>
    <row r="113" spans="2:3" ht="23.25">
      <c r="B113" s="1"/>
      <c r="C113" s="411"/>
    </row>
    <row r="114" spans="2:3" ht="23.25">
      <c r="B114" s="30" t="s">
        <v>328</v>
      </c>
      <c r="C114" s="410">
        <f>C100</f>
        <v>99282</v>
      </c>
    </row>
    <row r="115" spans="2:3" ht="23.25">
      <c r="C115" s="78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BH114"/>
  <sheetViews>
    <sheetView zoomScale="110" zoomScaleNormal="110" workbookViewId="0">
      <selection activeCell="B9" sqref="B9"/>
    </sheetView>
  </sheetViews>
  <sheetFormatPr defaultColWidth="11" defaultRowHeight="14.25"/>
  <cols>
    <col min="1" max="1" width="45" style="1" customWidth="1"/>
    <col min="2" max="2" width="30" style="2" customWidth="1"/>
    <col min="3" max="3" width="27.5703125" customWidth="1"/>
    <col min="4" max="4" width="16.7109375" customWidth="1"/>
    <col min="5" max="5" width="14.7109375" customWidth="1"/>
    <col min="6" max="6" width="10" customWidth="1"/>
    <col min="7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254</v>
      </c>
      <c r="C2" t="s">
        <v>2</v>
      </c>
    </row>
    <row r="3" spans="1:7" ht="15">
      <c r="A3" s="6"/>
      <c r="B3" s="7"/>
    </row>
    <row r="4" spans="1:7" ht="15">
      <c r="A4" s="6" t="s">
        <v>4</v>
      </c>
      <c r="B4" s="10">
        <v>0.01</v>
      </c>
      <c r="G4">
        <v>2</v>
      </c>
    </row>
    <row r="6" spans="1:7" ht="21" customHeight="1">
      <c r="A6" s="11" t="s">
        <v>5</v>
      </c>
      <c r="B6" s="38">
        <v>75</v>
      </c>
    </row>
    <row r="7" spans="1:7" ht="24" customHeight="1">
      <c r="A7" s="12" t="s">
        <v>6</v>
      </c>
      <c r="B7" s="128" t="s">
        <v>329</v>
      </c>
    </row>
    <row r="8" spans="1:7" ht="24" customHeight="1">
      <c r="A8" s="12"/>
      <c r="B8" s="13" t="s">
        <v>256</v>
      </c>
      <c r="C8" s="129" t="s">
        <v>257</v>
      </c>
    </row>
    <row r="9" spans="1:7" ht="23.25" customHeight="1">
      <c r="A9" s="130" t="s">
        <v>24</v>
      </c>
      <c r="B9" s="34">
        <f>C9/F9</f>
        <v>72568</v>
      </c>
      <c r="C9" s="133">
        <v>7256800</v>
      </c>
      <c r="F9" s="132">
        <v>100</v>
      </c>
    </row>
    <row r="10" spans="1:7" ht="23.25" customHeight="1">
      <c r="A10" s="14" t="s">
        <v>258</v>
      </c>
      <c r="B10" s="15">
        <v>0</v>
      </c>
      <c r="C10" s="133">
        <v>0</v>
      </c>
    </row>
    <row r="11" spans="1:7" ht="23.25" customHeight="1">
      <c r="A11" s="14" t="s">
        <v>231</v>
      </c>
      <c r="B11" s="15">
        <f>B9</f>
        <v>72568</v>
      </c>
      <c r="C11" s="133">
        <v>7256800</v>
      </c>
    </row>
    <row r="12" spans="1:7" ht="23.25" customHeight="1">
      <c r="A12" s="14" t="s">
        <v>259</v>
      </c>
      <c r="B12" s="15">
        <v>0</v>
      </c>
      <c r="C12" s="133">
        <v>0</v>
      </c>
    </row>
    <row r="13" spans="1:7" ht="23.25" customHeight="1">
      <c r="A13" s="14" t="s">
        <v>260</v>
      </c>
      <c r="B13" s="15">
        <v>0</v>
      </c>
      <c r="C13" s="133">
        <v>0</v>
      </c>
    </row>
    <row r="14" spans="1:7" ht="23.25" customHeight="1">
      <c r="A14" s="14" t="s">
        <v>261</v>
      </c>
      <c r="B14" s="15">
        <v>0</v>
      </c>
      <c r="C14" s="133">
        <v>0</v>
      </c>
    </row>
    <row r="15" spans="1:7" ht="23.25" customHeight="1">
      <c r="A15" s="14" t="s">
        <v>262</v>
      </c>
      <c r="B15" s="15">
        <v>0</v>
      </c>
      <c r="C15" s="133">
        <v>0</v>
      </c>
    </row>
    <row r="16" spans="1:7" ht="23.25" customHeight="1">
      <c r="A16" s="14" t="s">
        <v>263</v>
      </c>
      <c r="B16" s="15">
        <v>0</v>
      </c>
      <c r="C16" s="133">
        <v>0</v>
      </c>
    </row>
    <row r="17" spans="1:6" ht="23.25" customHeight="1">
      <c r="A17" s="14" t="s">
        <v>264</v>
      </c>
      <c r="B17" s="15">
        <v>0</v>
      </c>
      <c r="C17" s="133">
        <v>0</v>
      </c>
    </row>
    <row r="18" spans="1:6" ht="23.25" customHeight="1">
      <c r="A18" s="130" t="s">
        <v>265</v>
      </c>
      <c r="B18" s="34">
        <f>C18/F18</f>
        <v>62044.12</v>
      </c>
      <c r="C18" s="131">
        <v>6204412</v>
      </c>
      <c r="F18" s="132">
        <v>100</v>
      </c>
    </row>
    <row r="19" spans="1:6" ht="23.25" customHeight="1">
      <c r="A19" s="14" t="s">
        <v>266</v>
      </c>
      <c r="B19" s="15">
        <v>0</v>
      </c>
      <c r="C19" s="133">
        <v>0</v>
      </c>
      <c r="E19">
        <v>2</v>
      </c>
    </row>
    <row r="20" spans="1:6" ht="23.25" customHeight="1">
      <c r="A20" s="14" t="s">
        <v>267</v>
      </c>
      <c r="B20" s="15">
        <f>B18</f>
        <v>62044.12</v>
      </c>
      <c r="C20" s="133">
        <v>6204412</v>
      </c>
    </row>
    <row r="21" spans="1:6" ht="23.25" customHeight="1">
      <c r="A21" s="14" t="s">
        <v>268</v>
      </c>
      <c r="B21" s="15">
        <v>0</v>
      </c>
      <c r="C21" s="133">
        <v>0</v>
      </c>
    </row>
    <row r="22" spans="1:6" ht="23.25" customHeight="1">
      <c r="A22" s="14" t="s">
        <v>269</v>
      </c>
      <c r="B22" s="15">
        <v>0</v>
      </c>
      <c r="C22" s="133">
        <v>0</v>
      </c>
    </row>
    <row r="23" spans="1:6" ht="23.25" customHeight="1">
      <c r="A23" s="14" t="s">
        <v>270</v>
      </c>
      <c r="B23" s="15">
        <v>0</v>
      </c>
      <c r="C23" s="133">
        <v>0</v>
      </c>
    </row>
    <row r="24" spans="1:6" ht="23.25" customHeight="1">
      <c r="A24" s="14" t="s">
        <v>271</v>
      </c>
      <c r="B24" s="15">
        <v>0</v>
      </c>
      <c r="C24" s="133">
        <v>0</v>
      </c>
    </row>
    <row r="25" spans="1:6" ht="23.25" customHeight="1">
      <c r="A25" s="14" t="s">
        <v>272</v>
      </c>
      <c r="B25" s="15">
        <v>0</v>
      </c>
      <c r="C25" s="133">
        <v>0</v>
      </c>
    </row>
    <row r="26" spans="1:6" ht="23.25" customHeight="1">
      <c r="A26" s="14" t="s">
        <v>273</v>
      </c>
      <c r="B26" s="15">
        <v>0</v>
      </c>
      <c r="C26" s="133">
        <v>0</v>
      </c>
    </row>
    <row r="27" spans="1:6" ht="23.25" customHeight="1">
      <c r="A27" s="14" t="s">
        <v>274</v>
      </c>
      <c r="B27" s="15">
        <v>0</v>
      </c>
      <c r="C27" s="133">
        <v>0</v>
      </c>
    </row>
    <row r="28" spans="1:6" ht="23.25" customHeight="1">
      <c r="A28" s="80" t="s">
        <v>275</v>
      </c>
      <c r="B28" s="134">
        <v>16809.54</v>
      </c>
      <c r="C28" s="133"/>
      <c r="E28" s="133"/>
    </row>
    <row r="29" spans="1:6" ht="23.25" customHeight="1">
      <c r="A29" s="14" t="s">
        <v>276</v>
      </c>
      <c r="B29" s="14"/>
      <c r="C29" s="133">
        <v>31441770</v>
      </c>
    </row>
    <row r="30" spans="1:6" ht="23.25" customHeight="1">
      <c r="A30" s="14" t="s">
        <v>277</v>
      </c>
      <c r="B30" s="15">
        <v>0</v>
      </c>
      <c r="C30" s="133">
        <v>30389383</v>
      </c>
    </row>
    <row r="31" spans="1:6" ht="23.25" customHeight="1">
      <c r="A31" s="14" t="s">
        <v>278</v>
      </c>
      <c r="B31" s="15">
        <v>0</v>
      </c>
      <c r="C31" s="133">
        <v>30389383</v>
      </c>
    </row>
    <row r="32" spans="1:6" ht="23.25" customHeight="1">
      <c r="A32" s="14" t="s">
        <v>279</v>
      </c>
      <c r="B32" s="25">
        <v>0</v>
      </c>
      <c r="C32" s="133">
        <v>0</v>
      </c>
    </row>
    <row r="33" spans="1:60" ht="23.25" customHeight="1">
      <c r="A33" s="22" t="s">
        <v>280</v>
      </c>
      <c r="B33" s="117">
        <v>0.9446</v>
      </c>
      <c r="C33" s="133"/>
    </row>
    <row r="34" spans="1:60" ht="23.25" customHeight="1">
      <c r="A34" s="61" t="s">
        <v>125</v>
      </c>
      <c r="B34" s="26"/>
      <c r="C34" s="135">
        <v>358413</v>
      </c>
    </row>
    <row r="35" spans="1:60" ht="23.25" hidden="1" customHeight="1">
      <c r="B35" s="136" t="s">
        <v>281</v>
      </c>
      <c r="C35" s="1" t="s">
        <v>282</v>
      </c>
      <c r="D35" t="s">
        <v>283</v>
      </c>
    </row>
    <row r="36" spans="1:60" ht="23.25" hidden="1" customHeight="1">
      <c r="B36" s="115"/>
      <c r="C36" s="26"/>
      <c r="D36" s="9"/>
    </row>
    <row r="37" spans="1:60" ht="23.25" hidden="1" customHeight="1">
      <c r="A37" s="137" t="s">
        <v>284</v>
      </c>
      <c r="B37" s="115">
        <v>0</v>
      </c>
      <c r="C37" s="26">
        <v>0</v>
      </c>
      <c r="D37" s="115">
        <v>0</v>
      </c>
    </row>
    <row r="38" spans="1:60" ht="23.25" hidden="1" customHeight="1">
      <c r="A38" s="61" t="s">
        <v>285</v>
      </c>
      <c r="B38" s="115">
        <v>0</v>
      </c>
      <c r="C38" s="26">
        <v>0</v>
      </c>
      <c r="D38" s="115">
        <v>0</v>
      </c>
    </row>
    <row r="39" spans="1:60" ht="23.25" hidden="1" customHeight="1">
      <c r="A39" s="61" t="s">
        <v>286</v>
      </c>
      <c r="B39" s="115">
        <v>0</v>
      </c>
      <c r="C39" s="26">
        <v>0</v>
      </c>
      <c r="D39" s="115">
        <v>0</v>
      </c>
    </row>
    <row r="40" spans="1:60" s="138" customFormat="1" ht="23.25" hidden="1" customHeight="1">
      <c r="A40" s="61" t="s">
        <v>287</v>
      </c>
      <c r="B40" s="115">
        <v>0</v>
      </c>
      <c r="C40" s="26">
        <v>0</v>
      </c>
      <c r="D40" s="115">
        <v>0</v>
      </c>
      <c r="E40"/>
      <c r="F40"/>
      <c r="G40"/>
      <c r="H40"/>
      <c r="I40"/>
      <c r="J40"/>
      <c r="K40"/>
      <c r="L40"/>
    </row>
    <row r="41" spans="1:60" ht="23.25" hidden="1" customHeight="1">
      <c r="A41" s="61" t="s">
        <v>288</v>
      </c>
      <c r="B41" s="115">
        <v>0</v>
      </c>
      <c r="C41" s="26">
        <v>0</v>
      </c>
      <c r="D41" s="115">
        <v>0</v>
      </c>
    </row>
    <row r="42" spans="1:60" ht="23.25" hidden="1" customHeight="1">
      <c r="A42" s="61" t="s">
        <v>289</v>
      </c>
      <c r="B42" s="115">
        <v>0</v>
      </c>
      <c r="C42" s="26">
        <v>0</v>
      </c>
      <c r="D42" s="115">
        <v>0</v>
      </c>
    </row>
    <row r="43" spans="1:60" ht="23.25" hidden="1" customHeight="1">
      <c r="A43" s="14" t="s">
        <v>290</v>
      </c>
      <c r="B43" s="115">
        <v>0</v>
      </c>
      <c r="C43" s="26">
        <v>0</v>
      </c>
      <c r="D43" s="115">
        <v>0</v>
      </c>
    </row>
    <row r="44" spans="1:60" ht="24" hidden="1" customHeight="1">
      <c r="A44" s="14" t="s">
        <v>291</v>
      </c>
      <c r="B44" s="115">
        <v>0</v>
      </c>
      <c r="C44" s="26">
        <v>0</v>
      </c>
      <c r="D44" s="115">
        <v>0</v>
      </c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23.25" hidden="1" customHeight="1">
      <c r="A45" s="14" t="s">
        <v>292</v>
      </c>
      <c r="B45" s="115"/>
      <c r="C45" s="26">
        <v>0</v>
      </c>
      <c r="D45" s="115">
        <v>0</v>
      </c>
    </row>
    <row r="46" spans="1:60" ht="23.25" hidden="1" customHeight="1">
      <c r="A46" s="14"/>
      <c r="B46" s="115"/>
      <c r="C46" s="26"/>
      <c r="D46" s="9"/>
    </row>
    <row r="47" spans="1:60" ht="23.25" hidden="1" customHeight="1">
      <c r="A47" s="14" t="s">
        <v>293</v>
      </c>
      <c r="B47" s="64">
        <v>0</v>
      </c>
      <c r="C47" s="26">
        <v>0</v>
      </c>
      <c r="D47" s="115">
        <v>0</v>
      </c>
    </row>
    <row r="48" spans="1:60" ht="23.25" hidden="1" customHeight="1">
      <c r="A48" s="14" t="s">
        <v>294</v>
      </c>
      <c r="B48" s="64">
        <v>0</v>
      </c>
      <c r="C48" s="26">
        <v>0</v>
      </c>
      <c r="D48" s="115">
        <v>0</v>
      </c>
    </row>
    <row r="49" spans="1:5" ht="23.25" hidden="1" customHeight="1">
      <c r="A49" s="14" t="s">
        <v>295</v>
      </c>
      <c r="B49" s="64">
        <v>0</v>
      </c>
      <c r="C49" s="26">
        <v>0</v>
      </c>
      <c r="D49" s="115">
        <v>0</v>
      </c>
    </row>
    <row r="50" spans="1:5" ht="23.25" hidden="1" customHeight="1">
      <c r="A50" s="14" t="s">
        <v>296</v>
      </c>
      <c r="B50" s="64">
        <v>0</v>
      </c>
      <c r="C50" s="26">
        <v>0</v>
      </c>
      <c r="D50" s="115">
        <v>0</v>
      </c>
    </row>
    <row r="51" spans="1:5" ht="23.25" hidden="1" customHeight="1">
      <c r="A51" s="14" t="s">
        <v>297</v>
      </c>
      <c r="B51" s="64">
        <v>0</v>
      </c>
      <c r="C51" s="26">
        <v>0</v>
      </c>
      <c r="D51" s="115">
        <v>0</v>
      </c>
    </row>
    <row r="52" spans="1:5" ht="23.25" hidden="1" customHeight="1">
      <c r="A52" s="14" t="s">
        <v>298</v>
      </c>
      <c r="B52" s="64">
        <v>0</v>
      </c>
      <c r="C52" s="26">
        <v>0</v>
      </c>
      <c r="D52" s="115">
        <v>0</v>
      </c>
    </row>
    <row r="53" spans="1:5" ht="23.25" hidden="1">
      <c r="A53" s="14" t="s">
        <v>299</v>
      </c>
      <c r="B53" s="64">
        <v>0</v>
      </c>
      <c r="C53" s="26">
        <v>0</v>
      </c>
      <c r="D53" s="115">
        <v>0</v>
      </c>
    </row>
    <row r="54" spans="1:5" ht="23.25" hidden="1" customHeight="1">
      <c r="A54" s="14" t="s">
        <v>300</v>
      </c>
      <c r="B54" s="64">
        <v>0</v>
      </c>
      <c r="C54" s="26">
        <v>0</v>
      </c>
      <c r="D54" s="115">
        <v>0</v>
      </c>
    </row>
    <row r="55" spans="1:5" ht="23.25" hidden="1" customHeight="1">
      <c r="A55" s="14" t="s">
        <v>301</v>
      </c>
      <c r="B55" s="64">
        <v>0</v>
      </c>
      <c r="C55" s="26">
        <v>0</v>
      </c>
      <c r="D55" s="115">
        <v>0</v>
      </c>
    </row>
    <row r="56" spans="1:5" ht="23.25" hidden="1" customHeight="1">
      <c r="A56" s="14" t="s">
        <v>302</v>
      </c>
      <c r="B56" s="64">
        <v>0</v>
      </c>
      <c r="C56" s="26">
        <v>0</v>
      </c>
      <c r="D56" s="115">
        <v>0</v>
      </c>
    </row>
    <row r="57" spans="1:5" ht="23.25" hidden="1" customHeight="1">
      <c r="A57" s="14" t="s">
        <v>303</v>
      </c>
      <c r="B57" s="64">
        <v>0</v>
      </c>
      <c r="C57" s="26">
        <v>0</v>
      </c>
      <c r="D57" s="115">
        <v>0</v>
      </c>
    </row>
    <row r="58" spans="1:5" ht="23.25" hidden="1" customHeight="1">
      <c r="A58" s="14" t="s">
        <v>304</v>
      </c>
      <c r="B58" s="64">
        <v>0</v>
      </c>
      <c r="C58" s="26">
        <v>0</v>
      </c>
      <c r="D58" s="115">
        <v>0</v>
      </c>
    </row>
    <row r="59" spans="1:5" ht="23.25" hidden="1" customHeight="1">
      <c r="A59" s="14" t="s">
        <v>305</v>
      </c>
      <c r="B59" s="84">
        <v>0</v>
      </c>
      <c r="C59" s="26">
        <v>0</v>
      </c>
      <c r="D59" s="115">
        <v>0</v>
      </c>
    </row>
    <row r="60" spans="1:5" ht="23.25" hidden="1" customHeight="1">
      <c r="A60" s="22"/>
      <c r="B60" s="78"/>
      <c r="C60" s="139"/>
    </row>
    <row r="61" spans="1:5" ht="23.25" hidden="1" customHeight="1">
      <c r="B61" s="78" t="s">
        <v>36</v>
      </c>
      <c r="C61" s="140"/>
    </row>
    <row r="62" spans="1:5" ht="23.25" hidden="1" customHeight="1">
      <c r="B62" s="141"/>
      <c r="C62" s="142"/>
      <c r="D62" s="143"/>
      <c r="E62" s="143"/>
    </row>
    <row r="63" spans="1:5" ht="23.25" hidden="1" customHeight="1">
      <c r="A63" s="142" t="s">
        <v>306</v>
      </c>
      <c r="B63" s="141"/>
      <c r="C63" s="142"/>
      <c r="D63" s="143"/>
      <c r="E63" s="143"/>
    </row>
    <row r="64" spans="1:5" ht="23.25" hidden="1" customHeight="1">
      <c r="A64" s="14" t="s">
        <v>307</v>
      </c>
      <c r="B64" s="14" t="s">
        <v>256</v>
      </c>
      <c r="C64" s="14" t="s">
        <v>281</v>
      </c>
      <c r="D64" s="9" t="s">
        <v>283</v>
      </c>
      <c r="E64" s="9" t="s">
        <v>308</v>
      </c>
    </row>
    <row r="65" spans="1:5" ht="23.25" hidden="1" customHeight="1">
      <c r="A65" s="144"/>
      <c r="B65" s="26"/>
      <c r="C65" s="145"/>
      <c r="D65" s="9"/>
      <c r="E65" s="9"/>
    </row>
    <row r="66" spans="1:5" ht="23.25" hidden="1" customHeight="1">
      <c r="A66" s="146">
        <v>1</v>
      </c>
      <c r="B66" s="146">
        <v>1</v>
      </c>
      <c r="C66" s="147">
        <v>2</v>
      </c>
      <c r="D66" s="147">
        <v>200</v>
      </c>
      <c r="E66" s="148">
        <v>2</v>
      </c>
    </row>
    <row r="67" spans="1:5" ht="23.25" hidden="1" customHeight="1">
      <c r="A67" s="146">
        <v>2</v>
      </c>
      <c r="B67" s="146">
        <v>2</v>
      </c>
      <c r="C67" s="147">
        <v>0</v>
      </c>
      <c r="D67" s="147">
        <v>0</v>
      </c>
      <c r="E67" s="148">
        <v>0</v>
      </c>
    </row>
    <row r="68" spans="1:5" ht="23.25" hidden="1" customHeight="1">
      <c r="A68" s="146">
        <v>3</v>
      </c>
      <c r="B68" s="146">
        <v>5</v>
      </c>
      <c r="C68" s="147">
        <v>2</v>
      </c>
      <c r="D68" s="147">
        <v>1000</v>
      </c>
      <c r="E68" s="148">
        <v>10</v>
      </c>
    </row>
    <row r="69" spans="1:5" ht="23.25" hidden="1" customHeight="1">
      <c r="A69" s="146">
        <v>4</v>
      </c>
      <c r="B69" s="146">
        <v>10</v>
      </c>
      <c r="C69" s="147">
        <v>2</v>
      </c>
      <c r="D69" s="147">
        <v>2000</v>
      </c>
      <c r="E69" s="148">
        <v>20</v>
      </c>
    </row>
    <row r="70" spans="1:5" ht="23.25" hidden="1" customHeight="1">
      <c r="A70" s="146">
        <v>5</v>
      </c>
      <c r="B70" s="146">
        <v>20</v>
      </c>
      <c r="C70" s="147">
        <v>2</v>
      </c>
      <c r="D70" s="147">
        <v>4000</v>
      </c>
      <c r="E70" s="148">
        <v>40</v>
      </c>
    </row>
    <row r="71" spans="1:5" ht="23.25" hidden="1" customHeight="1">
      <c r="A71" s="146">
        <v>6</v>
      </c>
      <c r="B71" s="146">
        <v>50</v>
      </c>
      <c r="C71" s="147">
        <v>6</v>
      </c>
      <c r="D71" s="147">
        <v>30000</v>
      </c>
      <c r="E71" s="148">
        <v>300</v>
      </c>
    </row>
    <row r="72" spans="1:5" ht="23.25" hidden="1" customHeight="1">
      <c r="A72" s="146">
        <v>7</v>
      </c>
      <c r="B72" s="146">
        <v>100</v>
      </c>
      <c r="C72" s="147">
        <v>25</v>
      </c>
      <c r="D72" s="147">
        <v>250000</v>
      </c>
      <c r="E72" s="148">
        <v>2500</v>
      </c>
    </row>
    <row r="73" spans="1:5" ht="23.25" hidden="1" customHeight="1">
      <c r="B73" s="78" t="s">
        <v>68</v>
      </c>
      <c r="C73" s="147">
        <v>39</v>
      </c>
      <c r="D73" s="147">
        <v>287200</v>
      </c>
      <c r="E73" s="148">
        <v>2872</v>
      </c>
    </row>
    <row r="74" spans="1:5" ht="23.25" hidden="1" customHeight="1">
      <c r="A74" s="1" t="s">
        <v>309</v>
      </c>
      <c r="B74" s="78"/>
      <c r="C74" s="103"/>
      <c r="D74" s="149"/>
    </row>
    <row r="75" spans="1:5" ht="23.25" hidden="1" customHeight="1">
      <c r="A75" s="14" t="s">
        <v>307</v>
      </c>
      <c r="B75" s="14" t="s">
        <v>256</v>
      </c>
      <c r="C75" s="145" t="s">
        <v>281</v>
      </c>
      <c r="D75" s="150" t="s">
        <v>310</v>
      </c>
      <c r="E75" s="9" t="s">
        <v>308</v>
      </c>
    </row>
    <row r="76" spans="1:5" ht="23.25" hidden="1" customHeight="1">
      <c r="A76" s="146">
        <v>1</v>
      </c>
      <c r="B76" s="26">
        <v>0</v>
      </c>
      <c r="C76" s="147">
        <v>0</v>
      </c>
      <c r="D76" s="147">
        <v>0</v>
      </c>
      <c r="E76" s="26">
        <v>0</v>
      </c>
    </row>
    <row r="77" spans="1:5" ht="23.25" hidden="1" customHeight="1">
      <c r="A77" s="146">
        <v>2</v>
      </c>
      <c r="B77" s="26">
        <v>0</v>
      </c>
      <c r="C77" s="147">
        <v>0</v>
      </c>
      <c r="D77" s="147">
        <v>0</v>
      </c>
      <c r="E77" s="26">
        <v>0</v>
      </c>
    </row>
    <row r="78" spans="1:5" ht="23.25" hidden="1" customHeight="1">
      <c r="A78" s="146">
        <v>3</v>
      </c>
      <c r="B78" s="26">
        <v>0</v>
      </c>
      <c r="C78" s="147">
        <v>0</v>
      </c>
      <c r="D78" s="147">
        <v>0</v>
      </c>
      <c r="E78" s="26">
        <v>0</v>
      </c>
    </row>
    <row r="79" spans="1:5" ht="23.25" hidden="1" customHeight="1">
      <c r="A79" s="146">
        <v>4</v>
      </c>
      <c r="B79" s="26">
        <v>0</v>
      </c>
      <c r="C79" s="147">
        <v>0</v>
      </c>
      <c r="D79" s="147">
        <v>0</v>
      </c>
      <c r="E79" s="26">
        <v>0</v>
      </c>
    </row>
    <row r="80" spans="1:5" ht="23.25" hidden="1" customHeight="1">
      <c r="A80" s="146">
        <v>5</v>
      </c>
      <c r="B80" s="26">
        <v>0</v>
      </c>
      <c r="C80" s="147">
        <v>0</v>
      </c>
      <c r="D80" s="147">
        <v>0</v>
      </c>
      <c r="E80" s="26">
        <v>0</v>
      </c>
    </row>
    <row r="81" spans="1:5" ht="23.25" hidden="1">
      <c r="A81" s="146">
        <v>6</v>
      </c>
      <c r="B81" s="26">
        <v>0</v>
      </c>
      <c r="C81" s="147">
        <v>0</v>
      </c>
      <c r="D81" s="147">
        <v>0</v>
      </c>
      <c r="E81" s="26">
        <v>0</v>
      </c>
    </row>
    <row r="82" spans="1:5" ht="23.25" hidden="1">
      <c r="A82" s="26"/>
      <c r="B82" s="14" t="s">
        <v>68</v>
      </c>
      <c r="C82" s="147">
        <v>0</v>
      </c>
      <c r="D82" s="147">
        <v>0</v>
      </c>
      <c r="E82" s="26">
        <v>0</v>
      </c>
    </row>
    <row r="83" spans="1:5" ht="23.25" hidden="1">
      <c r="B83" s="78"/>
      <c r="C83" s="1"/>
    </row>
    <row r="84" spans="1:5" ht="23.25" hidden="1">
      <c r="A84" s="136" t="s">
        <v>311</v>
      </c>
      <c r="B84" s="78"/>
      <c r="C84" s="1"/>
    </row>
    <row r="85" spans="1:5" ht="23.25" hidden="1">
      <c r="A85" s="78"/>
      <c r="B85" s="1" t="s">
        <v>312</v>
      </c>
      <c r="C85" s="1" t="s">
        <v>256</v>
      </c>
      <c r="D85" t="s">
        <v>313</v>
      </c>
    </row>
    <row r="86" spans="1:5" ht="23.25" hidden="1">
      <c r="A86" s="14" t="s">
        <v>314</v>
      </c>
      <c r="B86" s="115">
        <v>0</v>
      </c>
      <c r="C86" s="26">
        <v>0</v>
      </c>
      <c r="D86" s="26">
        <v>0</v>
      </c>
    </row>
    <row r="87" spans="1:5" ht="23.25" hidden="1">
      <c r="A87" s="14" t="s">
        <v>315</v>
      </c>
      <c r="B87" s="115">
        <v>0</v>
      </c>
      <c r="C87" s="26">
        <v>0</v>
      </c>
      <c r="D87" s="9"/>
    </row>
    <row r="88" spans="1:5" ht="23.25" hidden="1">
      <c r="A88" s="1" t="s">
        <v>316</v>
      </c>
      <c r="B88" s="115">
        <v>0</v>
      </c>
      <c r="C88" s="26">
        <v>0</v>
      </c>
      <c r="D88" s="14"/>
    </row>
    <row r="89" spans="1:5" ht="23.25" hidden="1">
      <c r="A89" s="14" t="s">
        <v>317</v>
      </c>
      <c r="B89" s="115">
        <v>0</v>
      </c>
      <c r="C89" s="26">
        <v>0</v>
      </c>
      <c r="D89" s="14"/>
    </row>
    <row r="90" spans="1:5" ht="23.25" hidden="1">
      <c r="A90" s="1" t="s">
        <v>318</v>
      </c>
      <c r="B90" s="115">
        <v>0</v>
      </c>
      <c r="C90" s="26">
        <v>0</v>
      </c>
      <c r="D90" s="14"/>
    </row>
    <row r="91" spans="1:5" ht="23.25" hidden="1">
      <c r="A91" s="151" t="s">
        <v>319</v>
      </c>
      <c r="B91" s="115">
        <v>0</v>
      </c>
      <c r="C91" s="26">
        <v>0</v>
      </c>
      <c r="D91" s="9"/>
    </row>
    <row r="92" spans="1:5" ht="23.25" hidden="1">
      <c r="A92" s="151" t="s">
        <v>320</v>
      </c>
      <c r="B92" s="115"/>
      <c r="C92" s="152"/>
      <c r="D92" s="26">
        <v>0</v>
      </c>
    </row>
    <row r="93" spans="1:5" ht="23.25" hidden="1">
      <c r="A93" s="14" t="s">
        <v>315</v>
      </c>
      <c r="B93" s="115">
        <v>0</v>
      </c>
      <c r="C93" s="26">
        <v>0</v>
      </c>
      <c r="D93" s="9"/>
    </row>
    <row r="94" spans="1:5" ht="23.25" hidden="1">
      <c r="A94" s="14" t="s">
        <v>316</v>
      </c>
      <c r="B94" s="115">
        <v>0</v>
      </c>
      <c r="C94" s="26">
        <v>0</v>
      </c>
      <c r="D94" s="9"/>
    </row>
    <row r="95" spans="1:5" ht="23.25" hidden="1">
      <c r="A95" s="151" t="s">
        <v>317</v>
      </c>
      <c r="B95" s="115">
        <v>0</v>
      </c>
      <c r="C95" s="26">
        <v>0</v>
      </c>
      <c r="D95" s="9"/>
    </row>
    <row r="96" spans="1:5" ht="23.25" hidden="1">
      <c r="A96" s="14" t="s">
        <v>318</v>
      </c>
      <c r="B96" s="115">
        <v>0</v>
      </c>
      <c r="C96" s="26">
        <v>0</v>
      </c>
      <c r="D96" s="9"/>
    </row>
    <row r="97" spans="1:6" ht="23.25" hidden="1">
      <c r="A97" s="14" t="s">
        <v>319</v>
      </c>
      <c r="B97" s="115">
        <v>0</v>
      </c>
      <c r="C97" s="26">
        <v>0</v>
      </c>
      <c r="D97" s="9"/>
    </row>
    <row r="98" spans="1:6" ht="23.25">
      <c r="A98" s="22"/>
      <c r="B98" s="153"/>
      <c r="C98" s="24"/>
      <c r="D98" s="24"/>
    </row>
    <row r="99" spans="1:6" ht="15">
      <c r="A99" s="1100" t="s">
        <v>321</v>
      </c>
      <c r="B99" s="1100"/>
    </row>
    <row r="100" spans="1:6" ht="23.25">
      <c r="A100" s="14" t="s">
        <v>645</v>
      </c>
      <c r="B100" s="26">
        <v>72568</v>
      </c>
    </row>
    <row r="101" spans="1:6" ht="15">
      <c r="A101" s="400"/>
      <c r="B101" s="401"/>
    </row>
    <row r="102" spans="1:6" ht="23.25">
      <c r="A102" s="14" t="s">
        <v>322</v>
      </c>
      <c r="B102" s="26">
        <v>62044</v>
      </c>
      <c r="D102" s="132"/>
      <c r="E102" s="16"/>
      <c r="F102" s="16"/>
    </row>
    <row r="103" spans="1:6" ht="15">
      <c r="A103" s="400"/>
      <c r="B103" s="401"/>
    </row>
    <row r="104" spans="1:6" ht="23.25">
      <c r="A104" s="14" t="s">
        <v>323</v>
      </c>
      <c r="B104" s="26">
        <v>314417</v>
      </c>
    </row>
    <row r="105" spans="1:6" ht="15">
      <c r="A105" s="400"/>
      <c r="B105" s="401"/>
    </row>
    <row r="106" spans="1:6" ht="23.25">
      <c r="A106" s="14" t="s">
        <v>324</v>
      </c>
      <c r="B106" s="26">
        <v>358413</v>
      </c>
    </row>
    <row r="107" spans="1:6">
      <c r="A107" s="14"/>
      <c r="B107" s="401"/>
    </row>
    <row r="108" spans="1:6" ht="23.25">
      <c r="A108" s="14" t="s">
        <v>325</v>
      </c>
      <c r="B108" s="26">
        <v>0</v>
      </c>
    </row>
    <row r="109" spans="1:6" ht="15">
      <c r="A109" s="400"/>
      <c r="B109" s="401"/>
    </row>
    <row r="110" spans="1:6" ht="23.25">
      <c r="A110" s="14" t="s">
        <v>326</v>
      </c>
      <c r="B110" s="26">
        <v>0</v>
      </c>
    </row>
    <row r="111" spans="1:6" ht="15">
      <c r="A111" s="400"/>
      <c r="B111" s="401"/>
    </row>
    <row r="112" spans="1:6" ht="23.25">
      <c r="A112" s="14" t="s">
        <v>327</v>
      </c>
      <c r="B112" s="26">
        <f>B102</f>
        <v>62044</v>
      </c>
    </row>
    <row r="113" spans="1:2" ht="15">
      <c r="A113" s="400"/>
      <c r="B113" s="401"/>
    </row>
    <row r="114" spans="1:2" ht="23.25">
      <c r="A114" s="14" t="s">
        <v>328</v>
      </c>
      <c r="B114" s="26">
        <f>B100</f>
        <v>72568</v>
      </c>
    </row>
  </sheetData>
  <sheetProtection selectLockedCells="1" selectUnlockedCells="1"/>
  <mergeCells count="1">
    <mergeCell ref="A99:B99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L95"/>
  <sheetViews>
    <sheetView zoomScale="160" zoomScaleNormal="160" workbookViewId="0">
      <pane xSplit="1" ySplit="4" topLeftCell="B38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11" defaultRowHeight="12"/>
  <cols>
    <col min="1" max="1" width="29.85546875" customWidth="1"/>
    <col min="2" max="2" width="16.85546875" customWidth="1"/>
    <col min="3" max="3" width="13.140625" customWidth="1"/>
    <col min="4" max="4" width="12.28515625" customWidth="1"/>
    <col min="5" max="5" width="1.28515625" customWidth="1"/>
    <col min="6" max="6" width="10.7109375" customWidth="1"/>
    <col min="7" max="7" width="14.7109375" customWidth="1"/>
    <col min="8" max="8" width="13.5703125" customWidth="1"/>
  </cols>
  <sheetData>
    <row r="1" spans="1:12">
      <c r="A1" t="s">
        <v>649</v>
      </c>
      <c r="B1" t="s">
        <v>650</v>
      </c>
    </row>
    <row r="3" spans="1:12">
      <c r="B3" s="412" t="s">
        <v>370</v>
      </c>
      <c r="C3" s="412" t="s">
        <v>571</v>
      </c>
      <c r="D3" s="412" t="s">
        <v>457</v>
      </c>
      <c r="E3" s="413"/>
      <c r="F3" s="412" t="s">
        <v>651</v>
      </c>
      <c r="G3" s="412" t="s">
        <v>370</v>
      </c>
      <c r="H3" s="412" t="s">
        <v>652</v>
      </c>
    </row>
    <row r="4" spans="1:12">
      <c r="B4" s="124">
        <v>48</v>
      </c>
      <c r="C4" s="124">
        <v>49</v>
      </c>
      <c r="D4" s="124">
        <v>50</v>
      </c>
      <c r="E4" s="414"/>
      <c r="F4" s="124">
        <v>51</v>
      </c>
      <c r="G4" s="124">
        <v>52</v>
      </c>
      <c r="H4" s="124">
        <v>53</v>
      </c>
      <c r="K4">
        <v>52</v>
      </c>
      <c r="L4">
        <v>53</v>
      </c>
    </row>
    <row r="5" spans="1:12" ht="14.25">
      <c r="A5" s="14" t="s">
        <v>76</v>
      </c>
      <c r="B5" s="415">
        <f>'50N'!B8</f>
        <v>64312.98</v>
      </c>
      <c r="C5" s="57">
        <f>'49'!B8</f>
        <v>71083.44</v>
      </c>
      <c r="D5" s="57">
        <f>'50'!B8</f>
        <v>57258.94</v>
      </c>
      <c r="E5" s="416"/>
      <c r="F5" s="417">
        <f>'51'!B8</f>
        <v>154995.64000000001</v>
      </c>
      <c r="G5" s="57">
        <f>'52'!B8</f>
        <v>183304.57</v>
      </c>
      <c r="H5" s="57">
        <f>'53'!B8</f>
        <v>146034.47</v>
      </c>
    </row>
    <row r="6" spans="1:12" ht="14.25">
      <c r="A6" s="14" t="s">
        <v>333</v>
      </c>
      <c r="B6" s="415">
        <f>'50N'!B9</f>
        <v>62353.25</v>
      </c>
      <c r="C6" s="57">
        <f>'49'!B10</f>
        <v>67681.759999999995</v>
      </c>
      <c r="D6" s="57">
        <f>'50'!B9</f>
        <v>56609.440000000002</v>
      </c>
      <c r="E6" s="416"/>
      <c r="F6" s="417">
        <f>'51'!B9</f>
        <v>138722.75</v>
      </c>
      <c r="G6" s="57">
        <f>'52'!B9</f>
        <v>178684.02</v>
      </c>
      <c r="H6" s="57">
        <f>'53'!B9</f>
        <v>154774.57999999999</v>
      </c>
    </row>
    <row r="7" spans="1:12" ht="14.25">
      <c r="A7" s="14" t="s">
        <v>334</v>
      </c>
      <c r="B7" s="415">
        <f>'50N'!B10</f>
        <v>62353.25</v>
      </c>
      <c r="C7" s="57">
        <f>'49'!B11</f>
        <v>67681.759999999995</v>
      </c>
      <c r="D7" s="57">
        <f>'50'!B10</f>
        <v>56609.440000000002</v>
      </c>
      <c r="E7" s="416"/>
      <c r="F7" s="417">
        <f>'51'!B10</f>
        <v>138722.75</v>
      </c>
      <c r="G7" s="57">
        <f>'52'!B10</f>
        <v>178684.02</v>
      </c>
      <c r="H7" s="57">
        <f>'53'!B10</f>
        <v>154774.57999999999</v>
      </c>
    </row>
    <row r="8" spans="1:12" ht="14.25">
      <c r="A8" s="14" t="s">
        <v>90</v>
      </c>
      <c r="B8" s="415">
        <f>'50N'!B11</f>
        <v>19031</v>
      </c>
      <c r="C8" s="57">
        <f>'49'!B12</f>
        <v>29136</v>
      </c>
      <c r="D8" s="57">
        <f>'50'!B11</f>
        <v>17292</v>
      </c>
      <c r="E8" s="416"/>
      <c r="F8" s="417">
        <f>'51'!B11</f>
        <v>21820</v>
      </c>
      <c r="G8" s="57">
        <f>'52'!B11</f>
        <v>30260</v>
      </c>
      <c r="H8" s="57">
        <f>'53'!B11</f>
        <v>23820</v>
      </c>
    </row>
    <row r="9" spans="1:12" ht="14.25">
      <c r="A9" s="14" t="s">
        <v>335</v>
      </c>
      <c r="B9" s="415">
        <f>'50N'!B12</f>
        <v>0</v>
      </c>
      <c r="C9" s="57">
        <f>'49'!B13</f>
        <v>0</v>
      </c>
      <c r="D9" s="57">
        <f>'50'!B12</f>
        <v>0</v>
      </c>
      <c r="E9" s="416"/>
      <c r="F9" s="417">
        <f>'51'!B12</f>
        <v>0</v>
      </c>
      <c r="G9" s="57">
        <f>'52'!B12</f>
        <v>0</v>
      </c>
      <c r="H9" s="57">
        <f>'53'!B12</f>
        <v>0</v>
      </c>
    </row>
    <row r="10" spans="1:12" ht="14.25">
      <c r="A10" s="14" t="s">
        <v>336</v>
      </c>
      <c r="B10" s="415">
        <f>'50N'!B13</f>
        <v>0</v>
      </c>
      <c r="C10" s="57">
        <f>'49'!B14</f>
        <v>0</v>
      </c>
      <c r="D10" s="57">
        <f>'50'!B13</f>
        <v>0</v>
      </c>
      <c r="E10" s="416"/>
      <c r="F10" s="417">
        <f>'51'!B13</f>
        <v>0</v>
      </c>
      <c r="G10" s="57">
        <f>'52'!B13</f>
        <v>0</v>
      </c>
      <c r="H10" s="57">
        <f>'53'!B13</f>
        <v>0</v>
      </c>
    </row>
    <row r="11" spans="1:12" ht="14.25">
      <c r="A11" s="14" t="s">
        <v>337</v>
      </c>
      <c r="B11" s="415">
        <f>'50N'!B14</f>
        <v>0</v>
      </c>
      <c r="C11" s="57">
        <f>'49'!B15</f>
        <v>0</v>
      </c>
      <c r="D11" s="57">
        <f>'50'!B14</f>
        <v>0</v>
      </c>
      <c r="E11" s="416"/>
      <c r="F11" s="417">
        <f>'51'!B14</f>
        <v>0</v>
      </c>
      <c r="G11" s="57">
        <f>'52'!B14</f>
        <v>0</v>
      </c>
      <c r="H11" s="57">
        <f>'53'!B14</f>
        <v>0</v>
      </c>
    </row>
    <row r="12" spans="1:12" ht="14.25">
      <c r="A12" s="14" t="s">
        <v>338</v>
      </c>
      <c r="B12" s="415">
        <f>'50N'!B15</f>
        <v>87021</v>
      </c>
      <c r="C12" s="57">
        <f>'49'!B16</f>
        <v>107920</v>
      </c>
      <c r="D12" s="57">
        <f>'50'!B15</f>
        <v>45092</v>
      </c>
      <c r="E12" s="416"/>
      <c r="F12" s="417">
        <f>'51'!B15</f>
        <v>237464</v>
      </c>
      <c r="G12" s="57">
        <f>'52'!B15</f>
        <v>332017</v>
      </c>
      <c r="H12" s="57">
        <f>'53'!B15</f>
        <v>338432</v>
      </c>
    </row>
    <row r="13" spans="1:12" ht="14.25">
      <c r="A13" s="14" t="s">
        <v>339</v>
      </c>
      <c r="B13" s="415">
        <f>'50N'!B16</f>
        <v>22453</v>
      </c>
      <c r="C13" s="57">
        <f>'49'!B17</f>
        <v>28071</v>
      </c>
      <c r="D13" s="57">
        <f>'50'!B16</f>
        <v>13402</v>
      </c>
      <c r="E13" s="416"/>
      <c r="F13" s="417">
        <f>'51'!B16</f>
        <v>69977</v>
      </c>
      <c r="G13" s="57">
        <f>'52'!B16</f>
        <v>93935</v>
      </c>
      <c r="H13" s="57">
        <f>'53'!B16</f>
        <v>85572</v>
      </c>
    </row>
    <row r="14" spans="1:12" ht="14.25">
      <c r="A14" s="14" t="s">
        <v>340</v>
      </c>
      <c r="B14" s="415">
        <f>'50N'!B17</f>
        <v>0</v>
      </c>
      <c r="C14" s="57">
        <f>'49'!B18</f>
        <v>0</v>
      </c>
      <c r="D14" s="57">
        <f>'50'!B17</f>
        <v>0</v>
      </c>
      <c r="E14" s="416"/>
      <c r="F14" s="417">
        <f>'51'!B17</f>
        <v>0</v>
      </c>
      <c r="G14" s="57">
        <f>'52'!B17</f>
        <v>0</v>
      </c>
      <c r="H14" s="57">
        <f>'53'!B17</f>
        <v>0</v>
      </c>
    </row>
    <row r="15" spans="1:12" ht="14.25">
      <c r="A15" s="14" t="s">
        <v>341</v>
      </c>
      <c r="B15" s="415">
        <f>'50N'!B18</f>
        <v>0</v>
      </c>
      <c r="C15" s="57">
        <f>'49'!B19</f>
        <v>0</v>
      </c>
      <c r="D15" s="57">
        <f>'50'!B18</f>
        <v>0</v>
      </c>
      <c r="E15" s="416"/>
      <c r="F15" s="417">
        <f>'51'!B18</f>
        <v>0</v>
      </c>
      <c r="G15" s="57">
        <f>'52'!B18</f>
        <v>0</v>
      </c>
      <c r="H15" s="57">
        <f>'53'!B18</f>
        <v>0</v>
      </c>
    </row>
    <row r="16" spans="1:12" ht="14.25">
      <c r="A16" s="14" t="s">
        <v>342</v>
      </c>
      <c r="B16" s="415">
        <f>'50N'!B19</f>
        <v>201</v>
      </c>
      <c r="C16" s="57">
        <f>'49'!B20</f>
        <v>238</v>
      </c>
      <c r="D16" s="57">
        <f>'50'!B19</f>
        <v>109</v>
      </c>
      <c r="E16" s="416"/>
      <c r="F16" s="417">
        <f>'51'!B19</f>
        <v>542</v>
      </c>
      <c r="G16" s="57">
        <f>'52'!B19</f>
        <v>855</v>
      </c>
      <c r="H16" s="57">
        <f>'53'!B19</f>
        <v>785</v>
      </c>
    </row>
    <row r="17" spans="1:8" ht="14.25">
      <c r="A17" s="14" t="s">
        <v>343</v>
      </c>
      <c r="B17" s="415">
        <f>'50N'!B20</f>
        <v>1022</v>
      </c>
      <c r="C17" s="57">
        <f>'49'!B21</f>
        <v>1201</v>
      </c>
      <c r="D17" s="57">
        <f>'50'!B20</f>
        <v>190</v>
      </c>
      <c r="E17" s="416"/>
      <c r="F17" s="417">
        <f>'51'!B20</f>
        <v>708</v>
      </c>
      <c r="G17" s="57">
        <f>'52'!B20</f>
        <v>720</v>
      </c>
      <c r="H17" s="57">
        <f>'53'!B20</f>
        <v>724</v>
      </c>
    </row>
    <row r="18" spans="1:8" ht="14.25">
      <c r="A18" s="14" t="s">
        <v>72</v>
      </c>
      <c r="B18" s="415">
        <f>'50N'!B21</f>
        <v>0</v>
      </c>
      <c r="C18" s="57">
        <f>'49'!B22</f>
        <v>0</v>
      </c>
      <c r="D18" s="57">
        <f>'50'!B21</f>
        <v>0</v>
      </c>
      <c r="E18" s="416"/>
      <c r="F18" s="417">
        <f>'51'!B21</f>
        <v>0</v>
      </c>
      <c r="G18" s="57">
        <f>'52'!B21</f>
        <v>0</v>
      </c>
      <c r="H18" s="57">
        <f>'53'!B21</f>
        <v>0</v>
      </c>
    </row>
    <row r="19" spans="1:8" ht="14.25">
      <c r="A19" s="14" t="s">
        <v>344</v>
      </c>
      <c r="B19" s="415">
        <f>'50N'!B22</f>
        <v>0</v>
      </c>
      <c r="C19" s="57">
        <f>'49'!B23</f>
        <v>0</v>
      </c>
      <c r="D19" s="57">
        <f>'50'!B22</f>
        <v>0</v>
      </c>
      <c r="E19" s="416"/>
      <c r="F19" s="417">
        <f>'51'!B22</f>
        <v>0</v>
      </c>
      <c r="G19" s="57">
        <f>'52'!B22</f>
        <v>0</v>
      </c>
      <c r="H19" s="57">
        <f>'53'!B22</f>
        <v>0</v>
      </c>
    </row>
    <row r="20" spans="1:8" ht="14.25">
      <c r="A20" s="14" t="s">
        <v>71</v>
      </c>
      <c r="B20" s="415">
        <f>'50N'!B23</f>
        <v>51812.639999999999</v>
      </c>
      <c r="C20" s="57">
        <f>'49'!B24</f>
        <v>50133.73</v>
      </c>
      <c r="D20" s="57">
        <f>'50'!B23</f>
        <v>46149.31</v>
      </c>
      <c r="E20" s="416"/>
      <c r="F20" s="417">
        <f>'51'!B23</f>
        <v>59613.09</v>
      </c>
      <c r="G20" s="57">
        <f>'52'!B23</f>
        <v>64538</v>
      </c>
      <c r="H20" s="57">
        <f>'53'!B23</f>
        <v>56067.34</v>
      </c>
    </row>
    <row r="21" spans="1:8" ht="14.25">
      <c r="A21" s="14" t="s">
        <v>81</v>
      </c>
      <c r="B21" s="415">
        <f>'50N'!B24</f>
        <v>49852.91</v>
      </c>
      <c r="C21" s="57">
        <f>'49'!B25</f>
        <v>46732.05</v>
      </c>
      <c r="D21" s="57">
        <f>'50'!B24</f>
        <v>45499.81</v>
      </c>
      <c r="E21" s="416"/>
      <c r="F21" s="417">
        <f>'51'!B24</f>
        <v>43340.2</v>
      </c>
      <c r="G21" s="57">
        <f>'52'!B24</f>
        <v>59917.45</v>
      </c>
      <c r="H21" s="57">
        <f>'53'!B24</f>
        <v>64807.45</v>
      </c>
    </row>
    <row r="22" spans="1:8" ht="14.25">
      <c r="A22" s="14" t="s">
        <v>345</v>
      </c>
      <c r="B22" s="415">
        <f>'50N'!B25</f>
        <v>7332.51</v>
      </c>
      <c r="C22" s="57">
        <f>'49'!B26</f>
        <v>13083.69</v>
      </c>
      <c r="D22" s="57">
        <f>'50'!B25</f>
        <v>5466.37</v>
      </c>
      <c r="E22" s="416"/>
      <c r="F22" s="417">
        <f>'51'!B25</f>
        <v>28615.72</v>
      </c>
      <c r="G22" s="57">
        <f>'52'!B25</f>
        <v>29890.23</v>
      </c>
      <c r="H22" s="57">
        <f>'53'!B25</f>
        <v>26504.49</v>
      </c>
    </row>
    <row r="23" spans="1:8" ht="14.25">
      <c r="A23" s="14" t="s">
        <v>346</v>
      </c>
      <c r="B23" s="415">
        <f>'50N'!B26*100</f>
        <v>88.59</v>
      </c>
      <c r="C23" s="57">
        <f>'49'!B27*100</f>
        <v>81.61</v>
      </c>
      <c r="D23" s="57">
        <f>'50'!B26*100</f>
        <v>90.55</v>
      </c>
      <c r="E23" s="416"/>
      <c r="F23" s="417">
        <f>'51'!B26*100</f>
        <v>81.53</v>
      </c>
      <c r="G23" s="57">
        <f>'52'!B26*100</f>
        <v>83.69</v>
      </c>
      <c r="H23" s="57">
        <f>'53'!B26*100</f>
        <v>81.849999999999994</v>
      </c>
    </row>
    <row r="24" spans="1:8" ht="14.25">
      <c r="A24" s="14" t="s">
        <v>347</v>
      </c>
      <c r="B24" s="415">
        <f>'50N'!B27*100</f>
        <v>88.59</v>
      </c>
      <c r="C24" s="57">
        <f>'49'!B28*100</f>
        <v>81.61</v>
      </c>
      <c r="D24" s="57">
        <f>'50'!B27*100</f>
        <v>90.55</v>
      </c>
      <c r="E24" s="416"/>
      <c r="F24" s="417">
        <f>'51'!B27*100</f>
        <v>81.53</v>
      </c>
      <c r="G24" s="57">
        <f>'52'!B27*100</f>
        <v>83.69</v>
      </c>
      <c r="H24" s="57">
        <f>'53'!B27*100</f>
        <v>81.849999999999994</v>
      </c>
    </row>
    <row r="25" spans="1:8" ht="14.25">
      <c r="A25" s="14" t="s">
        <v>348</v>
      </c>
      <c r="B25" s="415">
        <f>'50N'!B28</f>
        <v>0</v>
      </c>
      <c r="C25" s="57">
        <f>'49'!B29</f>
        <v>0</v>
      </c>
      <c r="D25" s="57">
        <f>'50'!B28</f>
        <v>0</v>
      </c>
      <c r="E25" s="416"/>
      <c r="F25" s="417">
        <f>'51'!B28</f>
        <v>0</v>
      </c>
      <c r="G25" s="57">
        <f>'52'!B28</f>
        <v>0</v>
      </c>
      <c r="H25" s="57">
        <f>'53'!B28</f>
        <v>0</v>
      </c>
    </row>
    <row r="26" spans="1:8" ht="14.25">
      <c r="A26" s="14" t="s">
        <v>349</v>
      </c>
      <c r="B26" s="415">
        <f>'50N'!B29</f>
        <v>0</v>
      </c>
      <c r="C26" s="57">
        <f>'49'!B30</f>
        <v>0</v>
      </c>
      <c r="D26" s="57">
        <f>'50'!B29</f>
        <v>0</v>
      </c>
      <c r="E26" s="416"/>
      <c r="F26" s="417">
        <f>'51'!B29</f>
        <v>0</v>
      </c>
      <c r="G26" s="57">
        <f>'52'!B29</f>
        <v>0</v>
      </c>
      <c r="H26" s="57">
        <f>'53'!B29</f>
        <v>0</v>
      </c>
    </row>
    <row r="27" spans="1:8" ht="14.25">
      <c r="A27" s="14" t="s">
        <v>350</v>
      </c>
      <c r="B27" s="415">
        <f>'50N'!B30</f>
        <v>5933</v>
      </c>
      <c r="C27" s="57">
        <f>'49'!B31</f>
        <v>0</v>
      </c>
      <c r="D27" s="57">
        <f>'50'!B30</f>
        <v>0</v>
      </c>
      <c r="E27" s="416"/>
      <c r="F27" s="417">
        <f>'51'!B30</f>
        <v>1409</v>
      </c>
      <c r="G27" s="57">
        <f>'52'!B30</f>
        <v>3638</v>
      </c>
      <c r="H27" s="57">
        <f>'53'!B30</f>
        <v>1373</v>
      </c>
    </row>
    <row r="28" spans="1:8" ht="14.25">
      <c r="A28" s="22" t="s">
        <v>351</v>
      </c>
      <c r="B28" s="415">
        <f>'50N'!B31</f>
        <v>0</v>
      </c>
      <c r="C28" s="57">
        <f>'49'!B32</f>
        <v>0</v>
      </c>
      <c r="D28" s="57">
        <f>'50'!B31</f>
        <v>0</v>
      </c>
      <c r="E28" s="416"/>
      <c r="F28" s="417">
        <f>'51'!B31</f>
        <v>0</v>
      </c>
      <c r="G28" s="57">
        <f>'52'!B31</f>
        <v>0</v>
      </c>
      <c r="H28" s="57">
        <f>'53'!B31</f>
        <v>0</v>
      </c>
    </row>
    <row r="29" spans="1:8" ht="14.25">
      <c r="A29" s="14" t="s">
        <v>352</v>
      </c>
      <c r="B29" s="415">
        <f>'50N'!B32</f>
        <v>31</v>
      </c>
      <c r="C29" s="57">
        <f>'49'!B33</f>
        <v>27</v>
      </c>
      <c r="D29" s="57">
        <f>'50'!B32</f>
        <v>5</v>
      </c>
      <c r="E29" s="416"/>
      <c r="F29" s="417">
        <f>'51'!B32</f>
        <v>4</v>
      </c>
      <c r="G29" s="57">
        <f>'52'!B32</f>
        <v>4</v>
      </c>
      <c r="H29" s="57">
        <f>'53'!B32</f>
        <v>0</v>
      </c>
    </row>
    <row r="30" spans="1:8" ht="14.25">
      <c r="A30" s="1" t="s">
        <v>353</v>
      </c>
      <c r="B30" s="415">
        <f>'50N'!B33</f>
        <v>0</v>
      </c>
      <c r="C30" s="57">
        <f>'49'!B34</f>
        <v>0</v>
      </c>
      <c r="D30" s="57">
        <f>'50'!B33</f>
        <v>0</v>
      </c>
      <c r="E30" s="416"/>
      <c r="F30" s="417">
        <f>'51'!B33</f>
        <v>0</v>
      </c>
      <c r="G30" s="57">
        <f>'52'!B33</f>
        <v>0</v>
      </c>
      <c r="H30" s="57">
        <f>'53'!B33</f>
        <v>0</v>
      </c>
    </row>
    <row r="31" spans="1:8" ht="14.25">
      <c r="A31" s="14" t="s">
        <v>354</v>
      </c>
      <c r="B31" s="415">
        <f>'50N'!B34</f>
        <v>472</v>
      </c>
      <c r="C31" s="57">
        <f>'49'!B35</f>
        <v>355</v>
      </c>
      <c r="D31" s="57">
        <f>'50'!B34</f>
        <v>28</v>
      </c>
      <c r="E31" s="416"/>
      <c r="F31" s="417">
        <f>'51'!B34</f>
        <v>998</v>
      </c>
      <c r="G31" s="57">
        <f>'52'!B34</f>
        <v>732</v>
      </c>
      <c r="H31" s="57">
        <f>'53'!B34</f>
        <v>611</v>
      </c>
    </row>
    <row r="32" spans="1:8" ht="14.25">
      <c r="A32" s="14" t="s">
        <v>355</v>
      </c>
      <c r="B32" s="415">
        <f>'50N'!B35</f>
        <v>472</v>
      </c>
      <c r="C32" s="57">
        <f>'49'!B36</f>
        <v>355</v>
      </c>
      <c r="D32" s="57">
        <f>'50'!B35</f>
        <v>28</v>
      </c>
      <c r="E32" s="416"/>
      <c r="F32" s="417">
        <f>'51'!B35</f>
        <v>998</v>
      </c>
      <c r="G32" s="57">
        <f>'52'!B35</f>
        <v>732</v>
      </c>
      <c r="H32" s="57">
        <f>'53'!B35</f>
        <v>611</v>
      </c>
    </row>
    <row r="33" spans="1:8" ht="14.25">
      <c r="A33" s="14" t="s">
        <v>356</v>
      </c>
      <c r="B33" s="415">
        <f>'50N'!B36</f>
        <v>282</v>
      </c>
      <c r="C33" s="57">
        <f>'49'!B37</f>
        <v>349</v>
      </c>
      <c r="D33" s="57">
        <f>'50'!B36</f>
        <v>28</v>
      </c>
      <c r="E33" s="416"/>
      <c r="F33" s="417">
        <f>'51'!B36</f>
        <v>579</v>
      </c>
      <c r="G33" s="57">
        <f>'52'!B36</f>
        <v>578</v>
      </c>
      <c r="H33" s="57">
        <f>'53'!B36</f>
        <v>572</v>
      </c>
    </row>
    <row r="34" spans="1:8" ht="14.25">
      <c r="A34" s="14" t="s">
        <v>653</v>
      </c>
      <c r="B34" s="415">
        <v>0</v>
      </c>
      <c r="C34" s="415">
        <v>0</v>
      </c>
      <c r="D34" s="415">
        <v>0</v>
      </c>
      <c r="E34" s="416"/>
      <c r="F34" s="417">
        <v>0</v>
      </c>
      <c r="G34" s="417">
        <v>0</v>
      </c>
      <c r="H34" s="417">
        <v>0</v>
      </c>
    </row>
    <row r="35" spans="1:8" ht="14.25">
      <c r="A35" s="14" t="s">
        <v>654</v>
      </c>
      <c r="B35" s="415">
        <v>0</v>
      </c>
      <c r="C35" s="415">
        <v>0</v>
      </c>
      <c r="D35" s="415">
        <v>0</v>
      </c>
      <c r="E35" s="416"/>
      <c r="F35" s="417">
        <v>0</v>
      </c>
      <c r="G35" s="417">
        <v>0</v>
      </c>
      <c r="H35" s="417">
        <v>0</v>
      </c>
    </row>
    <row r="36" spans="1:8" ht="14.25">
      <c r="A36" s="14" t="s">
        <v>357</v>
      </c>
      <c r="B36" s="415">
        <f>'50N'!B37*100</f>
        <v>0</v>
      </c>
      <c r="C36" s="57">
        <f>'49'!B38*100</f>
        <v>0</v>
      </c>
      <c r="D36" s="57">
        <f>'50'!B37*100</f>
        <v>0</v>
      </c>
      <c r="E36" s="416"/>
      <c r="F36" s="417">
        <f>'51'!B37*100</f>
        <v>0.11</v>
      </c>
      <c r="G36" s="57">
        <f>'52'!B37*100</f>
        <v>6.9999999999999993E-2</v>
      </c>
      <c r="H36" s="57">
        <f>'53'!B37*100</f>
        <v>0.16999999999999998</v>
      </c>
    </row>
    <row r="37" spans="1:8" ht="14.25">
      <c r="A37" s="22" t="s">
        <v>358</v>
      </c>
      <c r="B37" s="415">
        <f>'50N'!B38</f>
        <v>0</v>
      </c>
      <c r="C37" s="57">
        <f>'49'!B39</f>
        <v>0</v>
      </c>
      <c r="D37" s="57">
        <f>'50'!B38</f>
        <v>0</v>
      </c>
      <c r="E37" s="416"/>
      <c r="F37" s="417">
        <f>'51'!B38</f>
        <v>40.98</v>
      </c>
      <c r="G37" s="57">
        <f>'52'!B38</f>
        <v>71.47</v>
      </c>
      <c r="H37" s="57">
        <f>'53'!B38</f>
        <v>37.369999999999997</v>
      </c>
    </row>
    <row r="38" spans="1:8" ht="14.25">
      <c r="A38" s="14" t="s">
        <v>359</v>
      </c>
      <c r="B38" s="415">
        <f>'50N'!B39</f>
        <v>0</v>
      </c>
      <c r="C38" s="57">
        <f>'49'!B40</f>
        <v>0</v>
      </c>
      <c r="D38" s="57">
        <f>'50'!B39</f>
        <v>0</v>
      </c>
      <c r="E38" s="416"/>
      <c r="F38" s="417">
        <f>'51'!B39</f>
        <v>24.09</v>
      </c>
      <c r="G38" s="57">
        <f>'52'!B39</f>
        <v>68.86</v>
      </c>
      <c r="H38" s="57">
        <f>'53'!B39</f>
        <v>54.54</v>
      </c>
    </row>
    <row r="39" spans="1:8" ht="14.25">
      <c r="A39" s="66" t="s">
        <v>360</v>
      </c>
      <c r="B39" s="415">
        <f>'50N'!B40*100</f>
        <v>0</v>
      </c>
      <c r="C39" s="57">
        <f>'49'!B41*100</f>
        <v>0</v>
      </c>
      <c r="D39" s="57">
        <f>'50'!B40*100</f>
        <v>0</v>
      </c>
      <c r="E39" s="416"/>
      <c r="F39" s="417">
        <f>'51'!B40*100</f>
        <v>58.78</v>
      </c>
      <c r="G39" s="57">
        <f>'52'!B40*100</f>
        <v>96.34</v>
      </c>
      <c r="H39" s="57">
        <f>'53'!B40*100</f>
        <v>145.94</v>
      </c>
    </row>
    <row r="40" spans="1:8" ht="14.25">
      <c r="A40" s="14" t="s">
        <v>361</v>
      </c>
      <c r="B40" s="415">
        <f>'50N'!B41</f>
        <v>19031</v>
      </c>
      <c r="C40" s="57">
        <f>'49'!B42</f>
        <v>29136</v>
      </c>
      <c r="D40" s="57">
        <f>'50'!B41</f>
        <v>17292</v>
      </c>
      <c r="E40" s="416"/>
      <c r="F40" s="417">
        <f>'51'!B41</f>
        <v>21820</v>
      </c>
      <c r="G40" s="57">
        <f>'52'!B41</f>
        <v>30260</v>
      </c>
      <c r="H40" s="57">
        <f>'53'!B41</f>
        <v>23820</v>
      </c>
    </row>
    <row r="41" spans="1:8" ht="14.25">
      <c r="A41" s="1" t="s">
        <v>362</v>
      </c>
      <c r="B41" s="415">
        <f>'50N'!B42</f>
        <v>503</v>
      </c>
      <c r="C41" s="57">
        <f>'49'!B43</f>
        <v>821</v>
      </c>
      <c r="D41" s="57">
        <f>'50'!B42</f>
        <v>239</v>
      </c>
      <c r="E41" s="416"/>
      <c r="F41" s="417">
        <f>'51'!B42</f>
        <v>1042</v>
      </c>
      <c r="G41" s="57">
        <f>'52'!B42</f>
        <v>1333</v>
      </c>
      <c r="H41" s="57">
        <f>'53'!B42</f>
        <v>1485</v>
      </c>
    </row>
    <row r="42" spans="1:8" ht="14.25">
      <c r="A42" s="14"/>
      <c r="B42" s="415"/>
      <c r="C42" s="57"/>
      <c r="D42" s="57"/>
      <c r="F42" s="417"/>
      <c r="G42" s="57"/>
      <c r="H42" s="57"/>
    </row>
    <row r="43" spans="1:8" ht="14.25">
      <c r="A43" s="1" t="s">
        <v>655</v>
      </c>
      <c r="C43" s="418" t="s">
        <v>455</v>
      </c>
      <c r="D43" s="419">
        <f>B48</f>
        <v>4898</v>
      </c>
      <c r="G43" s="418" t="s">
        <v>371</v>
      </c>
      <c r="H43" s="419">
        <f>G48</f>
        <v>4011.11</v>
      </c>
    </row>
    <row r="44" spans="1:8" ht="23.25">
      <c r="A44" s="168" t="s">
        <v>455</v>
      </c>
      <c r="B44" s="169"/>
      <c r="C44" s="149"/>
      <c r="D44" s="401"/>
      <c r="F44" s="420" t="s">
        <v>371</v>
      </c>
      <c r="G44" s="149"/>
      <c r="H44" s="401"/>
    </row>
    <row r="45" spans="1:8" ht="23.25">
      <c r="A45" s="421" t="s">
        <v>372</v>
      </c>
      <c r="B45" s="169"/>
      <c r="C45" s="149"/>
      <c r="D45" s="421" t="s">
        <v>372</v>
      </c>
      <c r="F45" s="422"/>
      <c r="G45" s="149"/>
      <c r="H45" s="401"/>
    </row>
    <row r="46" spans="1:8" ht="14.25">
      <c r="A46" s="14" t="s">
        <v>374</v>
      </c>
      <c r="B46" s="423">
        <f>'50N'!B46</f>
        <v>18</v>
      </c>
      <c r="C46" s="1"/>
      <c r="D46" s="1102" t="s">
        <v>374</v>
      </c>
      <c r="E46" s="1102"/>
      <c r="F46" s="1102"/>
      <c r="G46" s="423">
        <f>'53'!B45</f>
        <v>7</v>
      </c>
    </row>
    <row r="47" spans="1:8" ht="16.5" customHeight="1">
      <c r="A47" s="14" t="s">
        <v>375</v>
      </c>
      <c r="B47" s="424">
        <f>'50N'!B47</f>
        <v>92673.78</v>
      </c>
      <c r="C47" s="1"/>
      <c r="D47" s="1102" t="s">
        <v>375</v>
      </c>
      <c r="E47" s="1102"/>
      <c r="F47" s="1102"/>
      <c r="G47" s="424">
        <f>'53'!B46</f>
        <v>31261.59</v>
      </c>
    </row>
    <row r="48" spans="1:8" ht="16.5" customHeight="1">
      <c r="A48" s="69" t="s">
        <v>376</v>
      </c>
      <c r="B48" s="424">
        <f>'50N'!B48</f>
        <v>4898</v>
      </c>
      <c r="C48" s="1"/>
      <c r="D48" s="1103" t="s">
        <v>376</v>
      </c>
      <c r="E48" s="1103"/>
      <c r="F48" s="1103"/>
      <c r="G48" s="424">
        <f>'53'!B47</f>
        <v>4011.11</v>
      </c>
    </row>
    <row r="49" spans="1:7" ht="14.25">
      <c r="A49" s="14" t="s">
        <v>377</v>
      </c>
      <c r="B49" s="424">
        <f>'50N'!B49</f>
        <v>4000</v>
      </c>
      <c r="C49" s="1"/>
      <c r="D49" s="1102" t="s">
        <v>377</v>
      </c>
      <c r="E49" s="1102"/>
      <c r="F49" s="1102"/>
      <c r="G49" s="424">
        <f>'53'!B48</f>
        <v>4000</v>
      </c>
    </row>
    <row r="50" spans="1:7" ht="14.25">
      <c r="A50" s="14" t="s">
        <v>378</v>
      </c>
      <c r="B50" s="424">
        <f>'50N'!B50</f>
        <v>0</v>
      </c>
      <c r="C50" s="1"/>
      <c r="D50" s="1102" t="s">
        <v>378</v>
      </c>
      <c r="E50" s="1102"/>
      <c r="F50" s="1102"/>
      <c r="G50" s="424">
        <f>'53'!B49</f>
        <v>0</v>
      </c>
    </row>
    <row r="51" spans="1:7" ht="14.25">
      <c r="A51" s="14" t="s">
        <v>379</v>
      </c>
      <c r="B51" s="424">
        <f>'50N'!B51</f>
        <v>0</v>
      </c>
      <c r="C51" s="1"/>
      <c r="D51" s="1102" t="s">
        <v>379</v>
      </c>
      <c r="E51" s="1102"/>
      <c r="F51" s="1102"/>
      <c r="G51" s="424">
        <f>'53'!B50</f>
        <v>0</v>
      </c>
    </row>
    <row r="52" spans="1:7" ht="14.25">
      <c r="A52" s="14" t="s">
        <v>380</v>
      </c>
      <c r="B52" s="424">
        <f>'50N'!B52</f>
        <v>0</v>
      </c>
      <c r="C52" s="1"/>
      <c r="D52" s="1102" t="s">
        <v>380</v>
      </c>
      <c r="E52" s="1102"/>
      <c r="F52" s="1102"/>
      <c r="G52" s="424">
        <f>'53'!B51</f>
        <v>0</v>
      </c>
    </row>
    <row r="53" spans="1:7" ht="14.25">
      <c r="A53" s="14" t="s">
        <v>381</v>
      </c>
      <c r="B53" s="424">
        <f>'50N'!B53</f>
        <v>0</v>
      </c>
      <c r="C53" s="1"/>
      <c r="D53" s="1102" t="s">
        <v>381</v>
      </c>
      <c r="E53" s="1102"/>
      <c r="F53" s="1102"/>
      <c r="G53" s="424">
        <f>'53'!B52</f>
        <v>0</v>
      </c>
    </row>
    <row r="54" spans="1:7" ht="14.25">
      <c r="A54" s="14" t="s">
        <v>382</v>
      </c>
      <c r="B54" s="424">
        <f>'50N'!B54</f>
        <v>0</v>
      </c>
      <c r="C54" s="1"/>
      <c r="D54" s="1102" t="s">
        <v>382</v>
      </c>
      <c r="E54" s="1102"/>
      <c r="F54" s="1102"/>
      <c r="G54" s="424">
        <f>'53'!B53</f>
        <v>0</v>
      </c>
    </row>
    <row r="55" spans="1:7" ht="14.25">
      <c r="A55" s="14" t="s">
        <v>383</v>
      </c>
      <c r="B55" s="424">
        <f>'50N'!B55</f>
        <v>8098.36</v>
      </c>
      <c r="C55" s="1"/>
      <c r="D55" s="1102" t="s">
        <v>383</v>
      </c>
      <c r="E55" s="1102"/>
      <c r="F55" s="1102"/>
      <c r="G55" s="424">
        <f>'53'!B54</f>
        <v>4852.9799999999996</v>
      </c>
    </row>
    <row r="56" spans="1:7" ht="14.25">
      <c r="A56" s="14" t="s">
        <v>384</v>
      </c>
      <c r="B56" s="424">
        <f>'50N'!B56</f>
        <v>4075.75</v>
      </c>
      <c r="C56" s="1"/>
      <c r="D56" s="1102" t="s">
        <v>384</v>
      </c>
      <c r="E56" s="1102"/>
      <c r="F56" s="1102"/>
      <c r="G56" s="424">
        <f>'53'!B55</f>
        <v>4059.25</v>
      </c>
    </row>
    <row r="58" spans="1:7" ht="14.25">
      <c r="A58" s="421" t="s">
        <v>385</v>
      </c>
      <c r="B58" s="425"/>
      <c r="C58" s="425"/>
      <c r="D58" s="421" t="s">
        <v>385</v>
      </c>
    </row>
    <row r="59" spans="1:7" ht="14.25">
      <c r="A59" s="14" t="s">
        <v>374</v>
      </c>
      <c r="B59" s="9">
        <f>'50N'!B59</f>
        <v>84</v>
      </c>
      <c r="D59" s="1101" t="s">
        <v>374</v>
      </c>
      <c r="E59" s="1101"/>
      <c r="F59" s="1101"/>
      <c r="G59" s="9">
        <f>'53'!B58</f>
        <v>47</v>
      </c>
    </row>
    <row r="60" spans="1:7" ht="14.25">
      <c r="A60" s="14" t="s">
        <v>375</v>
      </c>
      <c r="B60" s="426">
        <f>'50N'!B60</f>
        <v>180615.73</v>
      </c>
      <c r="D60" s="1101" t="s">
        <v>375</v>
      </c>
      <c r="E60" s="1101"/>
      <c r="F60" s="1101"/>
      <c r="G60" s="426">
        <f>'53'!B59</f>
        <v>20576.509999999998</v>
      </c>
    </row>
    <row r="61" spans="1:7" ht="14.25" customHeight="1">
      <c r="A61" s="69" t="s">
        <v>376</v>
      </c>
      <c r="B61" s="426">
        <f>'50N'!B61</f>
        <v>60.71</v>
      </c>
      <c r="D61" s="1104" t="s">
        <v>376</v>
      </c>
      <c r="E61" s="1104"/>
      <c r="F61" s="1104"/>
      <c r="G61" s="426">
        <f>'53'!B60</f>
        <v>96.41</v>
      </c>
    </row>
    <row r="62" spans="1:7" ht="14.25">
      <c r="A62" s="14" t="s">
        <v>377</v>
      </c>
      <c r="B62" s="426">
        <f>'50N'!B62</f>
        <v>60</v>
      </c>
      <c r="D62" s="1101" t="s">
        <v>377</v>
      </c>
      <c r="E62" s="1101"/>
      <c r="F62" s="1101"/>
      <c r="G62" s="426">
        <f>'53'!B61</f>
        <v>60</v>
      </c>
    </row>
    <row r="63" spans="1:7" ht="14.25">
      <c r="A63" s="14" t="s">
        <v>378</v>
      </c>
      <c r="B63" s="426">
        <f>'50N'!B63</f>
        <v>0</v>
      </c>
      <c r="D63" s="1101" t="s">
        <v>378</v>
      </c>
      <c r="E63" s="1101"/>
      <c r="F63" s="1101"/>
      <c r="G63" s="426">
        <f>'53'!B62</f>
        <v>0</v>
      </c>
    </row>
    <row r="64" spans="1:7" ht="14.25">
      <c r="A64" s="14" t="s">
        <v>379</v>
      </c>
      <c r="B64" s="426">
        <f>'50N'!B64</f>
        <v>0</v>
      </c>
      <c r="D64" s="1101" t="s">
        <v>379</v>
      </c>
      <c r="E64" s="1101"/>
      <c r="F64" s="1101"/>
      <c r="G64" s="426">
        <f>'53'!B63</f>
        <v>0</v>
      </c>
    </row>
    <row r="65" spans="1:7" ht="14.25">
      <c r="A65" s="14" t="s">
        <v>380</v>
      </c>
      <c r="B65" s="426">
        <f>'50N'!B65</f>
        <v>0</v>
      </c>
      <c r="D65" s="1101" t="s">
        <v>380</v>
      </c>
      <c r="E65" s="1101"/>
      <c r="F65" s="1101"/>
      <c r="G65" s="426">
        <f>'53'!B64</f>
        <v>0</v>
      </c>
    </row>
    <row r="66" spans="1:7" ht="14.25">
      <c r="A66" s="14" t="s">
        <v>381</v>
      </c>
      <c r="B66" s="426">
        <f>'50N'!B66</f>
        <v>0</v>
      </c>
      <c r="D66" s="1101" t="s">
        <v>381</v>
      </c>
      <c r="E66" s="1101"/>
      <c r="F66" s="1101"/>
      <c r="G66" s="426">
        <f>'53'!B65</f>
        <v>0</v>
      </c>
    </row>
    <row r="67" spans="1:7" ht="14.25">
      <c r="A67" s="14" t="s">
        <v>382</v>
      </c>
      <c r="B67" s="426">
        <f>'50N'!B67</f>
        <v>0</v>
      </c>
      <c r="D67" s="1101" t="s">
        <v>382</v>
      </c>
      <c r="E67" s="1101"/>
      <c r="F67" s="1101"/>
      <c r="G67" s="426">
        <f>'53'!B66</f>
        <v>0</v>
      </c>
    </row>
    <row r="68" spans="1:7" ht="14.25">
      <c r="A68" s="14" t="s">
        <v>383</v>
      </c>
      <c r="B68" s="426">
        <f>'50N'!B68</f>
        <v>124.57</v>
      </c>
      <c r="D68" s="1101" t="s">
        <v>383</v>
      </c>
      <c r="E68" s="1101"/>
      <c r="F68" s="1101"/>
      <c r="G68" s="426">
        <f>'53'!B67</f>
        <v>105.91</v>
      </c>
    </row>
    <row r="69" spans="1:7" ht="14.25">
      <c r="A69" s="14" t="s">
        <v>384</v>
      </c>
      <c r="B69" s="426">
        <f>'50N'!B69</f>
        <v>60</v>
      </c>
      <c r="D69" s="1101" t="s">
        <v>384</v>
      </c>
      <c r="E69" s="1101"/>
      <c r="F69" s="1101"/>
      <c r="G69" s="426">
        <f>'53'!B68</f>
        <v>60.09</v>
      </c>
    </row>
    <row r="71" spans="1:7" ht="14.25">
      <c r="A71" s="421" t="s">
        <v>387</v>
      </c>
      <c r="B71" s="425"/>
      <c r="C71" s="425"/>
      <c r="D71" s="421" t="s">
        <v>387</v>
      </c>
      <c r="E71" s="425"/>
    </row>
    <row r="72" spans="1:7" ht="14.25">
      <c r="A72" s="14" t="s">
        <v>374</v>
      </c>
      <c r="B72" s="9">
        <f>'50N'!B72</f>
        <v>198</v>
      </c>
      <c r="D72" s="1101" t="s">
        <v>374</v>
      </c>
      <c r="E72" s="1101"/>
      <c r="F72" s="1101"/>
      <c r="G72" s="9">
        <f>'53'!B71</f>
        <v>127</v>
      </c>
    </row>
    <row r="73" spans="1:7" ht="14.25">
      <c r="A73" s="14" t="s">
        <v>375</v>
      </c>
      <c r="B73" s="426">
        <f>'50N'!B73</f>
        <v>86700.27</v>
      </c>
      <c r="D73" s="1101" t="s">
        <v>375</v>
      </c>
      <c r="E73" s="1101"/>
      <c r="F73" s="1101"/>
      <c r="G73" s="426">
        <f>'53'!B72</f>
        <v>14488.99</v>
      </c>
    </row>
    <row r="74" spans="1:7" ht="15.75" customHeight="1">
      <c r="A74" s="69" t="s">
        <v>376</v>
      </c>
      <c r="B74" s="426">
        <f>'50N'!B74</f>
        <v>24.56</v>
      </c>
      <c r="D74" s="1104" t="s">
        <v>376</v>
      </c>
      <c r="E74" s="1104"/>
      <c r="F74" s="1104"/>
      <c r="G74" s="426">
        <f>'53'!B73</f>
        <v>19.07</v>
      </c>
    </row>
    <row r="75" spans="1:7" ht="14.25">
      <c r="A75" s="14" t="s">
        <v>377</v>
      </c>
      <c r="B75" s="426">
        <f>'50N'!B75</f>
        <v>18</v>
      </c>
      <c r="D75" s="1101" t="s">
        <v>377</v>
      </c>
      <c r="E75" s="1101"/>
      <c r="F75" s="1101"/>
      <c r="G75" s="426">
        <f>'53'!B74</f>
        <v>18</v>
      </c>
    </row>
    <row r="76" spans="1:7" ht="14.25">
      <c r="A76" s="14" t="s">
        <v>378</v>
      </c>
      <c r="B76" s="426">
        <f>'50N'!B76</f>
        <v>0</v>
      </c>
      <c r="D76" s="1101" t="s">
        <v>378</v>
      </c>
      <c r="E76" s="1101"/>
      <c r="F76" s="1101"/>
      <c r="G76" s="426">
        <f>'53'!B75</f>
        <v>0</v>
      </c>
    </row>
    <row r="77" spans="1:7" ht="14.25">
      <c r="A77" s="14" t="s">
        <v>379</v>
      </c>
      <c r="B77" s="426">
        <f>'50N'!B77</f>
        <v>0</v>
      </c>
      <c r="D77" s="1101" t="s">
        <v>379</v>
      </c>
      <c r="E77" s="1101"/>
      <c r="F77" s="1101"/>
      <c r="G77" s="426">
        <f>'53'!B76</f>
        <v>0</v>
      </c>
    </row>
    <row r="78" spans="1:7" ht="14.25">
      <c r="A78" s="14" t="s">
        <v>380</v>
      </c>
      <c r="B78" s="426">
        <f>'50N'!B78</f>
        <v>0</v>
      </c>
      <c r="D78" s="1101" t="s">
        <v>380</v>
      </c>
      <c r="E78" s="1101"/>
      <c r="F78" s="1101"/>
      <c r="G78" s="426">
        <f>'53'!B77</f>
        <v>0</v>
      </c>
    </row>
    <row r="79" spans="1:7" ht="14.25">
      <c r="A79" s="14" t="s">
        <v>381</v>
      </c>
      <c r="B79" s="426">
        <f>'50N'!B79</f>
        <v>0</v>
      </c>
      <c r="D79" s="1101" t="s">
        <v>381</v>
      </c>
      <c r="E79" s="1101"/>
      <c r="F79" s="1101"/>
      <c r="G79" s="426">
        <f>'53'!B78</f>
        <v>0</v>
      </c>
    </row>
    <row r="80" spans="1:7" ht="14.25">
      <c r="A80" s="14" t="s">
        <v>382</v>
      </c>
      <c r="B80" s="426">
        <f>'50N'!B80</f>
        <v>0</v>
      </c>
      <c r="D80" s="1101" t="s">
        <v>382</v>
      </c>
      <c r="E80" s="1101"/>
      <c r="F80" s="1101"/>
      <c r="G80" s="426">
        <f>'53'!B79</f>
        <v>0</v>
      </c>
    </row>
    <row r="81" spans="1:7" ht="14.25">
      <c r="A81" s="14" t="s">
        <v>383</v>
      </c>
      <c r="B81" s="426">
        <f>'50N'!B81</f>
        <v>59.97</v>
      </c>
      <c r="D81" s="1101" t="s">
        <v>383</v>
      </c>
      <c r="E81" s="1101"/>
      <c r="F81" s="1101"/>
      <c r="G81" s="426">
        <f>'53'!B80</f>
        <v>59.95</v>
      </c>
    </row>
    <row r="82" spans="1:7" ht="14.25">
      <c r="A82" s="14" t="s">
        <v>384</v>
      </c>
      <c r="B82" s="426">
        <f>'50N'!B82</f>
        <v>18</v>
      </c>
      <c r="D82" s="1101" t="s">
        <v>384</v>
      </c>
      <c r="E82" s="1101"/>
      <c r="F82" s="1101"/>
      <c r="G82" s="426">
        <f>'53'!B81</f>
        <v>18</v>
      </c>
    </row>
    <row r="84" spans="1:7" ht="14.25">
      <c r="A84" s="421" t="s">
        <v>389</v>
      </c>
      <c r="B84" s="425"/>
      <c r="C84" s="425"/>
      <c r="D84" s="421" t="s">
        <v>389</v>
      </c>
    </row>
    <row r="85" spans="1:7" ht="14.25">
      <c r="A85" s="14" t="s">
        <v>374</v>
      </c>
      <c r="B85" s="9">
        <f>'50N'!B85</f>
        <v>67</v>
      </c>
      <c r="D85" s="1101" t="s">
        <v>374</v>
      </c>
      <c r="E85" s="1101"/>
      <c r="F85" s="1101"/>
      <c r="G85" s="9">
        <f>'53'!B84</f>
        <v>209</v>
      </c>
    </row>
    <row r="86" spans="1:7" ht="14.25">
      <c r="A86" s="14" t="s">
        <v>375</v>
      </c>
      <c r="B86" s="426">
        <f>'50N'!B86</f>
        <v>40099.15</v>
      </c>
      <c r="D86" s="1101" t="s">
        <v>375</v>
      </c>
      <c r="E86" s="1101"/>
      <c r="F86" s="1101"/>
      <c r="G86" s="426">
        <f>'53'!B85</f>
        <v>6530.02</v>
      </c>
    </row>
    <row r="87" spans="1:7" ht="16.5" customHeight="1">
      <c r="A87" s="69" t="s">
        <v>376</v>
      </c>
      <c r="B87" s="426">
        <f>'50N'!B87</f>
        <v>5.8</v>
      </c>
      <c r="D87" s="1104" t="s">
        <v>376</v>
      </c>
      <c r="E87" s="1104"/>
      <c r="F87" s="1104"/>
      <c r="G87" s="426">
        <f>'53'!B86</f>
        <v>3.51</v>
      </c>
    </row>
    <row r="88" spans="1:7" ht="14.25">
      <c r="A88" s="14" t="s">
        <v>377</v>
      </c>
      <c r="B88" s="426">
        <f>'50N'!B88</f>
        <v>3</v>
      </c>
      <c r="D88" s="1101" t="s">
        <v>377</v>
      </c>
      <c r="E88" s="1101"/>
      <c r="F88" s="1101"/>
      <c r="G88" s="426">
        <f>'53'!B87</f>
        <v>3</v>
      </c>
    </row>
    <row r="89" spans="1:7" ht="14.25">
      <c r="A89" s="14" t="s">
        <v>378</v>
      </c>
      <c r="B89" s="426">
        <f>'50N'!B89</f>
        <v>0</v>
      </c>
      <c r="D89" s="1101" t="s">
        <v>378</v>
      </c>
      <c r="E89" s="1101"/>
      <c r="F89" s="1101"/>
      <c r="G89" s="426">
        <f>'53'!B88</f>
        <v>0</v>
      </c>
    </row>
    <row r="90" spans="1:7" ht="14.25">
      <c r="A90" s="14" t="s">
        <v>379</v>
      </c>
      <c r="B90" s="426">
        <f>'50N'!B90</f>
        <v>0</v>
      </c>
      <c r="D90" s="1101" t="s">
        <v>379</v>
      </c>
      <c r="E90" s="1101"/>
      <c r="F90" s="1101"/>
      <c r="G90" s="426">
        <f>'53'!B89</f>
        <v>0</v>
      </c>
    </row>
    <row r="91" spans="1:7" ht="14.25">
      <c r="A91" s="14" t="s">
        <v>380</v>
      </c>
      <c r="B91" s="426">
        <f>'50N'!B91</f>
        <v>0</v>
      </c>
      <c r="D91" s="1101" t="s">
        <v>380</v>
      </c>
      <c r="E91" s="1101"/>
      <c r="F91" s="1101"/>
      <c r="G91" s="426">
        <f>'53'!B90</f>
        <v>0</v>
      </c>
    </row>
    <row r="92" spans="1:7" ht="14.25">
      <c r="A92" s="14" t="s">
        <v>381</v>
      </c>
      <c r="B92" s="426">
        <f>'50N'!B92</f>
        <v>0</v>
      </c>
      <c r="D92" s="1101" t="s">
        <v>381</v>
      </c>
      <c r="E92" s="1101"/>
      <c r="F92" s="1101"/>
      <c r="G92" s="426">
        <f>'53'!B91</f>
        <v>0</v>
      </c>
    </row>
    <row r="93" spans="1:7" ht="14.25">
      <c r="A93" s="14" t="s">
        <v>382</v>
      </c>
      <c r="B93" s="426">
        <f>'50N'!B93</f>
        <v>0</v>
      </c>
      <c r="D93" s="1101" t="s">
        <v>382</v>
      </c>
      <c r="E93" s="1101"/>
      <c r="F93" s="1101"/>
      <c r="G93" s="426">
        <f>'53'!B92</f>
        <v>0</v>
      </c>
    </row>
    <row r="94" spans="1:7" ht="14.25">
      <c r="A94" s="14" t="s">
        <v>383</v>
      </c>
      <c r="B94" s="426">
        <f>'50N'!B94</f>
        <v>18</v>
      </c>
      <c r="D94" s="1101" t="s">
        <v>383</v>
      </c>
      <c r="E94" s="1101"/>
      <c r="F94" s="1101"/>
      <c r="G94" s="426">
        <f>'53'!B93</f>
        <v>17.989999999999998</v>
      </c>
    </row>
    <row r="95" spans="1:7" ht="14.25">
      <c r="A95" s="14" t="s">
        <v>384</v>
      </c>
      <c r="B95" s="426">
        <f>'50N'!B95</f>
        <v>3</v>
      </c>
      <c r="D95" s="1101" t="s">
        <v>384</v>
      </c>
      <c r="E95" s="1101"/>
      <c r="F95" s="1101"/>
      <c r="G95" s="426">
        <f>'53'!B94</f>
        <v>3</v>
      </c>
    </row>
  </sheetData>
  <sheetProtection selectLockedCells="1" selectUnlockedCells="1"/>
  <mergeCells count="44">
    <mergeCell ref="D94:F94"/>
    <mergeCell ref="D95:F95"/>
    <mergeCell ref="D88:F88"/>
    <mergeCell ref="D89:F89"/>
    <mergeCell ref="D90:F90"/>
    <mergeCell ref="D91:F91"/>
    <mergeCell ref="D92:F92"/>
    <mergeCell ref="D93:F93"/>
    <mergeCell ref="D87:F87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5:F85"/>
    <mergeCell ref="D86:F86"/>
    <mergeCell ref="D73:F73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2:F72"/>
    <mergeCell ref="D59:F59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3:I20"/>
  <sheetViews>
    <sheetView workbookViewId="0">
      <selection activeCell="B9" sqref="B9"/>
    </sheetView>
  </sheetViews>
  <sheetFormatPr defaultColWidth="9.140625" defaultRowHeight="12"/>
  <cols>
    <col min="1" max="1" width="24.85546875" style="180" customWidth="1"/>
    <col min="2" max="2" width="15.140625" style="180" customWidth="1"/>
    <col min="3" max="3" width="9.28515625" style="180" customWidth="1"/>
    <col min="4" max="6" width="18.28515625" style="180" customWidth="1"/>
    <col min="7" max="8" width="11.42578125" style="180" customWidth="1"/>
    <col min="9" max="9" width="18.140625" style="180" customWidth="1"/>
    <col min="10" max="256" width="11.42578125" style="180" customWidth="1"/>
    <col min="257" max="16384" width="9.140625" style="180"/>
  </cols>
  <sheetData>
    <row r="3" spans="1:9">
      <c r="A3" s="181" t="s">
        <v>410</v>
      </c>
      <c r="B3" s="181" t="s">
        <v>411</v>
      </c>
      <c r="C3" s="181" t="s">
        <v>412</v>
      </c>
      <c r="D3" s="181" t="s">
        <v>417</v>
      </c>
      <c r="E3" s="188" t="s">
        <v>418</v>
      </c>
      <c r="F3" s="189" t="s">
        <v>406</v>
      </c>
    </row>
    <row r="4" spans="1:9">
      <c r="A4" s="183" t="s">
        <v>656</v>
      </c>
      <c r="B4" s="183" t="s">
        <v>428</v>
      </c>
      <c r="C4" s="183">
        <v>20</v>
      </c>
      <c r="D4" s="190">
        <f>'20'!B50</f>
        <v>1200</v>
      </c>
      <c r="E4" s="185">
        <f>'20'!B33</f>
        <v>2400</v>
      </c>
      <c r="F4" s="191">
        <f>'20'!B14</f>
        <v>750</v>
      </c>
    </row>
    <row r="5" spans="1:9">
      <c r="A5" s="183" t="s">
        <v>657</v>
      </c>
      <c r="B5" s="183" t="s">
        <v>428</v>
      </c>
      <c r="C5" s="183">
        <v>21</v>
      </c>
      <c r="D5" s="190">
        <f>'21'!B48</f>
        <v>0</v>
      </c>
      <c r="E5" s="185">
        <f>'21'!B33</f>
        <v>490</v>
      </c>
      <c r="F5" s="191">
        <f>'21'!B14</f>
        <v>33538</v>
      </c>
    </row>
    <row r="6" spans="1:9">
      <c r="A6" s="183" t="s">
        <v>658</v>
      </c>
      <c r="B6" s="183" t="s">
        <v>606</v>
      </c>
      <c r="C6" s="183">
        <v>44</v>
      </c>
      <c r="D6" s="190">
        <f>'44'!B27</f>
        <v>807524.11</v>
      </c>
      <c r="E6" s="185">
        <f>'44'!B24</f>
        <v>22381</v>
      </c>
      <c r="F6" s="191">
        <f>'44'!B25</f>
        <v>649557.94999999995</v>
      </c>
      <c r="G6" s="192"/>
      <c r="I6" s="193"/>
    </row>
    <row r="7" spans="1:9">
      <c r="A7" s="194" t="s">
        <v>658</v>
      </c>
      <c r="B7" s="194" t="s">
        <v>607</v>
      </c>
      <c r="C7" s="194">
        <v>45</v>
      </c>
      <c r="D7" s="195">
        <f>'45'!B26</f>
        <v>455309</v>
      </c>
      <c r="E7" s="196">
        <f>'45'!B24</f>
        <v>10371</v>
      </c>
      <c r="F7" s="197">
        <f>'45'!B25</f>
        <v>354054.78</v>
      </c>
      <c r="G7" s="192"/>
      <c r="I7" s="193"/>
    </row>
    <row r="8" spans="1:9">
      <c r="A8" s="183" t="s">
        <v>658</v>
      </c>
      <c r="B8" s="183" t="s">
        <v>659</v>
      </c>
      <c r="C8" s="183">
        <v>46</v>
      </c>
      <c r="D8" s="190">
        <f>'46'!B26</f>
        <v>760735</v>
      </c>
      <c r="E8" s="185">
        <f>'46'!B24</f>
        <v>18796</v>
      </c>
      <c r="F8" s="191">
        <f>'46'!B25</f>
        <v>597623.4</v>
      </c>
      <c r="G8" s="192"/>
      <c r="I8" s="193"/>
    </row>
    <row r="9" spans="1:9">
      <c r="A9" s="183" t="s">
        <v>658</v>
      </c>
      <c r="B9" s="183" t="s">
        <v>607</v>
      </c>
      <c r="C9" s="183">
        <v>47</v>
      </c>
      <c r="D9" s="190">
        <f>'47'!B27</f>
        <v>781505</v>
      </c>
      <c r="E9" s="185">
        <f>'47'!B24</f>
        <v>18796</v>
      </c>
      <c r="F9" s="191">
        <f>'47'!B25</f>
        <v>613981.31000000006</v>
      </c>
      <c r="G9" s="192"/>
      <c r="I9" s="192"/>
    </row>
    <row r="10" spans="1:9">
      <c r="A10" s="183" t="s">
        <v>414</v>
      </c>
      <c r="B10" s="183" t="s">
        <v>415</v>
      </c>
      <c r="C10" s="183">
        <v>68</v>
      </c>
      <c r="D10" s="184">
        <f>'68'!B43</f>
        <v>7211</v>
      </c>
      <c r="E10" s="185">
        <v>0</v>
      </c>
      <c r="F10" s="191">
        <f>'68'!B30</f>
        <v>4945.17</v>
      </c>
    </row>
    <row r="11" spans="1:9">
      <c r="A11" s="183" t="s">
        <v>414</v>
      </c>
      <c r="B11" s="183" t="s">
        <v>415</v>
      </c>
      <c r="C11" s="183">
        <v>69</v>
      </c>
      <c r="D11" s="186">
        <f>'69'!B23</f>
        <v>2989</v>
      </c>
      <c r="E11" s="185">
        <v>0</v>
      </c>
      <c r="F11" s="191">
        <f>'69'!B30</f>
        <v>2511.5300000000002</v>
      </c>
    </row>
    <row r="12" spans="1:9">
      <c r="A12" s="183" t="s">
        <v>419</v>
      </c>
      <c r="B12" s="183" t="s">
        <v>415</v>
      </c>
      <c r="C12" s="183">
        <v>70</v>
      </c>
      <c r="D12" s="186">
        <f>'70(2)'!B23</f>
        <v>2719</v>
      </c>
      <c r="E12" s="185">
        <v>0</v>
      </c>
      <c r="F12" s="191">
        <f>'70(2)'!B30</f>
        <v>1551.62</v>
      </c>
    </row>
    <row r="13" spans="1:9">
      <c r="A13" s="183" t="s">
        <v>419</v>
      </c>
      <c r="B13" s="183" t="s">
        <v>415</v>
      </c>
      <c r="C13" s="183">
        <v>71</v>
      </c>
      <c r="D13" s="186">
        <f>'71 (2)'!B23</f>
        <v>1735</v>
      </c>
      <c r="E13" s="185">
        <v>0</v>
      </c>
      <c r="F13" s="191">
        <f>'71 (2)'!B30</f>
        <v>592</v>
      </c>
    </row>
    <row r="14" spans="1:9">
      <c r="A14" s="183" t="s">
        <v>416</v>
      </c>
      <c r="B14" s="183" t="s">
        <v>254</v>
      </c>
      <c r="C14" s="183">
        <v>72</v>
      </c>
      <c r="D14" s="186">
        <f>'72'!B11</f>
        <v>53924</v>
      </c>
      <c r="E14" s="185">
        <v>0</v>
      </c>
      <c r="F14" s="191">
        <f>'72'!C18</f>
        <v>4370816</v>
      </c>
    </row>
    <row r="15" spans="1:9">
      <c r="A15" s="183" t="s">
        <v>416</v>
      </c>
      <c r="B15" s="183" t="s">
        <v>254</v>
      </c>
      <c r="C15" s="183">
        <v>73</v>
      </c>
      <c r="D15" s="186">
        <f>'73'!B11</f>
        <v>73220</v>
      </c>
      <c r="E15" s="186">
        <v>0</v>
      </c>
      <c r="F15" s="191">
        <f>'73'!C18</f>
        <v>5580696</v>
      </c>
    </row>
    <row r="16" spans="1:9" ht="12.75">
      <c r="A16" s="183" t="s">
        <v>420</v>
      </c>
      <c r="B16" s="183" t="s">
        <v>254</v>
      </c>
      <c r="C16" s="183">
        <v>74</v>
      </c>
      <c r="D16" s="186">
        <f>'74'!B11</f>
        <v>99281.99</v>
      </c>
      <c r="E16" s="186">
        <v>0</v>
      </c>
      <c r="F16" s="191">
        <f>'74'!C18</f>
        <v>7907884</v>
      </c>
      <c r="I16" s="187"/>
    </row>
    <row r="17" spans="1:6">
      <c r="A17" s="183" t="s">
        <v>420</v>
      </c>
      <c r="B17" s="183" t="s">
        <v>254</v>
      </c>
      <c r="C17" s="183">
        <v>75</v>
      </c>
      <c r="D17" s="186">
        <f>'75'!B11</f>
        <v>72568</v>
      </c>
      <c r="E17" s="186">
        <v>0</v>
      </c>
      <c r="F17" s="191">
        <f>'75'!C18</f>
        <v>6204412</v>
      </c>
    </row>
    <row r="18" spans="1:6">
      <c r="A18" s="183" t="s">
        <v>660</v>
      </c>
      <c r="B18" s="183" t="s">
        <v>661</v>
      </c>
      <c r="C18" s="183" t="s">
        <v>660</v>
      </c>
      <c r="D18" s="186">
        <v>0</v>
      </c>
      <c r="E18" s="186">
        <v>0</v>
      </c>
      <c r="F18" s="191">
        <v>0</v>
      </c>
    </row>
    <row r="19" spans="1:6">
      <c r="A19" s="183" t="s">
        <v>660</v>
      </c>
      <c r="B19" s="183" t="s">
        <v>661</v>
      </c>
      <c r="C19" s="183" t="s">
        <v>660</v>
      </c>
      <c r="D19" s="186">
        <v>0</v>
      </c>
      <c r="E19" s="186">
        <v>0</v>
      </c>
      <c r="F19" s="191">
        <v>0</v>
      </c>
    </row>
    <row r="20" spans="1:6">
      <c r="E20" s="180">
        <v>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BH92"/>
  <sheetViews>
    <sheetView topLeftCell="D1" zoomScale="110" zoomScaleNormal="110" workbookViewId="0">
      <selection activeCell="H89" sqref="H89"/>
    </sheetView>
  </sheetViews>
  <sheetFormatPr defaultColWidth="11" defaultRowHeight="14.25"/>
  <cols>
    <col min="1" max="1" width="45" style="1" customWidth="1"/>
    <col min="2" max="2" width="30" style="2" customWidth="1"/>
    <col min="3" max="3" width="4.85546875" customWidth="1"/>
    <col min="4" max="4" width="27.28515625" customWidth="1"/>
    <col min="5" max="5" width="1" customWidth="1"/>
    <col min="6" max="6" width="0.7109375" customWidth="1"/>
    <col min="7" max="190" width="11.42578125" customWidth="1"/>
    <col min="191" max="191" width="31.5703125" customWidth="1"/>
    <col min="192" max="192" width="30" customWidth="1"/>
    <col min="193" max="193" width="4.85546875" customWidth="1"/>
    <col min="194" max="194" width="2.28515625" customWidth="1"/>
    <col min="195" max="199" width="0" hidden="1" customWidth="1"/>
    <col min="200" max="200" width="0.42578125" customWidth="1"/>
    <col min="201" max="208" width="3.85546875" customWidth="1"/>
    <col min="209" max="209" width="0.42578125" customWidth="1"/>
    <col min="210" max="210" width="3" customWidth="1"/>
    <col min="211" max="217" width="3.140625" customWidth="1"/>
    <col min="218" max="218" width="0.42578125" customWidth="1"/>
    <col min="219" max="226" width="3.140625" customWidth="1"/>
    <col min="227" max="227" width="0.42578125" customWidth="1"/>
    <col min="228" max="233" width="3.140625" customWidth="1"/>
    <col min="234" max="234" width="3.28515625" customWidth="1"/>
    <col min="235" max="235" width="3.7109375" customWidth="1"/>
    <col min="236" max="236" width="0.85546875" customWidth="1"/>
    <col min="237" max="243" width="3.140625" customWidth="1"/>
    <col min="244" max="244" width="0.42578125" customWidth="1"/>
    <col min="245" max="252" width="3.140625" customWidth="1"/>
    <col min="253" max="253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415</v>
      </c>
      <c r="C2" s="8" t="s">
        <v>2</v>
      </c>
    </row>
    <row r="3" spans="1:7" ht="15">
      <c r="A3" s="6"/>
      <c r="B3" s="7" t="s">
        <v>639</v>
      </c>
      <c r="C3" s="9"/>
    </row>
    <row r="4" spans="1:7" ht="15">
      <c r="A4" s="6" t="s">
        <v>4</v>
      </c>
      <c r="B4" s="10">
        <v>0.01</v>
      </c>
      <c r="C4" s="9"/>
      <c r="G4">
        <v>2</v>
      </c>
    </row>
    <row r="5" spans="1:7">
      <c r="C5" s="9"/>
    </row>
    <row r="6" spans="1:7" ht="21" customHeight="1">
      <c r="A6" s="11" t="s">
        <v>5</v>
      </c>
      <c r="B6" s="38">
        <v>71</v>
      </c>
      <c r="C6" s="9"/>
    </row>
    <row r="7" spans="1:7" ht="24" customHeight="1">
      <c r="A7" s="12" t="s">
        <v>6</v>
      </c>
      <c r="B7" s="128" t="s">
        <v>640</v>
      </c>
      <c r="C7" s="9"/>
    </row>
    <row r="8" spans="1:7" ht="24" customHeight="1">
      <c r="A8" s="12"/>
      <c r="B8" s="13" t="s">
        <v>36</v>
      </c>
    </row>
    <row r="9" spans="1:7" ht="23.25" customHeight="1">
      <c r="A9" s="14" t="s">
        <v>481</v>
      </c>
      <c r="B9" s="15">
        <v>4441.5</v>
      </c>
      <c r="C9" s="14"/>
    </row>
    <row r="10" spans="1:7" ht="23.25" customHeight="1">
      <c r="A10" s="14" t="s">
        <v>482</v>
      </c>
      <c r="B10" s="15">
        <v>0</v>
      </c>
      <c r="C10" s="14"/>
    </row>
    <row r="11" spans="1:7" ht="23.25" customHeight="1">
      <c r="A11" s="14" t="s">
        <v>483</v>
      </c>
      <c r="B11" s="15">
        <v>0</v>
      </c>
      <c r="C11" s="14"/>
    </row>
    <row r="12" spans="1:7" ht="23.25" customHeight="1">
      <c r="A12" s="14"/>
      <c r="B12" s="15">
        <v>0</v>
      </c>
      <c r="C12" s="14"/>
    </row>
    <row r="13" spans="1:7" ht="23.25" customHeight="1">
      <c r="A13" s="14" t="s">
        <v>484</v>
      </c>
      <c r="B13" s="15">
        <v>4272.7299999999996</v>
      </c>
      <c r="C13" s="14"/>
    </row>
    <row r="14" spans="1:7" ht="23.25" customHeight="1">
      <c r="A14" s="14" t="s">
        <v>485</v>
      </c>
      <c r="B14" s="15">
        <v>4426.34</v>
      </c>
      <c r="C14" s="14"/>
    </row>
    <row r="15" spans="1:7" ht="23.25" customHeight="1">
      <c r="A15" s="14"/>
      <c r="B15" s="15" t="s">
        <v>36</v>
      </c>
      <c r="C15" s="14"/>
    </row>
    <row r="16" spans="1:7" ht="23.25" customHeight="1">
      <c r="A16" s="14" t="s">
        <v>486</v>
      </c>
      <c r="B16" s="15">
        <v>0.35</v>
      </c>
      <c r="C16" s="14"/>
    </row>
    <row r="17" spans="1:5" ht="23.25" customHeight="1">
      <c r="A17" s="14" t="s">
        <v>487</v>
      </c>
      <c r="B17" s="15">
        <v>99.65</v>
      </c>
      <c r="C17" s="14"/>
    </row>
    <row r="18" spans="1:5" ht="23.25" customHeight="1">
      <c r="A18" s="14" t="s">
        <v>488</v>
      </c>
      <c r="B18" s="15">
        <v>92.03</v>
      </c>
      <c r="C18" s="14"/>
    </row>
    <row r="19" spans="1:5" ht="23.25" customHeight="1">
      <c r="A19" s="14"/>
      <c r="B19" s="15" t="s">
        <v>36</v>
      </c>
      <c r="C19" s="14"/>
      <c r="E19">
        <v>2</v>
      </c>
    </row>
    <row r="20" spans="1:5" ht="23.25" customHeight="1">
      <c r="A20" s="18"/>
      <c r="B20" s="53"/>
      <c r="C20" s="14"/>
    </row>
    <row r="21" spans="1:5" ht="23.25" customHeight="1">
      <c r="A21" s="14" t="s">
        <v>489</v>
      </c>
      <c r="B21" s="15">
        <v>386</v>
      </c>
      <c r="C21" s="14"/>
    </row>
    <row r="22" spans="1:5" ht="23.25" customHeight="1">
      <c r="A22" s="14" t="s">
        <v>490</v>
      </c>
      <c r="B22" s="15">
        <v>0</v>
      </c>
      <c r="C22" s="14"/>
    </row>
    <row r="23" spans="1:5" ht="23.25" customHeight="1">
      <c r="A23" s="14" t="s">
        <v>491</v>
      </c>
      <c r="B23" s="15">
        <v>386</v>
      </c>
      <c r="C23" s="9"/>
    </row>
    <row r="24" spans="1:5" ht="23.25" customHeight="1">
      <c r="A24" s="14" t="s">
        <v>492</v>
      </c>
      <c r="B24" s="15">
        <v>0</v>
      </c>
      <c r="C24" s="15"/>
    </row>
    <row r="25" spans="1:5" ht="23.25" customHeight="1">
      <c r="A25" s="14" t="s">
        <v>493</v>
      </c>
      <c r="B25" s="15">
        <v>0</v>
      </c>
      <c r="C25" s="14"/>
    </row>
    <row r="26" spans="1:5" ht="23.25" customHeight="1">
      <c r="A26" s="14" t="s">
        <v>494</v>
      </c>
      <c r="B26" s="15">
        <v>0</v>
      </c>
      <c r="C26" s="14"/>
    </row>
    <row r="27" spans="1:5" ht="23.25" customHeight="1">
      <c r="A27" s="14" t="s">
        <v>495</v>
      </c>
      <c r="B27" s="15">
        <v>0</v>
      </c>
      <c r="C27" s="14"/>
    </row>
    <row r="28" spans="1:5" ht="23.25" customHeight="1">
      <c r="A28" s="14" t="s">
        <v>496</v>
      </c>
      <c r="B28" s="15">
        <v>0</v>
      </c>
      <c r="C28" s="14"/>
    </row>
    <row r="29" spans="1:5" ht="23.25" customHeight="1">
      <c r="A29" s="18"/>
      <c r="B29" s="53"/>
      <c r="C29" s="14"/>
    </row>
    <row r="30" spans="1:5" ht="23.25" customHeight="1">
      <c r="A30" s="14" t="s">
        <v>497</v>
      </c>
      <c r="B30" s="15">
        <v>370.84</v>
      </c>
      <c r="C30" s="14"/>
    </row>
    <row r="31" spans="1:5" ht="23.25" customHeight="1">
      <c r="A31" s="14" t="s">
        <v>498</v>
      </c>
      <c r="B31" s="15">
        <v>0</v>
      </c>
      <c r="C31" s="14"/>
    </row>
    <row r="32" spans="1:5" ht="23.25" customHeight="1">
      <c r="A32" s="14" t="s">
        <v>499</v>
      </c>
      <c r="B32" s="15">
        <v>0</v>
      </c>
      <c r="C32" s="14"/>
    </row>
    <row r="33" spans="1:60" ht="23.25" customHeight="1">
      <c r="A33" s="14" t="s">
        <v>500</v>
      </c>
      <c r="B33" s="15">
        <v>0</v>
      </c>
      <c r="C33" s="14"/>
    </row>
    <row r="34" spans="1:60" ht="23.25" customHeight="1">
      <c r="A34" s="14" t="s">
        <v>501</v>
      </c>
      <c r="B34" s="15">
        <v>0</v>
      </c>
      <c r="C34" s="14"/>
    </row>
    <row r="35" spans="1:60" ht="23.25" customHeight="1">
      <c r="A35" s="14" t="s">
        <v>502</v>
      </c>
      <c r="B35" s="15">
        <v>0</v>
      </c>
      <c r="C35" s="14"/>
    </row>
    <row r="36" spans="1:60" ht="23.25" customHeight="1">
      <c r="A36" s="14" t="s">
        <v>503</v>
      </c>
      <c r="B36" s="15">
        <v>370.84</v>
      </c>
      <c r="C36" s="14"/>
    </row>
    <row r="37" spans="1:60" ht="23.25" customHeight="1">
      <c r="A37" s="14" t="s">
        <v>504</v>
      </c>
      <c r="B37" s="15">
        <v>0</v>
      </c>
      <c r="C37" s="14"/>
    </row>
    <row r="38" spans="1:60" s="138" customFormat="1" ht="23.25" customHeight="1">
      <c r="A38" s="130"/>
      <c r="B38" s="130"/>
      <c r="C38" s="130"/>
    </row>
    <row r="39" spans="1:60" ht="23.25" customHeight="1">
      <c r="A39" s="14" t="s">
        <v>505</v>
      </c>
      <c r="B39" s="15">
        <v>386</v>
      </c>
      <c r="C39" s="14"/>
    </row>
    <row r="40" spans="1:60" ht="23.25" customHeight="1">
      <c r="A40" s="14" t="s">
        <v>506</v>
      </c>
      <c r="B40" s="15">
        <v>0</v>
      </c>
      <c r="C40" s="14"/>
    </row>
    <row r="41" spans="1:60" ht="23.25" customHeight="1">
      <c r="A41" s="14" t="s">
        <v>507</v>
      </c>
      <c r="B41" s="15">
        <v>0</v>
      </c>
      <c r="C41" s="14"/>
    </row>
    <row r="42" spans="1:60" ht="24" customHeight="1">
      <c r="A42" s="14" t="s">
        <v>508</v>
      </c>
      <c r="B42" s="15">
        <v>386</v>
      </c>
      <c r="C42" s="9"/>
      <c r="AZ42" s="16"/>
      <c r="BA42" s="16"/>
      <c r="BB42" s="16"/>
      <c r="BC42" s="16"/>
      <c r="BD42" s="16"/>
      <c r="BE42" s="16"/>
      <c r="BF42" s="16"/>
      <c r="BG42" s="16"/>
      <c r="BH42" s="16"/>
    </row>
    <row r="43" spans="1:60" ht="23.25" customHeight="1">
      <c r="A43" s="14" t="s">
        <v>509</v>
      </c>
      <c r="B43" s="15">
        <v>386</v>
      </c>
      <c r="C43" s="14"/>
    </row>
    <row r="44" spans="1:60" ht="23.25" customHeight="1">
      <c r="A44" s="14" t="s">
        <v>510</v>
      </c>
      <c r="B44" s="15">
        <v>0</v>
      </c>
      <c r="C44" s="14"/>
    </row>
    <row r="45" spans="1:60" ht="23.25" customHeight="1">
      <c r="A45" s="14"/>
      <c r="B45" s="15" t="s">
        <v>36</v>
      </c>
      <c r="C45" s="14"/>
    </row>
    <row r="46" spans="1:60" ht="23.25" customHeight="1">
      <c r="A46" s="14" t="s">
        <v>511</v>
      </c>
      <c r="B46" s="15">
        <v>0</v>
      </c>
      <c r="C46" s="14"/>
    </row>
    <row r="47" spans="1:60" ht="23.25" customHeight="1">
      <c r="A47" s="14"/>
      <c r="B47" s="15"/>
      <c r="C47" s="14"/>
    </row>
    <row r="48" spans="1:60" ht="23.25" customHeight="1">
      <c r="A48" s="14" t="s">
        <v>512</v>
      </c>
      <c r="B48" s="15">
        <v>2969</v>
      </c>
      <c r="C48" s="14"/>
    </row>
    <row r="49" spans="1:3" ht="23.25" customHeight="1">
      <c r="A49" s="14" t="s">
        <v>513</v>
      </c>
      <c r="B49" s="15">
        <v>1205</v>
      </c>
      <c r="C49" s="14"/>
    </row>
    <row r="50" spans="1:3" ht="23.25" customHeight="1">
      <c r="A50" s="14" t="s">
        <v>514</v>
      </c>
      <c r="B50" s="15">
        <v>1764</v>
      </c>
      <c r="C50" s="14"/>
    </row>
    <row r="51" spans="1:3" ht="23.25">
      <c r="A51" s="18"/>
      <c r="B51" s="53"/>
      <c r="C51" s="20"/>
    </row>
    <row r="52" spans="1:3" ht="23.25" customHeight="1">
      <c r="A52" s="14" t="s">
        <v>515</v>
      </c>
      <c r="B52" s="15">
        <v>0</v>
      </c>
      <c r="C52" s="14"/>
    </row>
    <row r="53" spans="1:3" ht="23.25" customHeight="1">
      <c r="A53" s="14" t="s">
        <v>516</v>
      </c>
      <c r="B53" s="15">
        <v>0</v>
      </c>
      <c r="C53" s="14"/>
    </row>
    <row r="54" spans="1:3" ht="23.25" customHeight="1">
      <c r="A54" s="14" t="s">
        <v>517</v>
      </c>
      <c r="B54" s="15">
        <v>0</v>
      </c>
      <c r="C54" s="14"/>
    </row>
    <row r="55" spans="1:3" ht="23.25" customHeight="1">
      <c r="A55" s="14" t="s">
        <v>518</v>
      </c>
      <c r="B55" s="15">
        <v>0</v>
      </c>
      <c r="C55" s="14"/>
    </row>
    <row r="56" spans="1:3" ht="23.25" customHeight="1">
      <c r="A56" s="14" t="s">
        <v>519</v>
      </c>
      <c r="B56" s="15">
        <v>0</v>
      </c>
      <c r="C56" s="14"/>
    </row>
    <row r="57" spans="1:3" ht="23.25" customHeight="1">
      <c r="A57" s="14" t="s">
        <v>520</v>
      </c>
      <c r="B57" s="15">
        <v>0</v>
      </c>
      <c r="C57" s="14"/>
    </row>
    <row r="58" spans="1:3" ht="23.25" customHeight="1">
      <c r="A58" s="14" t="s">
        <v>521</v>
      </c>
      <c r="B58" s="15">
        <v>0</v>
      </c>
      <c r="C58" s="14"/>
    </row>
    <row r="59" spans="1:3" ht="23.25" customHeight="1">
      <c r="A59" s="14"/>
      <c r="B59" s="15" t="s">
        <v>36</v>
      </c>
      <c r="C59" s="14"/>
    </row>
    <row r="60" spans="1:3" ht="23.25" customHeight="1">
      <c r="A60" s="14" t="s">
        <v>522</v>
      </c>
      <c r="B60" s="15">
        <v>0</v>
      </c>
      <c r="C60" s="14"/>
    </row>
    <row r="61" spans="1:3" ht="23.25" customHeight="1">
      <c r="A61" s="14" t="s">
        <v>523</v>
      </c>
      <c r="B61" s="15">
        <v>370.84</v>
      </c>
      <c r="C61" s="14"/>
    </row>
    <row r="62" spans="1:3" ht="23.25" customHeight="1">
      <c r="A62" s="14"/>
      <c r="B62" s="15"/>
      <c r="C62" s="14"/>
    </row>
    <row r="63" spans="1:3" ht="23.25" customHeight="1">
      <c r="A63" s="14" t="s">
        <v>524</v>
      </c>
      <c r="B63" s="15">
        <v>0</v>
      </c>
      <c r="C63" s="14"/>
    </row>
    <row r="64" spans="1:3" ht="23.25" customHeight="1">
      <c r="A64" s="14" t="s">
        <v>525</v>
      </c>
      <c r="B64" s="15">
        <v>0</v>
      </c>
      <c r="C64" s="14"/>
    </row>
    <row r="65" spans="1:4" ht="23.25" customHeight="1">
      <c r="A65" s="14" t="s">
        <v>526</v>
      </c>
      <c r="B65" s="15">
        <v>0</v>
      </c>
      <c r="C65" s="14"/>
    </row>
    <row r="66" spans="1:4" ht="23.25" customHeight="1">
      <c r="A66" s="130"/>
      <c r="B66" s="34" t="s">
        <v>36</v>
      </c>
      <c r="C66" s="130"/>
      <c r="D66" s="138"/>
    </row>
    <row r="67" spans="1:4" ht="23.25" customHeight="1">
      <c r="A67" s="14" t="s">
        <v>496</v>
      </c>
      <c r="B67" s="15">
        <v>0</v>
      </c>
      <c r="C67" s="14"/>
    </row>
    <row r="68" spans="1:4" ht="23.25" customHeight="1">
      <c r="A68" s="14" t="s">
        <v>527</v>
      </c>
      <c r="B68" s="15">
        <v>0</v>
      </c>
      <c r="C68" s="14"/>
    </row>
    <row r="69" spans="1:4" ht="23.25" customHeight="1">
      <c r="A69" s="14" t="s">
        <v>528</v>
      </c>
      <c r="B69" s="15">
        <v>0</v>
      </c>
      <c r="C69" s="14"/>
    </row>
    <row r="70" spans="1:4" ht="23.25" customHeight="1">
      <c r="A70" s="14" t="s">
        <v>529</v>
      </c>
      <c r="B70" s="15">
        <v>0</v>
      </c>
      <c r="C70" s="14"/>
    </row>
    <row r="71" spans="1:4" ht="23.25" customHeight="1">
      <c r="A71" s="14" t="s">
        <v>530</v>
      </c>
      <c r="B71" s="15">
        <v>0</v>
      </c>
      <c r="C71" s="14"/>
    </row>
    <row r="72" spans="1:4" ht="23.25" customHeight="1">
      <c r="A72" s="14" t="s">
        <v>531</v>
      </c>
      <c r="B72" s="15">
        <v>0</v>
      </c>
      <c r="C72" s="14"/>
    </row>
    <row r="73" spans="1:4" ht="23.25" customHeight="1">
      <c r="A73" s="14"/>
      <c r="B73" s="15"/>
      <c r="C73" s="14"/>
    </row>
    <row r="74" spans="1:4" ht="23.25" customHeight="1">
      <c r="A74" s="14" t="s">
        <v>532</v>
      </c>
      <c r="B74" s="15">
        <v>0</v>
      </c>
      <c r="C74" s="14"/>
    </row>
    <row r="75" spans="1:4" ht="23.25" customHeight="1">
      <c r="A75" s="14" t="s">
        <v>533</v>
      </c>
      <c r="B75" s="15">
        <v>0</v>
      </c>
      <c r="C75" s="14"/>
    </row>
    <row r="76" spans="1:4" ht="23.25" customHeight="1">
      <c r="A76" s="14" t="s">
        <v>534</v>
      </c>
      <c r="B76" s="15">
        <v>0</v>
      </c>
      <c r="C76" s="14"/>
    </row>
    <row r="77" spans="1:4" ht="23.25" customHeight="1">
      <c r="A77" s="14" t="s">
        <v>535</v>
      </c>
      <c r="B77" s="15">
        <v>0</v>
      </c>
      <c r="C77" s="14"/>
    </row>
    <row r="78" spans="1:4" ht="23.25" customHeight="1">
      <c r="A78" s="14"/>
      <c r="B78" s="15"/>
      <c r="C78" s="14"/>
    </row>
    <row r="79" spans="1:4" ht="23.25">
      <c r="A79" s="14" t="s">
        <v>536</v>
      </c>
      <c r="B79" s="15">
        <v>0</v>
      </c>
      <c r="C79" s="14"/>
    </row>
    <row r="80" spans="1:4" ht="23.25">
      <c r="A80" s="14" t="s">
        <v>537</v>
      </c>
      <c r="B80" s="15">
        <v>0</v>
      </c>
      <c r="C80" s="14"/>
    </row>
    <row r="81" spans="1:6" ht="23.25">
      <c r="A81" s="14" t="s">
        <v>538</v>
      </c>
      <c r="B81" s="15">
        <v>0</v>
      </c>
      <c r="C81" s="14"/>
    </row>
    <row r="82" spans="1:6" ht="23.25">
      <c r="A82" s="63" t="s">
        <v>539</v>
      </c>
      <c r="B82" s="15">
        <v>153.61000000000001</v>
      </c>
      <c r="C82" s="14"/>
    </row>
    <row r="83" spans="1:6" ht="23.25">
      <c r="A83" s="14"/>
      <c r="B83" s="15"/>
      <c r="C83" s="14"/>
    </row>
    <row r="84" spans="1:6" ht="23.25">
      <c r="A84" s="14"/>
      <c r="B84" s="15"/>
      <c r="C84" s="14"/>
    </row>
    <row r="86" spans="1:6">
      <c r="A86" s="1" t="s">
        <v>540</v>
      </c>
    </row>
    <row r="87" spans="1:6" ht="15">
      <c r="B87" s="248" t="s">
        <v>36</v>
      </c>
      <c r="C87" s="82"/>
      <c r="D87" s="9"/>
      <c r="E87" s="9"/>
      <c r="F87" s="9"/>
    </row>
    <row r="88" spans="1:6" ht="23.25">
      <c r="A88" s="103" t="s">
        <v>641</v>
      </c>
      <c r="B88" s="26">
        <v>10</v>
      </c>
      <c r="C88" s="82"/>
      <c r="D88" s="26">
        <v>10.45</v>
      </c>
      <c r="E88" s="9"/>
      <c r="F88" s="9"/>
    </row>
    <row r="89" spans="1:6" ht="23.25">
      <c r="A89" s="103" t="s">
        <v>642</v>
      </c>
      <c r="B89" s="26">
        <v>50</v>
      </c>
      <c r="C89" s="82"/>
      <c r="D89" s="26">
        <v>58.88</v>
      </c>
      <c r="E89" s="9"/>
      <c r="F89" s="9"/>
    </row>
    <row r="90" spans="1:6" ht="23.25">
      <c r="A90" s="103" t="s">
        <v>643</v>
      </c>
      <c r="B90" s="26">
        <v>100</v>
      </c>
      <c r="C90" s="82"/>
      <c r="D90" s="26">
        <v>106.66</v>
      </c>
      <c r="E90" s="9"/>
      <c r="F90" s="9"/>
    </row>
    <row r="91" spans="1:6" ht="23.25">
      <c r="A91" s="103" t="s">
        <v>644</v>
      </c>
      <c r="B91" s="26">
        <v>1000</v>
      </c>
      <c r="C91" s="82"/>
      <c r="D91" s="26">
        <v>1004.44</v>
      </c>
      <c r="E91" s="9"/>
      <c r="F91" s="9"/>
    </row>
    <row r="92" spans="1:6" ht="23.25">
      <c r="A92" s="103"/>
      <c r="B92" s="26"/>
      <c r="C92" s="82"/>
      <c r="D92" s="9"/>
      <c r="E92" s="9"/>
      <c r="F92" s="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indexed="10"/>
  </sheetPr>
  <dimension ref="A1:K50"/>
  <sheetViews>
    <sheetView workbookViewId="0">
      <pane ySplit="3" topLeftCell="A4" activePane="bottomLeft" state="frozen"/>
      <selection activeCell="H89" sqref="H89"/>
      <selection pane="bottomLeft" activeCell="H89" sqref="H89"/>
    </sheetView>
  </sheetViews>
  <sheetFormatPr defaultColWidth="9.140625" defaultRowHeight="15"/>
  <cols>
    <col min="1" max="1" width="32.28515625" style="427" customWidth="1"/>
    <col min="2" max="2" width="27.28515625" style="427" customWidth="1"/>
    <col min="3" max="3" width="9.28515625" style="427" customWidth="1"/>
    <col min="4" max="4" width="18.28515625" style="427" customWidth="1"/>
    <col min="5" max="5" width="20.42578125" style="427" customWidth="1"/>
    <col min="6" max="7" width="18.28515625" style="427" customWidth="1"/>
    <col min="8" max="8" width="18.85546875" style="427" customWidth="1"/>
    <col min="9" max="9" width="11.42578125" style="427" customWidth="1"/>
    <col min="10" max="10" width="18.5703125" style="427" customWidth="1"/>
    <col min="11" max="11" width="18.140625" style="427" customWidth="1"/>
    <col min="12" max="256" width="11.42578125" style="427" customWidth="1"/>
    <col min="257" max="16384" width="9.140625" style="427"/>
  </cols>
  <sheetData>
    <row r="1" spans="1:8">
      <c r="D1" s="427" t="s">
        <v>662</v>
      </c>
    </row>
    <row r="2" spans="1:8">
      <c r="D2" s="428" t="s">
        <v>663</v>
      </c>
      <c r="E2" s="428" t="s">
        <v>664</v>
      </c>
    </row>
    <row r="3" spans="1:8">
      <c r="A3" s="429" t="s">
        <v>410</v>
      </c>
      <c r="B3" s="429" t="s">
        <v>411</v>
      </c>
      <c r="C3" s="429" t="s">
        <v>412</v>
      </c>
      <c r="D3" s="429" t="s">
        <v>36</v>
      </c>
      <c r="E3" s="430" t="s">
        <v>36</v>
      </c>
      <c r="F3" s="430" t="s">
        <v>36</v>
      </c>
      <c r="G3" s="431"/>
      <c r="H3" s="432"/>
    </row>
    <row r="4" spans="1:8">
      <c r="A4" s="433" t="s">
        <v>665</v>
      </c>
      <c r="B4" s="429" t="s">
        <v>111</v>
      </c>
      <c r="C4" s="429">
        <v>12</v>
      </c>
      <c r="D4" s="434">
        <f>'12'!B8</f>
        <v>62518685</v>
      </c>
      <c r="E4" s="434">
        <f>'12'!B10</f>
        <v>59552569</v>
      </c>
      <c r="F4" s="434" t="s">
        <v>36</v>
      </c>
      <c r="G4" s="434"/>
      <c r="H4" s="434"/>
    </row>
    <row r="5" spans="1:8">
      <c r="A5" s="433" t="s">
        <v>600</v>
      </c>
      <c r="B5" s="429" t="s">
        <v>111</v>
      </c>
      <c r="C5" s="429">
        <v>13</v>
      </c>
      <c r="D5" s="434">
        <f>'13'!B8</f>
        <v>22407480</v>
      </c>
      <c r="E5" s="434">
        <f>'13'!B9</f>
        <v>21163415</v>
      </c>
      <c r="F5" s="434"/>
      <c r="G5" s="434"/>
      <c r="H5" s="434"/>
    </row>
    <row r="6" spans="1:8">
      <c r="A6" s="433" t="s">
        <v>603</v>
      </c>
      <c r="B6" s="429" t="s">
        <v>111</v>
      </c>
      <c r="C6" s="429">
        <v>14</v>
      </c>
      <c r="D6" s="434">
        <f>'14'!B8</f>
        <v>3937766</v>
      </c>
      <c r="E6" s="434">
        <f>'14'!B9</f>
        <v>3576212</v>
      </c>
      <c r="F6" s="434"/>
      <c r="G6" s="434"/>
      <c r="H6" s="434"/>
    </row>
    <row r="7" spans="1:8">
      <c r="A7" s="433" t="s">
        <v>223</v>
      </c>
      <c r="B7" s="429" t="s">
        <v>111</v>
      </c>
      <c r="C7" s="429">
        <v>15</v>
      </c>
      <c r="D7" s="434">
        <f>'15'!B8</f>
        <v>259140885</v>
      </c>
      <c r="E7" s="434">
        <f>'15'!B9</f>
        <v>246822753</v>
      </c>
      <c r="F7" s="434"/>
      <c r="G7" s="434"/>
      <c r="H7" s="434"/>
    </row>
    <row r="8" spans="1:8">
      <c r="A8" s="433" t="s">
        <v>601</v>
      </c>
      <c r="B8" s="429" t="s">
        <v>111</v>
      </c>
      <c r="C8" s="429">
        <v>16</v>
      </c>
      <c r="D8" s="434">
        <f>'16'!B8</f>
        <v>44665847</v>
      </c>
      <c r="E8" s="434">
        <f>'16'!B9</f>
        <v>42733380</v>
      </c>
      <c r="F8" s="434"/>
      <c r="G8" s="434"/>
      <c r="H8" s="434"/>
    </row>
    <row r="9" spans="1:8">
      <c r="A9" s="433" t="s">
        <v>602</v>
      </c>
      <c r="B9" s="429" t="s">
        <v>111</v>
      </c>
      <c r="C9" s="429">
        <v>17</v>
      </c>
      <c r="D9" s="434">
        <f>'17'!B8</f>
        <v>4361257</v>
      </c>
      <c r="E9" s="434">
        <f>'17'!B9</f>
        <v>4077314</v>
      </c>
      <c r="F9" s="434"/>
      <c r="G9" s="434"/>
      <c r="H9" s="434"/>
    </row>
    <row r="10" spans="1:8">
      <c r="A10" s="433" t="s">
        <v>441</v>
      </c>
      <c r="B10" s="429" t="s">
        <v>111</v>
      </c>
      <c r="C10" s="429">
        <v>18</v>
      </c>
      <c r="D10" s="434">
        <f>'18'!B8</f>
        <v>109792</v>
      </c>
      <c r="E10" s="434">
        <f>'18'!B9</f>
        <v>83080</v>
      </c>
      <c r="F10" s="434"/>
      <c r="G10" s="434"/>
      <c r="H10" s="434"/>
    </row>
    <row r="11" spans="1:8">
      <c r="A11" s="433" t="s">
        <v>603</v>
      </c>
      <c r="B11" s="429" t="s">
        <v>111</v>
      </c>
      <c r="C11" s="429">
        <v>24</v>
      </c>
      <c r="D11" s="434">
        <f>'24'!B8</f>
        <v>27336195</v>
      </c>
      <c r="E11" s="434">
        <f>'24'!B9</f>
        <v>25203969</v>
      </c>
      <c r="F11" s="434"/>
      <c r="G11" s="434"/>
      <c r="H11" s="434"/>
    </row>
    <row r="12" spans="1:8">
      <c r="A12" s="433" t="s">
        <v>460</v>
      </c>
      <c r="B12" s="429" t="s">
        <v>111</v>
      </c>
      <c r="C12" s="429">
        <v>26</v>
      </c>
      <c r="D12" s="434">
        <f>'26'!B8</f>
        <v>271424221</v>
      </c>
      <c r="E12" s="434">
        <f>'26'!B9</f>
        <v>257698492</v>
      </c>
      <c r="F12" s="434"/>
      <c r="G12" s="434"/>
      <c r="H12" s="434"/>
    </row>
    <row r="13" spans="1:8">
      <c r="A13" s="433" t="s">
        <v>605</v>
      </c>
      <c r="B13" s="429" t="s">
        <v>111</v>
      </c>
      <c r="C13" s="429">
        <v>27</v>
      </c>
      <c r="D13" s="434">
        <f>'27'!B8</f>
        <v>85000551</v>
      </c>
      <c r="E13" s="434">
        <f>'27'!B10</f>
        <v>79303306</v>
      </c>
      <c r="F13" s="434"/>
      <c r="G13" s="434"/>
      <c r="H13" s="434"/>
    </row>
    <row r="14" spans="1:8">
      <c r="A14" s="433" t="s">
        <v>363</v>
      </c>
      <c r="B14" s="429" t="s">
        <v>111</v>
      </c>
      <c r="C14" s="429">
        <v>28</v>
      </c>
      <c r="D14" s="434">
        <f>'28'!B8</f>
        <v>18345801</v>
      </c>
      <c r="E14" s="434">
        <f>'28'!B9</f>
        <v>17448191</v>
      </c>
      <c r="F14" s="434"/>
      <c r="G14" s="434"/>
      <c r="H14" s="434"/>
    </row>
    <row r="15" spans="1:8">
      <c r="A15" s="433" t="s">
        <v>422</v>
      </c>
      <c r="B15" s="429" t="s">
        <v>666</v>
      </c>
      <c r="C15" s="429">
        <v>34</v>
      </c>
      <c r="D15" s="434">
        <f>'34'!B32</f>
        <v>2277533</v>
      </c>
      <c r="E15" s="434">
        <f>'34'!B33</f>
        <v>2210067</v>
      </c>
      <c r="F15" s="434"/>
      <c r="G15" s="434"/>
      <c r="H15" s="434"/>
    </row>
    <row r="16" spans="1:8">
      <c r="A16" s="433" t="s">
        <v>422</v>
      </c>
      <c r="B16" s="429" t="s">
        <v>666</v>
      </c>
      <c r="C16" s="429">
        <v>35</v>
      </c>
      <c r="D16" s="434">
        <f>'35'!B32</f>
        <v>1562764</v>
      </c>
      <c r="E16" s="434">
        <f>'35'!B33</f>
        <v>1498807</v>
      </c>
      <c r="F16" s="434" t="s">
        <v>36</v>
      </c>
      <c r="G16" s="434"/>
      <c r="H16" s="434"/>
    </row>
    <row r="17" spans="1:11">
      <c r="A17" s="433" t="s">
        <v>422</v>
      </c>
      <c r="B17" s="429" t="s">
        <v>666</v>
      </c>
      <c r="C17" s="429">
        <v>36</v>
      </c>
      <c r="D17" s="434">
        <f>'36'!B32</f>
        <v>1191340</v>
      </c>
      <c r="E17" s="434">
        <f>'36'!B33</f>
        <v>1140467</v>
      </c>
      <c r="F17" s="434"/>
      <c r="G17" s="434"/>
      <c r="H17" s="434"/>
    </row>
    <row r="18" spans="1:11">
      <c r="A18" s="433" t="s">
        <v>606</v>
      </c>
      <c r="B18" s="429" t="s">
        <v>606</v>
      </c>
      <c r="C18" s="429">
        <v>40</v>
      </c>
      <c r="D18" s="434">
        <f>'40'!B8</f>
        <v>17484784.030000001</v>
      </c>
      <c r="E18" s="434">
        <f>'40'!B13</f>
        <v>16717389.4</v>
      </c>
      <c r="F18" s="434"/>
      <c r="G18" s="434"/>
      <c r="H18" s="434"/>
    </row>
    <row r="19" spans="1:11">
      <c r="A19" s="433" t="s">
        <v>607</v>
      </c>
      <c r="B19" s="429" t="s">
        <v>607</v>
      </c>
      <c r="C19" s="429">
        <v>41</v>
      </c>
      <c r="D19" s="434">
        <f>'41'!B8</f>
        <v>17527422.949999999</v>
      </c>
      <c r="E19" s="434">
        <f>'41'!B13</f>
        <v>16663022.76</v>
      </c>
      <c r="F19" s="434"/>
      <c r="G19" s="434"/>
      <c r="H19" s="434"/>
    </row>
    <row r="20" spans="1:11">
      <c r="A20" s="433" t="s">
        <v>659</v>
      </c>
      <c r="B20" s="429" t="s">
        <v>659</v>
      </c>
      <c r="C20" s="429">
        <v>42</v>
      </c>
      <c r="D20" s="434">
        <f>'42'!B8</f>
        <v>19838935.359999999</v>
      </c>
      <c r="E20" s="434">
        <f>'42'!B13</f>
        <v>18973931.57</v>
      </c>
      <c r="F20" s="434"/>
      <c r="G20" s="434"/>
      <c r="H20" s="434"/>
    </row>
    <row r="21" spans="1:11">
      <c r="A21" s="433" t="s">
        <v>607</v>
      </c>
      <c r="B21" s="429" t="s">
        <v>607</v>
      </c>
      <c r="C21" s="429">
        <v>43</v>
      </c>
      <c r="D21" s="434">
        <f>'43'!B8</f>
        <v>17267146.359999999</v>
      </c>
      <c r="E21" s="434">
        <f>'43'!B13</f>
        <v>16402433.550000001</v>
      </c>
      <c r="F21" s="434"/>
      <c r="G21" s="434"/>
      <c r="H21" s="434"/>
    </row>
    <row r="22" spans="1:11">
      <c r="A22" s="433" t="s">
        <v>609</v>
      </c>
      <c r="B22" s="429" t="s">
        <v>428</v>
      </c>
      <c r="C22" s="435">
        <v>48</v>
      </c>
      <c r="D22" s="434">
        <f>'50N'!B8</f>
        <v>64312.98</v>
      </c>
      <c r="E22" s="434">
        <f>'50N'!B10</f>
        <v>62353.25</v>
      </c>
      <c r="F22" s="434"/>
      <c r="G22" s="434"/>
      <c r="H22" s="434"/>
      <c r="K22" s="427" t="s">
        <v>667</v>
      </c>
    </row>
    <row r="23" spans="1:11">
      <c r="A23" s="433" t="s">
        <v>611</v>
      </c>
      <c r="B23" s="429" t="s">
        <v>428</v>
      </c>
      <c r="C23" s="435">
        <v>49</v>
      </c>
      <c r="D23" s="434">
        <f>'49'!B8</f>
        <v>71083.44</v>
      </c>
      <c r="E23" s="434">
        <f>'49'!B10</f>
        <v>67681.759999999995</v>
      </c>
      <c r="F23" s="434"/>
      <c r="G23" s="434"/>
      <c r="H23" s="434"/>
    </row>
    <row r="24" spans="1:11">
      <c r="A24" s="433" t="s">
        <v>610</v>
      </c>
      <c r="B24" s="429" t="s">
        <v>428</v>
      </c>
      <c r="C24" s="435">
        <v>50</v>
      </c>
      <c r="D24" s="434">
        <f>'50'!B8</f>
        <v>57258.94</v>
      </c>
      <c r="E24" s="434">
        <f>'50'!B10</f>
        <v>56609.440000000002</v>
      </c>
      <c r="F24" s="434"/>
      <c r="G24" s="434"/>
      <c r="H24" s="434"/>
    </row>
    <row r="25" spans="1:11">
      <c r="A25" s="433" t="s">
        <v>668</v>
      </c>
      <c r="B25" s="429"/>
      <c r="C25" s="429"/>
      <c r="D25" s="434"/>
      <c r="E25" s="434"/>
      <c r="F25" s="434"/>
      <c r="G25" s="434"/>
      <c r="H25" s="434"/>
    </row>
    <row r="26" spans="1:11">
      <c r="A26" s="433" t="s">
        <v>610</v>
      </c>
      <c r="B26" s="429" t="s">
        <v>428</v>
      </c>
      <c r="C26" s="436">
        <v>65</v>
      </c>
      <c r="D26" s="434">
        <f>'65'!B8</f>
        <v>89972.76</v>
      </c>
      <c r="E26" s="434">
        <f>'65'!B10</f>
        <v>82463.460000000006</v>
      </c>
      <c r="F26" s="434"/>
      <c r="G26" s="434"/>
      <c r="H26" s="434"/>
      <c r="I26" s="437"/>
    </row>
    <row r="27" spans="1:11">
      <c r="A27" s="433" t="s">
        <v>611</v>
      </c>
      <c r="B27" s="429" t="s">
        <v>428</v>
      </c>
      <c r="C27" s="436">
        <v>66</v>
      </c>
      <c r="D27" s="434">
        <f>'66'!B8</f>
        <v>99050.91</v>
      </c>
      <c r="E27" s="434">
        <f>'66'!B10</f>
        <v>87529.8</v>
      </c>
      <c r="F27" s="434"/>
      <c r="G27" s="438"/>
      <c r="H27" s="434"/>
      <c r="I27" s="437"/>
      <c r="K27" s="439"/>
    </row>
    <row r="28" spans="1:11">
      <c r="A28" s="433" t="s">
        <v>609</v>
      </c>
      <c r="B28" s="429" t="s">
        <v>428</v>
      </c>
      <c r="C28" s="436">
        <v>67</v>
      </c>
      <c r="D28" s="434">
        <f>+'67'!B8</f>
        <v>154507.91</v>
      </c>
      <c r="E28" s="434">
        <f>'67'!B10</f>
        <v>143402.76999999999</v>
      </c>
      <c r="F28" s="434"/>
      <c r="G28" s="429"/>
      <c r="H28" s="434"/>
    </row>
    <row r="29" spans="1:11">
      <c r="A29" s="433" t="s">
        <v>669</v>
      </c>
      <c r="B29" s="429"/>
      <c r="C29" s="436"/>
      <c r="D29" s="434"/>
      <c r="E29" s="434"/>
      <c r="F29" s="434"/>
      <c r="G29" s="429"/>
      <c r="H29" s="434"/>
    </row>
    <row r="30" spans="1:11">
      <c r="A30" s="433" t="s">
        <v>426</v>
      </c>
      <c r="B30" s="429" t="s">
        <v>111</v>
      </c>
      <c r="C30" s="429">
        <v>54</v>
      </c>
      <c r="D30" s="434">
        <f>'54'!B8</f>
        <v>1012960</v>
      </c>
      <c r="E30" s="434">
        <f>'54'!B9</f>
        <v>975475</v>
      </c>
      <c r="F30" s="434"/>
      <c r="G30" s="434"/>
      <c r="H30" s="434"/>
      <c r="J30" s="440">
        <f>+E28+D28</f>
        <v>297910.68</v>
      </c>
    </row>
    <row r="31" spans="1:11">
      <c r="A31" s="433" t="s">
        <v>427</v>
      </c>
      <c r="B31" s="429" t="s">
        <v>428</v>
      </c>
      <c r="C31" s="429">
        <v>55</v>
      </c>
      <c r="D31" s="434">
        <f>'55'!B8</f>
        <v>233923.44</v>
      </c>
      <c r="E31" s="434">
        <f>'55'!B10</f>
        <v>222383.68</v>
      </c>
      <c r="F31" s="434"/>
      <c r="G31" s="434"/>
      <c r="H31" s="434"/>
      <c r="I31" s="437"/>
    </row>
    <row r="32" spans="1:11">
      <c r="A32" s="433" t="s">
        <v>670</v>
      </c>
      <c r="B32" s="429" t="s">
        <v>428</v>
      </c>
      <c r="C32" s="429">
        <v>56</v>
      </c>
      <c r="D32" s="434">
        <f>'56'!B8</f>
        <v>643546.6</v>
      </c>
      <c r="E32" s="434">
        <f>'56'!B10</f>
        <v>602256.85</v>
      </c>
      <c r="F32" s="434"/>
      <c r="G32" s="434"/>
      <c r="H32" s="434"/>
      <c r="I32" s="437"/>
    </row>
    <row r="33" spans="1:9">
      <c r="A33" s="433" t="s">
        <v>332</v>
      </c>
      <c r="B33" s="429" t="s">
        <v>428</v>
      </c>
      <c r="C33" s="429">
        <v>57</v>
      </c>
      <c r="D33" s="434">
        <f>'57'!B8</f>
        <v>1079.78</v>
      </c>
      <c r="E33" s="434">
        <f>'57'!B10</f>
        <v>1008.05</v>
      </c>
      <c r="F33" s="434"/>
      <c r="G33" s="434"/>
      <c r="H33" s="434"/>
    </row>
    <row r="34" spans="1:9">
      <c r="A34" s="433" t="s">
        <v>476</v>
      </c>
      <c r="B34" s="429" t="s">
        <v>428</v>
      </c>
      <c r="C34" s="429">
        <v>58</v>
      </c>
      <c r="D34" s="434">
        <f>'58'!B8</f>
        <v>8426.18</v>
      </c>
      <c r="E34" s="434">
        <f>'58'!B11</f>
        <v>7826.14</v>
      </c>
      <c r="F34" s="434"/>
      <c r="G34" s="434"/>
      <c r="H34" s="434"/>
    </row>
    <row r="35" spans="1:9">
      <c r="A35" s="433" t="s">
        <v>440</v>
      </c>
      <c r="B35" s="429" t="s">
        <v>428</v>
      </c>
      <c r="C35" s="429">
        <v>59</v>
      </c>
      <c r="D35" s="434">
        <f>'59'!B8</f>
        <v>3424.44</v>
      </c>
      <c r="E35" s="434">
        <f>'59'!B11</f>
        <v>2920.62</v>
      </c>
      <c r="F35" s="434"/>
      <c r="G35" s="434"/>
      <c r="H35" s="434"/>
    </row>
    <row r="36" spans="1:9" ht="13.5" customHeight="1">
      <c r="A36" s="433" t="s">
        <v>475</v>
      </c>
      <c r="B36" s="429" t="s">
        <v>428</v>
      </c>
      <c r="C36" s="429">
        <v>60</v>
      </c>
      <c r="D36" s="434">
        <f>'60'!B8</f>
        <v>316750.74</v>
      </c>
      <c r="E36" s="434">
        <f>'60'!B11</f>
        <v>295435.52000000002</v>
      </c>
      <c r="F36" s="434"/>
      <c r="G36" s="434"/>
      <c r="H36" s="434"/>
    </row>
    <row r="37" spans="1:9">
      <c r="A37" s="433" t="s">
        <v>671</v>
      </c>
      <c r="B37" s="429" t="s">
        <v>428</v>
      </c>
      <c r="C37" s="429">
        <v>61</v>
      </c>
      <c r="D37" s="434">
        <f>'61'!B8</f>
        <v>32328.26</v>
      </c>
      <c r="E37" s="434">
        <f>'61'!B10</f>
        <v>29440.400000000001</v>
      </c>
      <c r="F37" s="434"/>
      <c r="G37" s="434"/>
      <c r="H37" s="434"/>
    </row>
    <row r="38" spans="1:9">
      <c r="A38" s="441"/>
      <c r="B38" s="442"/>
      <c r="C38" s="442"/>
      <c r="D38" s="443"/>
      <c r="E38" s="444" t="s">
        <v>672</v>
      </c>
      <c r="F38" s="443"/>
      <c r="G38" s="445"/>
      <c r="H38" s="445"/>
      <c r="I38" s="446"/>
    </row>
    <row r="39" spans="1:9">
      <c r="A39" s="429" t="s">
        <v>673</v>
      </c>
      <c r="B39" s="429" t="s">
        <v>415</v>
      </c>
      <c r="C39" s="429">
        <v>68</v>
      </c>
      <c r="D39" s="434">
        <f>'68'!B9</f>
        <v>33312.1</v>
      </c>
      <c r="E39" s="434">
        <f>'68'!B14</f>
        <v>31046.28</v>
      </c>
      <c r="F39" s="447">
        <f t="shared" ref="F39:F45" si="0">E39/D39</f>
        <v>0.93198207258023358</v>
      </c>
      <c r="G39" s="434"/>
      <c r="H39" s="434"/>
    </row>
    <row r="40" spans="1:9">
      <c r="A40" s="429" t="s">
        <v>674</v>
      </c>
      <c r="B40" s="429" t="s">
        <v>254</v>
      </c>
      <c r="C40" s="429">
        <v>76</v>
      </c>
      <c r="D40" s="434">
        <f>'76'!C27</f>
        <v>138500</v>
      </c>
      <c r="E40" s="434">
        <f>'76'!C28</f>
        <v>126506</v>
      </c>
      <c r="F40" s="447">
        <f t="shared" si="0"/>
        <v>0.91340072202166067</v>
      </c>
      <c r="G40" s="434" t="s">
        <v>36</v>
      </c>
      <c r="H40" s="434"/>
    </row>
    <row r="41" spans="1:9">
      <c r="A41" s="429" t="s">
        <v>675</v>
      </c>
      <c r="B41" s="429" t="s">
        <v>254</v>
      </c>
      <c r="C41" s="429">
        <v>77</v>
      </c>
      <c r="D41" s="434">
        <f>'77'!C29</f>
        <v>32583525</v>
      </c>
      <c r="E41" s="434">
        <f>'77'!C30</f>
        <v>31683811</v>
      </c>
      <c r="F41" s="447">
        <f t="shared" si="0"/>
        <v>0.97238745654437331</v>
      </c>
      <c r="G41" s="429"/>
      <c r="H41" s="429"/>
    </row>
    <row r="42" spans="1:9">
      <c r="A42" s="429" t="s">
        <v>674</v>
      </c>
      <c r="B42" s="429" t="s">
        <v>254</v>
      </c>
      <c r="C42" s="429">
        <v>78</v>
      </c>
      <c r="D42" s="434">
        <f>'78'!C29</f>
        <v>84650</v>
      </c>
      <c r="E42" s="434">
        <f>'78'!C30</f>
        <v>54650</v>
      </c>
      <c r="F42" s="447">
        <f t="shared" si="0"/>
        <v>0.64559952746603666</v>
      </c>
      <c r="G42" s="429"/>
      <c r="H42" s="429"/>
    </row>
    <row r="43" spans="1:9">
      <c r="A43" s="429" t="s">
        <v>675</v>
      </c>
      <c r="B43" s="429" t="s">
        <v>254</v>
      </c>
      <c r="C43" s="429">
        <v>79</v>
      </c>
      <c r="D43" s="434">
        <f>'79'!C$29</f>
        <v>17740</v>
      </c>
      <c r="E43" s="434">
        <f>'79'!C$30</f>
        <v>14745</v>
      </c>
      <c r="F43" s="447">
        <f t="shared" si="0"/>
        <v>0.8311724915445321</v>
      </c>
      <c r="G43" s="429"/>
      <c r="H43" s="429"/>
    </row>
    <row r="44" spans="1:9">
      <c r="A44" s="429" t="s">
        <v>676</v>
      </c>
      <c r="B44" s="429" t="s">
        <v>254</v>
      </c>
      <c r="C44" s="429">
        <v>80</v>
      </c>
      <c r="D44" s="434">
        <f>'80'!C$29</f>
        <v>1380</v>
      </c>
      <c r="E44" s="434">
        <f>'80'!C$30</f>
        <v>380</v>
      </c>
      <c r="F44" s="447">
        <f t="shared" si="0"/>
        <v>0.27536231884057971</v>
      </c>
      <c r="G44" s="429"/>
      <c r="H44" s="429"/>
    </row>
    <row r="45" spans="1:9">
      <c r="A45" s="429" t="s">
        <v>676</v>
      </c>
      <c r="B45" s="429" t="s">
        <v>254</v>
      </c>
      <c r="C45" s="429">
        <v>81</v>
      </c>
      <c r="D45" s="434" t="str">
        <f>'81'!C$29</f>
        <v xml:space="preserve"> </v>
      </c>
      <c r="E45" s="434">
        <f>'81'!C$30</f>
        <v>16865</v>
      </c>
      <c r="F45" s="447" t="e">
        <f t="shared" si="0"/>
        <v>#VALUE!</v>
      </c>
      <c r="G45" s="429"/>
      <c r="H45" s="429"/>
    </row>
    <row r="46" spans="1:9">
      <c r="A46" s="448"/>
      <c r="B46" s="448"/>
      <c r="C46" s="448"/>
      <c r="D46" s="448"/>
      <c r="E46" s="449" t="s">
        <v>677</v>
      </c>
      <c r="F46" s="448"/>
      <c r="G46" s="448"/>
      <c r="H46" s="448"/>
      <c r="I46" s="450"/>
    </row>
    <row r="47" spans="1:9">
      <c r="A47" s="429" t="s">
        <v>678</v>
      </c>
      <c r="B47" s="429" t="s">
        <v>679</v>
      </c>
      <c r="C47" s="429">
        <v>44</v>
      </c>
      <c r="D47" s="434">
        <f>'44'!$B$8</f>
        <v>2330166.85</v>
      </c>
      <c r="E47" s="434">
        <f>'44'!$B$9</f>
        <v>2149819.69</v>
      </c>
      <c r="F47" s="447">
        <f>E47/D47</f>
        <v>0.92260332774024312</v>
      </c>
      <c r="G47" s="429"/>
      <c r="H47" s="429"/>
    </row>
    <row r="48" spans="1:9">
      <c r="A48" s="429" t="s">
        <v>678</v>
      </c>
      <c r="B48" s="429" t="s">
        <v>679</v>
      </c>
      <c r="C48" s="429">
        <v>45</v>
      </c>
      <c r="D48" s="434">
        <f>'45'!$B$8</f>
        <v>1457485.68</v>
      </c>
      <c r="E48" s="434">
        <f>'45'!$B$9</f>
        <v>1345860.46</v>
      </c>
      <c r="F48" s="447">
        <f>E48/D48</f>
        <v>0.92341247565464935</v>
      </c>
      <c r="G48" s="429"/>
      <c r="H48" s="429"/>
    </row>
    <row r="49" spans="1:8">
      <c r="A49" s="429" t="s">
        <v>678</v>
      </c>
      <c r="B49" s="429" t="s">
        <v>679</v>
      </c>
      <c r="C49" s="429">
        <v>46</v>
      </c>
      <c r="D49" s="434">
        <f>'46'!$B$8</f>
        <v>2372219.52</v>
      </c>
      <c r="E49" s="434">
        <f>'46'!$B$9</f>
        <v>2190281.92</v>
      </c>
      <c r="F49" s="447">
        <f>E49/D49</f>
        <v>0.92330490561008449</v>
      </c>
      <c r="G49" s="429"/>
      <c r="H49" s="429"/>
    </row>
    <row r="50" spans="1:8">
      <c r="A50" s="429" t="s">
        <v>678</v>
      </c>
      <c r="B50" s="429" t="s">
        <v>679</v>
      </c>
      <c r="C50" s="429">
        <v>47</v>
      </c>
      <c r="D50" s="434">
        <f>'47'!$B$8</f>
        <v>2429959.9</v>
      </c>
      <c r="E50" s="434">
        <f>'47'!$B$9</f>
        <v>2243640.21</v>
      </c>
      <c r="F50" s="447">
        <f>E50/D50</f>
        <v>0.92332396514033011</v>
      </c>
      <c r="G50" s="429"/>
      <c r="H50" s="42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BJ81"/>
  <sheetViews>
    <sheetView workbookViewId="0">
      <selection activeCell="H89" sqref="H89"/>
    </sheetView>
  </sheetViews>
  <sheetFormatPr defaultColWidth="11" defaultRowHeight="14.25"/>
  <cols>
    <col min="1" max="1" width="45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9">
      <c r="A1" s="3"/>
      <c r="B1" s="4"/>
      <c r="C1" s="5"/>
    </row>
    <row r="2" spans="1:9" ht="15">
      <c r="A2" s="6" t="s">
        <v>0</v>
      </c>
      <c r="B2" s="7" t="s">
        <v>415</v>
      </c>
      <c r="C2" s="8" t="s">
        <v>2</v>
      </c>
    </row>
    <row r="3" spans="1:9" ht="15">
      <c r="A3" s="6"/>
      <c r="B3" s="7" t="s">
        <v>479</v>
      </c>
      <c r="C3" s="9"/>
    </row>
    <row r="4" spans="1:9" ht="15">
      <c r="A4" s="6" t="s">
        <v>4</v>
      </c>
      <c r="B4" s="10">
        <v>1</v>
      </c>
      <c r="C4" s="9"/>
      <c r="I4">
        <v>2</v>
      </c>
    </row>
    <row r="5" spans="1:9">
      <c r="C5" s="9"/>
    </row>
    <row r="6" spans="1:9" ht="21" customHeight="1">
      <c r="A6" s="11" t="s">
        <v>5</v>
      </c>
      <c r="B6" s="52">
        <v>68</v>
      </c>
      <c r="C6" s="9"/>
    </row>
    <row r="7" spans="1:9" ht="24" customHeight="1">
      <c r="A7" s="12" t="s">
        <v>6</v>
      </c>
      <c r="B7" s="13" t="s">
        <v>480</v>
      </c>
      <c r="C7" s="9"/>
    </row>
    <row r="8" spans="1:9" ht="23.25" customHeight="1">
      <c r="A8" s="14" t="s">
        <v>481</v>
      </c>
      <c r="B8" s="15">
        <v>0</v>
      </c>
      <c r="C8" s="14"/>
    </row>
    <row r="9" spans="1:9" ht="23.25" customHeight="1">
      <c r="A9" s="14" t="s">
        <v>680</v>
      </c>
      <c r="B9" s="15">
        <v>0</v>
      </c>
      <c r="C9" s="14"/>
    </row>
    <row r="10" spans="1:9" ht="23.25" customHeight="1">
      <c r="A10" s="14" t="s">
        <v>483</v>
      </c>
      <c r="B10" s="15">
        <v>0</v>
      </c>
      <c r="C10" s="14"/>
    </row>
    <row r="11" spans="1:9" ht="23.25" customHeight="1">
      <c r="A11" s="14"/>
      <c r="B11" s="15">
        <v>0</v>
      </c>
      <c r="C11" s="14"/>
    </row>
    <row r="12" spans="1:9" ht="23.25" customHeight="1">
      <c r="A12" s="14" t="s">
        <v>484</v>
      </c>
      <c r="B12" s="15">
        <v>0</v>
      </c>
      <c r="C12" s="14"/>
    </row>
    <row r="13" spans="1:9" ht="23.25" customHeight="1">
      <c r="A13" s="14" t="s">
        <v>485</v>
      </c>
      <c r="B13" s="15">
        <v>0</v>
      </c>
      <c r="C13" s="14"/>
    </row>
    <row r="14" spans="1:9" ht="23.25" customHeight="1">
      <c r="A14" s="14"/>
      <c r="B14" s="15">
        <v>0</v>
      </c>
      <c r="C14" s="14"/>
    </row>
    <row r="15" spans="1:9" ht="23.25" customHeight="1">
      <c r="A15" s="14" t="s">
        <v>486</v>
      </c>
      <c r="B15" s="15">
        <v>0</v>
      </c>
      <c r="C15" s="14"/>
    </row>
    <row r="16" spans="1:9" ht="23.25" customHeight="1">
      <c r="A16" s="14" t="s">
        <v>487</v>
      </c>
      <c r="B16" s="15">
        <v>0</v>
      </c>
      <c r="C16" s="14"/>
    </row>
    <row r="17" spans="1:7" ht="23.25" customHeight="1">
      <c r="A17" s="14" t="s">
        <v>488</v>
      </c>
      <c r="B17" s="15">
        <v>0</v>
      </c>
      <c r="C17" s="14"/>
    </row>
    <row r="18" spans="1:7" ht="23.25" customHeight="1">
      <c r="A18" s="14"/>
      <c r="B18" s="15">
        <v>0</v>
      </c>
      <c r="C18" s="14"/>
      <c r="G18">
        <v>2</v>
      </c>
    </row>
    <row r="19" spans="1:7" ht="23.25" customHeight="1">
      <c r="A19" s="18"/>
      <c r="B19" s="53"/>
      <c r="C19" s="14"/>
    </row>
    <row r="20" spans="1:7" ht="23.25" customHeight="1">
      <c r="A20" s="14" t="s">
        <v>489</v>
      </c>
      <c r="B20" s="15">
        <v>0</v>
      </c>
      <c r="C20" s="14"/>
    </row>
    <row r="21" spans="1:7" ht="23.25" customHeight="1">
      <c r="A21" s="14" t="s">
        <v>490</v>
      </c>
      <c r="B21" s="15">
        <v>0</v>
      </c>
      <c r="C21" s="14"/>
    </row>
    <row r="22" spans="1:7" ht="23.25" customHeight="1">
      <c r="A22" s="14" t="s">
        <v>491</v>
      </c>
      <c r="B22" s="15"/>
      <c r="C22" s="9"/>
    </row>
    <row r="23" spans="1:7" ht="23.25" customHeight="1">
      <c r="A23" s="14" t="s">
        <v>492</v>
      </c>
      <c r="B23" s="15"/>
      <c r="C23" s="15"/>
    </row>
    <row r="24" spans="1:7" ht="23.25" customHeight="1">
      <c r="A24" s="14" t="s">
        <v>493</v>
      </c>
      <c r="B24" s="15">
        <v>0</v>
      </c>
      <c r="C24" s="14"/>
    </row>
    <row r="25" spans="1:7" ht="23.25" customHeight="1">
      <c r="A25" s="14" t="s">
        <v>494</v>
      </c>
      <c r="B25" s="15">
        <v>0</v>
      </c>
      <c r="C25" s="14"/>
      <c r="E25" t="s">
        <v>105</v>
      </c>
    </row>
    <row r="26" spans="1:7" ht="23.25" customHeight="1">
      <c r="A26" s="14" t="s">
        <v>495</v>
      </c>
      <c r="B26" s="15">
        <v>0</v>
      </c>
      <c r="C26" s="14"/>
      <c r="E26" t="b">
        <f>B24=B26+B29</f>
        <v>1</v>
      </c>
    </row>
    <row r="27" spans="1:7" ht="23.25" customHeight="1">
      <c r="A27" s="14" t="s">
        <v>496</v>
      </c>
      <c r="B27" s="15">
        <v>0</v>
      </c>
      <c r="C27" s="14"/>
    </row>
    <row r="28" spans="1:7" ht="23.25" customHeight="1">
      <c r="A28" s="18"/>
      <c r="B28" s="53"/>
      <c r="C28" s="14"/>
    </row>
    <row r="29" spans="1:7" ht="23.25" customHeight="1">
      <c r="A29" s="14" t="s">
        <v>497</v>
      </c>
      <c r="B29" s="15">
        <v>0</v>
      </c>
      <c r="C29" s="14"/>
    </row>
    <row r="30" spans="1:7" ht="23.25" customHeight="1">
      <c r="A30" s="14" t="s">
        <v>498</v>
      </c>
      <c r="B30" s="15">
        <v>0</v>
      </c>
      <c r="C30" s="14"/>
    </row>
    <row r="31" spans="1:7" ht="23.25" customHeight="1">
      <c r="A31" s="14" t="s">
        <v>499</v>
      </c>
      <c r="B31" s="15">
        <v>0</v>
      </c>
      <c r="C31" s="14"/>
    </row>
    <row r="32" spans="1:7" ht="23.25" customHeight="1">
      <c r="A32" s="14" t="s">
        <v>500</v>
      </c>
      <c r="B32" s="15">
        <v>0</v>
      </c>
      <c r="C32" s="14"/>
    </row>
    <row r="33" spans="1:62" ht="23.25" customHeight="1">
      <c r="A33" s="14" t="s">
        <v>501</v>
      </c>
      <c r="B33" s="15">
        <v>0</v>
      </c>
      <c r="C33" s="14"/>
    </row>
    <row r="34" spans="1:62" ht="23.25" customHeight="1">
      <c r="A34" s="14" t="s">
        <v>502</v>
      </c>
      <c r="B34" s="15">
        <v>0</v>
      </c>
      <c r="C34" s="14"/>
    </row>
    <row r="35" spans="1:62" ht="23.25" customHeight="1">
      <c r="A35" s="14" t="s">
        <v>503</v>
      </c>
      <c r="B35" s="15">
        <v>0</v>
      </c>
      <c r="C35" s="14"/>
    </row>
    <row r="36" spans="1:62" ht="23.25" customHeight="1">
      <c r="A36" s="14" t="s">
        <v>504</v>
      </c>
      <c r="B36" s="15">
        <v>0</v>
      </c>
      <c r="C36" s="14"/>
    </row>
    <row r="37" spans="1:62" ht="23.25" customHeight="1">
      <c r="A37" s="18"/>
      <c r="B37" s="18"/>
      <c r="C37" s="14"/>
    </row>
    <row r="38" spans="1:62" ht="23.25" customHeight="1">
      <c r="A38" s="14" t="s">
        <v>505</v>
      </c>
      <c r="B38" s="15">
        <v>0</v>
      </c>
      <c r="C38" s="14"/>
    </row>
    <row r="39" spans="1:62" ht="23.25" customHeight="1">
      <c r="A39" s="14" t="s">
        <v>506</v>
      </c>
      <c r="B39" s="15">
        <v>0</v>
      </c>
      <c r="C39" s="14"/>
    </row>
    <row r="40" spans="1:62" ht="23.25" customHeight="1">
      <c r="A40" s="14" t="s">
        <v>507</v>
      </c>
      <c r="B40" s="15">
        <v>0</v>
      </c>
      <c r="C40" s="14"/>
    </row>
    <row r="41" spans="1:62" ht="24" customHeight="1">
      <c r="A41" s="14" t="s">
        <v>508</v>
      </c>
      <c r="B41" s="15">
        <v>0</v>
      </c>
      <c r="C41" s="9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2" ht="23.25" customHeight="1">
      <c r="A42" s="14" t="s">
        <v>509</v>
      </c>
      <c r="B42" s="15">
        <v>0</v>
      </c>
      <c r="C42" s="14"/>
    </row>
    <row r="43" spans="1:62" ht="23.25" customHeight="1">
      <c r="A43" s="14" t="s">
        <v>510</v>
      </c>
      <c r="B43" s="15">
        <v>0</v>
      </c>
      <c r="C43" s="14"/>
    </row>
    <row r="44" spans="1:62" ht="23.25" customHeight="1">
      <c r="A44" s="14"/>
      <c r="B44" s="15">
        <v>0</v>
      </c>
      <c r="C44" s="14"/>
    </row>
    <row r="45" spans="1:62" ht="23.25" customHeight="1">
      <c r="A45" s="14" t="s">
        <v>511</v>
      </c>
      <c r="B45" s="15">
        <v>0</v>
      </c>
      <c r="C45" s="14"/>
    </row>
    <row r="46" spans="1:62" ht="23.25" customHeight="1">
      <c r="A46" s="14" t="s">
        <v>512</v>
      </c>
      <c r="B46" s="15">
        <v>0</v>
      </c>
      <c r="C46" s="14"/>
    </row>
    <row r="47" spans="1:62" ht="23.25" customHeight="1">
      <c r="A47" s="14" t="s">
        <v>513</v>
      </c>
      <c r="B47" s="15">
        <v>0</v>
      </c>
      <c r="C47" s="14"/>
    </row>
    <row r="48" spans="1:62" ht="23.25" customHeight="1">
      <c r="A48" s="14" t="s">
        <v>514</v>
      </c>
      <c r="B48" s="15">
        <v>0</v>
      </c>
      <c r="C48" s="14"/>
    </row>
    <row r="49" spans="1:3" ht="23.25">
      <c r="A49" s="18"/>
      <c r="B49" s="53"/>
      <c r="C49" s="20"/>
    </row>
    <row r="50" spans="1:3" ht="23.25" customHeight="1">
      <c r="A50" s="14" t="s">
        <v>515</v>
      </c>
      <c r="B50" s="15">
        <v>0</v>
      </c>
      <c r="C50" s="14"/>
    </row>
    <row r="51" spans="1:3" ht="23.25" customHeight="1">
      <c r="A51" s="14" t="s">
        <v>516</v>
      </c>
      <c r="B51" s="15">
        <v>0</v>
      </c>
      <c r="C51" s="14"/>
    </row>
    <row r="52" spans="1:3" ht="23.25" customHeight="1">
      <c r="A52" s="14" t="s">
        <v>517</v>
      </c>
      <c r="B52" s="15">
        <v>0</v>
      </c>
      <c r="C52" s="14"/>
    </row>
    <row r="53" spans="1:3" ht="23.25" customHeight="1">
      <c r="A53" s="14" t="s">
        <v>518</v>
      </c>
      <c r="B53" s="15">
        <v>0</v>
      </c>
      <c r="C53" s="14"/>
    </row>
    <row r="54" spans="1:3" ht="23.25" customHeight="1">
      <c r="A54" s="14" t="s">
        <v>519</v>
      </c>
      <c r="B54" s="15">
        <v>0</v>
      </c>
      <c r="C54" s="14"/>
    </row>
    <row r="55" spans="1:3" ht="23.25" customHeight="1">
      <c r="A55" s="14" t="s">
        <v>520</v>
      </c>
      <c r="B55" s="15">
        <v>0</v>
      </c>
      <c r="C55" s="14"/>
    </row>
    <row r="56" spans="1:3" ht="23.25" customHeight="1">
      <c r="A56" s="14" t="s">
        <v>521</v>
      </c>
      <c r="B56" s="15">
        <v>0</v>
      </c>
      <c r="C56" s="14"/>
    </row>
    <row r="57" spans="1:3" ht="23.25" customHeight="1">
      <c r="A57" s="14"/>
      <c r="B57" s="15">
        <v>0</v>
      </c>
      <c r="C57" s="14"/>
    </row>
    <row r="58" spans="1:3" ht="23.25" customHeight="1">
      <c r="A58" s="14" t="s">
        <v>522</v>
      </c>
      <c r="B58" s="15">
        <v>0</v>
      </c>
      <c r="C58" s="14"/>
    </row>
    <row r="59" spans="1:3" ht="23.25" customHeight="1">
      <c r="A59" s="14" t="s">
        <v>523</v>
      </c>
      <c r="B59" s="15">
        <v>0</v>
      </c>
      <c r="C59" s="14"/>
    </row>
    <row r="60" spans="1:3" ht="23.25" customHeight="1">
      <c r="A60" s="14" t="s">
        <v>524</v>
      </c>
      <c r="B60" s="15">
        <v>0</v>
      </c>
      <c r="C60" s="14"/>
    </row>
    <row r="61" spans="1:3" ht="23.25" customHeight="1">
      <c r="A61" s="14" t="s">
        <v>525</v>
      </c>
      <c r="B61" s="15">
        <v>0</v>
      </c>
      <c r="C61" s="14"/>
    </row>
    <row r="62" spans="1:3" ht="23.25" customHeight="1">
      <c r="A62" s="14" t="s">
        <v>526</v>
      </c>
      <c r="B62" s="15">
        <v>0</v>
      </c>
      <c r="C62" s="14"/>
    </row>
    <row r="63" spans="1:3" ht="23.25" customHeight="1">
      <c r="A63" s="14"/>
      <c r="B63" s="15">
        <v>0</v>
      </c>
      <c r="C63" s="14"/>
    </row>
    <row r="64" spans="1:3" ht="23.25" customHeight="1">
      <c r="A64" s="14" t="s">
        <v>496</v>
      </c>
      <c r="B64" s="15">
        <v>0</v>
      </c>
      <c r="C64" s="14"/>
    </row>
    <row r="65" spans="1:3" ht="23.25" customHeight="1">
      <c r="A65" s="14" t="s">
        <v>527</v>
      </c>
      <c r="B65" s="15">
        <v>0</v>
      </c>
      <c r="C65" s="14"/>
    </row>
    <row r="66" spans="1:3" ht="23.25" customHeight="1">
      <c r="A66" s="14" t="s">
        <v>528</v>
      </c>
      <c r="B66" s="15">
        <v>0</v>
      </c>
      <c r="C66" s="14"/>
    </row>
    <row r="67" spans="1:3" ht="23.25" customHeight="1">
      <c r="A67" s="14" t="s">
        <v>529</v>
      </c>
      <c r="B67" s="15">
        <v>0</v>
      </c>
      <c r="C67" s="14"/>
    </row>
    <row r="68" spans="1:3" ht="23.25" customHeight="1">
      <c r="A68" s="14" t="s">
        <v>530</v>
      </c>
      <c r="B68" s="15"/>
      <c r="C68" s="14"/>
    </row>
    <row r="69" spans="1:3" ht="23.25" customHeight="1">
      <c r="A69" s="14" t="s">
        <v>531</v>
      </c>
      <c r="B69" s="15"/>
      <c r="C69" s="14"/>
    </row>
    <row r="70" spans="1:3" ht="23.25" customHeight="1">
      <c r="A70" s="14"/>
      <c r="B70" s="15"/>
      <c r="C70" s="14"/>
    </row>
    <row r="71" spans="1:3" ht="23.25" customHeight="1">
      <c r="A71" s="14" t="s">
        <v>532</v>
      </c>
      <c r="B71" s="15"/>
      <c r="C71" s="14"/>
    </row>
    <row r="72" spans="1:3" ht="23.25" customHeight="1">
      <c r="A72" s="14" t="s">
        <v>533</v>
      </c>
      <c r="B72" s="15"/>
      <c r="C72" s="14"/>
    </row>
    <row r="73" spans="1:3" ht="23.25" customHeight="1">
      <c r="A73" s="14" t="s">
        <v>534</v>
      </c>
      <c r="B73" s="15"/>
      <c r="C73" s="14"/>
    </row>
    <row r="74" spans="1:3" ht="23.25" customHeight="1">
      <c r="A74" s="14" t="s">
        <v>535</v>
      </c>
      <c r="B74" s="15"/>
      <c r="C74" s="14"/>
    </row>
    <row r="75" spans="1:3" ht="23.25" customHeight="1">
      <c r="A75" s="14"/>
      <c r="B75" s="15"/>
      <c r="C75" s="14"/>
    </row>
    <row r="76" spans="1:3" ht="23.25">
      <c r="A76" s="14" t="s">
        <v>536</v>
      </c>
      <c r="B76" s="15"/>
      <c r="C76" s="14"/>
    </row>
    <row r="77" spans="1:3" ht="23.25">
      <c r="A77" s="14" t="s">
        <v>537</v>
      </c>
      <c r="B77" s="15"/>
      <c r="C77" s="14"/>
    </row>
    <row r="78" spans="1:3" ht="23.25">
      <c r="A78" s="14" t="s">
        <v>538</v>
      </c>
      <c r="B78" s="15"/>
      <c r="C78" s="14"/>
    </row>
    <row r="79" spans="1:3" ht="23.25">
      <c r="A79" s="14" t="s">
        <v>539</v>
      </c>
      <c r="B79" s="15"/>
      <c r="C79" s="14"/>
    </row>
    <row r="80" spans="1:3" ht="23.25">
      <c r="A80" s="14"/>
      <c r="B80" s="15"/>
      <c r="C80" s="14"/>
    </row>
    <row r="81" spans="1:3" ht="23.25">
      <c r="A81" s="14"/>
      <c r="B81" s="15"/>
      <c r="C81" s="14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indexed="21"/>
  </sheetPr>
  <dimension ref="A1:BK46"/>
  <sheetViews>
    <sheetView workbookViewId="0">
      <selection activeCell="H89" sqref="H89"/>
    </sheetView>
  </sheetViews>
  <sheetFormatPr defaultColWidth="0" defaultRowHeight="14.25"/>
  <cols>
    <col min="1" max="1" width="33.7109375" style="1" customWidth="1"/>
    <col min="2" max="2" width="30" customWidth="1"/>
    <col min="3" max="3" width="4.85546875" customWidth="1"/>
    <col min="4" max="10" width="3.85546875" customWidth="1"/>
    <col min="11" max="11" width="0.42578125" customWidth="1"/>
    <col min="12" max="12" width="8.85546875" customWidth="1"/>
    <col min="13" max="19" width="3.140625" customWidth="1"/>
    <col min="20" max="20" width="0.42578125" customWidth="1"/>
    <col min="21" max="28" width="3.140625" customWidth="1"/>
    <col min="29" max="29" width="0.42578125" customWidth="1"/>
    <col min="30" max="35" width="3.140625" customWidth="1"/>
    <col min="36" max="36" width="3.28515625" customWidth="1"/>
    <col min="37" max="37" width="3.7109375" customWidth="1"/>
    <col min="38" max="38" width="0.85546875" customWidth="1"/>
    <col min="39" max="45" width="3.140625" customWidth="1"/>
    <col min="46" max="46" width="0.42578125" customWidth="1"/>
    <col min="47" max="54" width="3.140625" customWidth="1"/>
    <col min="55" max="55" width="0.28515625" customWidth="1"/>
    <col min="56" max="248" width="11.42578125" customWidth="1"/>
    <col min="249" max="249" width="31.5703125" customWidth="1"/>
    <col min="250" max="250" width="30" customWidth="1"/>
    <col min="251" max="251" width="4.85546875" customWidth="1"/>
    <col min="252" max="252" width="2.28515625" customWidth="1"/>
  </cols>
  <sheetData>
    <row r="1" spans="1:63">
      <c r="A1" s="451"/>
      <c r="B1" s="452"/>
      <c r="C1" s="452"/>
    </row>
    <row r="2" spans="1:63" ht="15">
      <c r="A2" s="6" t="s">
        <v>0</v>
      </c>
      <c r="B2" s="71" t="s">
        <v>681</v>
      </c>
      <c r="C2" t="s">
        <v>2</v>
      </c>
    </row>
    <row r="3" spans="1:63" ht="15">
      <c r="A3" s="6"/>
      <c r="B3" s="71" t="s">
        <v>36</v>
      </c>
    </row>
    <row r="4" spans="1:63" ht="15">
      <c r="A4" s="6" t="s">
        <v>4</v>
      </c>
      <c r="B4" s="72">
        <v>0.01</v>
      </c>
    </row>
    <row r="5" spans="1:63" ht="12.75" customHeight="1"/>
    <row r="6" spans="1:63" ht="23.25">
      <c r="A6" s="11" t="s">
        <v>5</v>
      </c>
      <c r="B6" s="74">
        <v>9</v>
      </c>
    </row>
    <row r="7" spans="1:63" ht="24" customHeight="1">
      <c r="A7" s="12" t="s">
        <v>6</v>
      </c>
      <c r="B7" s="112" t="s">
        <v>682</v>
      </c>
    </row>
    <row r="8" spans="1:63" ht="24" customHeight="1">
      <c r="A8" s="77" t="s">
        <v>683</v>
      </c>
      <c r="B8" s="64"/>
      <c r="C8" s="113"/>
      <c r="D8" s="114"/>
      <c r="E8" s="114"/>
      <c r="F8" s="114"/>
      <c r="G8" s="114"/>
      <c r="H8" s="114"/>
      <c r="I8" s="114"/>
    </row>
    <row r="9" spans="1:63" ht="24" customHeight="1">
      <c r="A9" s="14" t="s">
        <v>125</v>
      </c>
      <c r="B9" s="453">
        <v>60312</v>
      </c>
      <c r="C9" s="9"/>
      <c r="BC9" s="116"/>
    </row>
    <row r="10" spans="1:63" ht="24" customHeight="1">
      <c r="A10" s="14" t="s">
        <v>684</v>
      </c>
      <c r="B10" s="15">
        <v>61239.86</v>
      </c>
      <c r="C10" s="9"/>
      <c r="BC10" s="28"/>
      <c r="BD10" s="16"/>
      <c r="BE10" s="16"/>
      <c r="BF10" s="16"/>
      <c r="BG10" s="16"/>
      <c r="BH10" s="16"/>
      <c r="BI10" s="16"/>
      <c r="BJ10" s="16"/>
      <c r="BK10" s="16"/>
    </row>
    <row r="11" spans="1:63" ht="24" customHeight="1">
      <c r="A11" s="14" t="s">
        <v>123</v>
      </c>
      <c r="B11" s="15">
        <v>59803.72</v>
      </c>
      <c r="C11" s="9"/>
      <c r="BC11" s="28"/>
      <c r="BD11" s="16"/>
      <c r="BE11" s="16"/>
      <c r="BF11" s="16"/>
      <c r="BG11" s="16"/>
      <c r="BH11" s="16"/>
      <c r="BI11" s="16"/>
      <c r="BJ11" s="16"/>
      <c r="BK11" s="16"/>
    </row>
    <row r="12" spans="1:63" ht="24" customHeight="1">
      <c r="A12" s="14" t="s">
        <v>118</v>
      </c>
      <c r="B12" s="15">
        <v>0</v>
      </c>
      <c r="C12" s="9"/>
      <c r="BC12" s="28"/>
      <c r="BD12" s="16"/>
      <c r="BE12" s="16"/>
      <c r="BF12" s="16"/>
      <c r="BG12" s="16"/>
      <c r="BH12" s="16"/>
      <c r="BI12" s="16"/>
      <c r="BJ12" s="16"/>
      <c r="BK12" s="16"/>
    </row>
    <row r="13" spans="1:63" ht="24" customHeight="1">
      <c r="A13" s="14" t="s">
        <v>685</v>
      </c>
      <c r="B13" s="15">
        <v>0</v>
      </c>
      <c r="C13" s="9"/>
      <c r="BC13" s="28"/>
      <c r="BD13" s="16"/>
      <c r="BE13" s="16"/>
      <c r="BF13" s="16"/>
      <c r="BG13" s="16"/>
      <c r="BH13" s="16"/>
      <c r="BI13" s="16"/>
      <c r="BJ13" s="16"/>
      <c r="BK13" s="16"/>
    </row>
    <row r="14" spans="1:63" ht="24" customHeight="1">
      <c r="A14" s="14" t="s">
        <v>114</v>
      </c>
      <c r="B14" s="15">
        <v>0</v>
      </c>
      <c r="C14" s="9"/>
      <c r="BC14" s="28"/>
      <c r="BD14" s="16"/>
      <c r="BE14" s="16"/>
      <c r="BF14" s="16"/>
      <c r="BG14" s="16"/>
      <c r="BH14" s="16"/>
      <c r="BI14" s="16"/>
      <c r="BJ14" s="16"/>
      <c r="BK14" s="16"/>
    </row>
    <row r="15" spans="1:63" ht="24" customHeight="1">
      <c r="A15" s="14" t="s">
        <v>116</v>
      </c>
      <c r="B15" s="15">
        <v>0</v>
      </c>
      <c r="C15" s="9"/>
      <c r="BC15" s="28"/>
      <c r="BD15" s="16"/>
      <c r="BE15" s="16"/>
      <c r="BF15" s="16"/>
      <c r="BG15" s="16"/>
      <c r="BH15" s="16"/>
      <c r="BI15" s="16"/>
      <c r="BJ15" s="16"/>
      <c r="BK15" s="16"/>
    </row>
    <row r="16" spans="1:63" ht="24" customHeight="1">
      <c r="A16" s="14" t="s">
        <v>686</v>
      </c>
      <c r="B16" s="64">
        <v>0</v>
      </c>
      <c r="C16" s="9"/>
      <c r="BC16" s="28"/>
      <c r="BD16" s="16"/>
      <c r="BE16" s="16"/>
      <c r="BF16" s="16"/>
      <c r="BG16" s="16"/>
      <c r="BH16" s="16"/>
      <c r="BI16" s="16"/>
      <c r="BJ16" s="16"/>
      <c r="BK16" s="16"/>
    </row>
    <row r="17" spans="1:63" ht="24" customHeight="1">
      <c r="A17" s="14" t="s">
        <v>687</v>
      </c>
      <c r="B17" s="64">
        <v>0</v>
      </c>
      <c r="C17" s="9"/>
      <c r="BC17" s="28"/>
      <c r="BD17" s="16"/>
      <c r="BE17" s="16"/>
      <c r="BF17" s="16"/>
      <c r="BG17" s="16"/>
      <c r="BH17" s="16"/>
      <c r="BI17" s="16"/>
      <c r="BJ17" s="16"/>
      <c r="BK17" s="16"/>
    </row>
    <row r="18" spans="1:63" ht="24" customHeight="1">
      <c r="A18" s="14" t="s">
        <v>688</v>
      </c>
      <c r="B18" s="15">
        <v>0</v>
      </c>
      <c r="C18" s="9"/>
      <c r="BC18" s="28"/>
      <c r="BD18" s="16"/>
      <c r="BE18" s="16"/>
      <c r="BF18" s="16"/>
      <c r="BG18" s="16"/>
      <c r="BH18" s="16"/>
      <c r="BI18" s="16"/>
      <c r="BJ18" s="16"/>
      <c r="BK18" s="16"/>
    </row>
    <row r="19" spans="1:63" ht="24" customHeight="1">
      <c r="A19" s="14" t="s">
        <v>183</v>
      </c>
      <c r="B19" s="15">
        <v>24075.66</v>
      </c>
      <c r="C19" s="9"/>
      <c r="BC19" s="28"/>
      <c r="BD19" s="16"/>
      <c r="BE19" s="16"/>
      <c r="BF19" s="16"/>
      <c r="BG19" s="16"/>
      <c r="BH19" s="16"/>
      <c r="BI19" s="16"/>
      <c r="BJ19" s="16"/>
      <c r="BK19" s="16"/>
    </row>
    <row r="20" spans="1:63" ht="24" customHeight="1">
      <c r="A20" s="14" t="s">
        <v>44</v>
      </c>
      <c r="B20" s="15">
        <v>22639.52</v>
      </c>
      <c r="C20" s="9"/>
      <c r="BC20" s="28"/>
      <c r="BD20" s="16"/>
      <c r="BE20" s="16"/>
      <c r="BF20" s="16"/>
      <c r="BG20" s="16"/>
      <c r="BH20" s="16"/>
      <c r="BI20" s="16"/>
      <c r="BJ20" s="16"/>
      <c r="BK20" s="16"/>
    </row>
    <row r="21" spans="1:63" ht="24" customHeight="1">
      <c r="A21" s="14" t="s">
        <v>689</v>
      </c>
      <c r="B21" s="15">
        <f>B19</f>
        <v>24075.66</v>
      </c>
      <c r="C21" s="9"/>
      <c r="BC21" s="28"/>
      <c r="BD21" s="16"/>
      <c r="BE21" s="16"/>
      <c r="BF21" s="16"/>
      <c r="BG21" s="16"/>
      <c r="BH21" s="16"/>
      <c r="BI21" s="16"/>
      <c r="BJ21" s="16"/>
      <c r="BK21" s="16"/>
    </row>
    <row r="22" spans="1:63" ht="24" customHeight="1">
      <c r="A22" s="14" t="s">
        <v>690</v>
      </c>
      <c r="B22" s="15">
        <f>B20</f>
        <v>22639.52</v>
      </c>
      <c r="C22" s="9"/>
      <c r="BC22" s="28"/>
      <c r="BD22" s="16"/>
      <c r="BE22" s="16"/>
      <c r="BF22" s="16"/>
      <c r="BG22" s="16"/>
      <c r="BH22" s="16"/>
      <c r="BI22" s="16"/>
      <c r="BJ22" s="16"/>
      <c r="BK22" s="16"/>
    </row>
    <row r="23" spans="1:63" ht="24" customHeight="1">
      <c r="A23" s="14" t="s">
        <v>691</v>
      </c>
      <c r="B23" s="64">
        <v>0</v>
      </c>
      <c r="C23" s="9"/>
      <c r="BC23" s="28"/>
    </row>
    <row r="24" spans="1:63" ht="24" customHeight="1">
      <c r="A24" s="1" t="s">
        <v>692</v>
      </c>
      <c r="B24" s="64">
        <v>0</v>
      </c>
      <c r="C24" s="9"/>
      <c r="BC24" s="28"/>
    </row>
    <row r="25" spans="1:63" ht="24" customHeight="1">
      <c r="A25" s="14" t="s">
        <v>693</v>
      </c>
      <c r="B25" s="64">
        <v>0</v>
      </c>
      <c r="C25" s="9"/>
      <c r="BC25" s="28"/>
    </row>
    <row r="26" spans="1:63" ht="24" customHeight="1">
      <c r="A26" s="1" t="s">
        <v>694</v>
      </c>
      <c r="B26" s="64">
        <v>0</v>
      </c>
      <c r="C26" s="9"/>
      <c r="BC26" s="28"/>
    </row>
    <row r="27" spans="1:63" ht="24" customHeight="1">
      <c r="A27" s="14" t="s">
        <v>695</v>
      </c>
      <c r="B27" s="64">
        <v>0</v>
      </c>
      <c r="C27" s="9"/>
      <c r="BC27" s="28"/>
    </row>
    <row r="28" spans="1:63" ht="24" customHeight="1">
      <c r="A28" s="14" t="s">
        <v>393</v>
      </c>
      <c r="B28" s="64">
        <v>20987</v>
      </c>
      <c r="C28" s="9"/>
      <c r="BC28" s="28"/>
    </row>
    <row r="29" spans="1:63" ht="24" customHeight="1">
      <c r="A29" s="14" t="s">
        <v>315</v>
      </c>
      <c r="B29" s="64">
        <v>0</v>
      </c>
      <c r="C29" s="9"/>
      <c r="BC29" s="28"/>
    </row>
    <row r="30" spans="1:63" ht="24" customHeight="1">
      <c r="A30" s="14" t="s">
        <v>696</v>
      </c>
      <c r="B30" s="64">
        <v>500</v>
      </c>
      <c r="C30" s="9"/>
      <c r="BC30" s="28"/>
    </row>
    <row r="31" spans="1:63" ht="24" customHeight="1">
      <c r="A31" s="14" t="s">
        <v>317</v>
      </c>
      <c r="B31" s="64">
        <v>0</v>
      </c>
      <c r="C31" s="9"/>
      <c r="BC31" s="28"/>
    </row>
    <row r="32" spans="1:63" ht="24" customHeight="1">
      <c r="A32" s="14" t="s">
        <v>697</v>
      </c>
      <c r="B32" s="64">
        <v>0</v>
      </c>
      <c r="C32" s="9"/>
      <c r="BC32" s="28"/>
    </row>
    <row r="33" spans="1:55" ht="24" customHeight="1">
      <c r="A33" s="22" t="s">
        <v>698</v>
      </c>
      <c r="B33" s="84">
        <v>130</v>
      </c>
      <c r="C33" s="9"/>
      <c r="BC33" s="28"/>
    </row>
    <row r="34" spans="1:55" ht="24" customHeight="1">
      <c r="A34" s="14" t="s">
        <v>699</v>
      </c>
      <c r="B34" s="115">
        <v>1211</v>
      </c>
      <c r="C34" s="65"/>
      <c r="BC34" s="28"/>
    </row>
    <row r="35" spans="1:55" ht="23.25" customHeight="1">
      <c r="A35" s="14" t="s">
        <v>700</v>
      </c>
      <c r="B35" s="115">
        <v>0</v>
      </c>
    </row>
    <row r="36" spans="1:55">
      <c r="A36" s="164" t="s">
        <v>366</v>
      </c>
    </row>
    <row r="37" spans="1:55">
      <c r="A37" s="103"/>
    </row>
    <row r="38" spans="1:55">
      <c r="A38" s="104" t="s">
        <v>216</v>
      </c>
    </row>
    <row r="39" spans="1:55">
      <c r="A39" s="103"/>
    </row>
    <row r="40" spans="1:55">
      <c r="A40" s="104" t="s">
        <v>217</v>
      </c>
    </row>
    <row r="42" spans="1:55" ht="12">
      <c r="A42" s="108" t="s">
        <v>218</v>
      </c>
    </row>
    <row r="43" spans="1:55" ht="12">
      <c r="A43" s="16"/>
    </row>
    <row r="44" spans="1:55" ht="12">
      <c r="A44" s="16" t="s">
        <v>219</v>
      </c>
    </row>
    <row r="45" spans="1:55" ht="12">
      <c r="A45"/>
    </row>
    <row r="46" spans="1:55" ht="12">
      <c r="A46" s="16" t="s">
        <v>217</v>
      </c>
    </row>
  </sheetData>
  <sheetProtection selectLockedCells="1" selectUnlockedCells="1"/>
  <pageMargins left="0.7" right="0.7" top="0.75" bottom="0.75" header="0.51180555555555551" footer="0.51180555555555551"/>
  <pageSetup paperSize="9" scale="88" firstPageNumber="0" orientation="portrait" horizontalDpi="300" verticalDpi="300" r:id="rId1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indexed="11"/>
  </sheetPr>
  <dimension ref="A1:BJ76"/>
  <sheetViews>
    <sheetView topLeftCell="A31" workbookViewId="0">
      <selection activeCell="H89" sqref="H89"/>
    </sheetView>
  </sheetViews>
  <sheetFormatPr defaultColWidth="11" defaultRowHeight="14.25"/>
  <cols>
    <col min="1" max="1" width="41" style="1" customWidth="1"/>
    <col min="2" max="2" width="26.42578125" style="2" customWidth="1"/>
    <col min="3" max="3" width="20.85546875" customWidth="1"/>
    <col min="4" max="5" width="26.4257812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51</v>
      </c>
      <c r="C6" s="9"/>
    </row>
    <row r="7" spans="1:10" ht="24" customHeight="1">
      <c r="A7" s="12" t="s">
        <v>6</v>
      </c>
      <c r="B7" s="13" t="s">
        <v>457</v>
      </c>
      <c r="C7" s="9"/>
    </row>
    <row r="8" spans="1:10" ht="24" customHeight="1">
      <c r="A8" s="14" t="s">
        <v>76</v>
      </c>
      <c r="B8" s="301">
        <v>154995.64000000001</v>
      </c>
      <c r="C8" s="14"/>
    </row>
    <row r="9" spans="1:10" ht="24" customHeight="1">
      <c r="A9" s="14" t="s">
        <v>333</v>
      </c>
      <c r="B9" s="301">
        <v>138722.75</v>
      </c>
      <c r="C9" s="14"/>
    </row>
    <row r="10" spans="1:10" ht="24" customHeight="1">
      <c r="A10" s="14" t="s">
        <v>334</v>
      </c>
      <c r="B10" s="301">
        <f>B9</f>
        <v>138722.75</v>
      </c>
      <c r="C10" s="14"/>
    </row>
    <row r="11" spans="1:10" ht="24" customHeight="1">
      <c r="A11" s="14" t="s">
        <v>90</v>
      </c>
      <c r="B11" s="301">
        <v>21820</v>
      </c>
      <c r="C11" s="14"/>
    </row>
    <row r="12" spans="1:10" ht="24" customHeight="1">
      <c r="A12" s="14" t="s">
        <v>335</v>
      </c>
      <c r="B12" s="301">
        <v>0</v>
      </c>
      <c r="C12" s="14"/>
    </row>
    <row r="13" spans="1:10" ht="24" customHeight="1">
      <c r="A13" s="14" t="s">
        <v>336</v>
      </c>
      <c r="B13" s="301">
        <v>0</v>
      </c>
      <c r="C13" s="9"/>
      <c r="D13" s="16"/>
      <c r="E13" s="16"/>
      <c r="F13" s="16"/>
      <c r="G13" s="16"/>
    </row>
    <row r="14" spans="1:10" ht="24" customHeight="1">
      <c r="A14" s="14" t="s">
        <v>337</v>
      </c>
      <c r="B14" s="301">
        <v>0</v>
      </c>
      <c r="C14" s="9"/>
      <c r="D14" s="16"/>
      <c r="E14" s="16"/>
      <c r="F14" s="16"/>
      <c r="G14" s="16"/>
    </row>
    <row r="15" spans="1:10" ht="24" customHeight="1">
      <c r="A15" s="14" t="s">
        <v>338</v>
      </c>
      <c r="B15" s="35">
        <v>237464</v>
      </c>
      <c r="C15" s="9"/>
      <c r="D15" s="16"/>
      <c r="E15" s="16"/>
      <c r="F15" s="16"/>
      <c r="G15" s="16"/>
    </row>
    <row r="16" spans="1:10" ht="24" customHeight="1">
      <c r="A16" s="14" t="s">
        <v>339</v>
      </c>
      <c r="B16" s="35">
        <v>69977</v>
      </c>
      <c r="C16" s="9"/>
      <c r="D16" s="16"/>
      <c r="E16" s="16"/>
      <c r="F16" s="16"/>
      <c r="G16" s="16"/>
    </row>
    <row r="17" spans="1:7" ht="24" customHeight="1">
      <c r="A17" s="14" t="s">
        <v>340</v>
      </c>
      <c r="B17" s="301">
        <v>0</v>
      </c>
      <c r="C17" s="9"/>
      <c r="D17" s="16"/>
      <c r="E17" s="16"/>
      <c r="F17" s="16"/>
      <c r="G17" s="16"/>
    </row>
    <row r="18" spans="1:7" ht="24" customHeight="1">
      <c r="A18" s="14" t="s">
        <v>341</v>
      </c>
      <c r="B18" s="301">
        <v>0</v>
      </c>
      <c r="C18" s="9"/>
      <c r="D18" s="16"/>
      <c r="E18" s="16"/>
      <c r="F18" s="16"/>
      <c r="G18" s="16"/>
    </row>
    <row r="19" spans="1:7" ht="24" customHeight="1">
      <c r="A19" s="14" t="s">
        <v>342</v>
      </c>
      <c r="B19" s="35">
        <v>542</v>
      </c>
      <c r="C19" s="9"/>
    </row>
    <row r="20" spans="1:7" ht="24" customHeight="1">
      <c r="A20" s="14" t="s">
        <v>343</v>
      </c>
      <c r="B20" s="35">
        <v>708</v>
      </c>
      <c r="C20" s="9"/>
    </row>
    <row r="21" spans="1:7" ht="24" customHeight="1">
      <c r="A21" s="14" t="s">
        <v>72</v>
      </c>
      <c r="B21" s="301">
        <v>0</v>
      </c>
      <c r="C21" s="9"/>
    </row>
    <row r="22" spans="1:7" ht="24" customHeight="1">
      <c r="A22" s="14" t="s">
        <v>344</v>
      </c>
      <c r="B22" s="301">
        <v>0</v>
      </c>
      <c r="C22" s="9"/>
    </row>
    <row r="23" spans="1:7" ht="24" customHeight="1">
      <c r="A23" s="130" t="s">
        <v>71</v>
      </c>
      <c r="B23" s="226">
        <v>59613.09</v>
      </c>
      <c r="C23" s="454">
        <f>B23-B41</f>
        <v>37793.089999999997</v>
      </c>
    </row>
    <row r="24" spans="1:7" ht="24" customHeight="1">
      <c r="A24" s="130" t="s">
        <v>81</v>
      </c>
      <c r="B24" s="226">
        <v>43340.2</v>
      </c>
      <c r="C24" s="162"/>
    </row>
    <row r="25" spans="1:7" ht="24" customHeight="1">
      <c r="A25" s="14" t="s">
        <v>345</v>
      </c>
      <c r="B25" s="301">
        <v>28615.72</v>
      </c>
      <c r="C25" s="9"/>
    </row>
    <row r="26" spans="1:7" ht="24" customHeight="1">
      <c r="A26" s="14" t="s">
        <v>346</v>
      </c>
      <c r="B26" s="21">
        <v>0.81530000000000002</v>
      </c>
      <c r="C26" s="9"/>
    </row>
    <row r="27" spans="1:7" ht="24" customHeight="1">
      <c r="A27" s="14" t="s">
        <v>347</v>
      </c>
      <c r="B27" s="21">
        <f>B26</f>
        <v>0.81530000000000002</v>
      </c>
      <c r="C27" s="9"/>
    </row>
    <row r="28" spans="1:7" ht="24" customHeight="1">
      <c r="A28" s="14" t="s">
        <v>348</v>
      </c>
      <c r="B28" s="35">
        <v>0</v>
      </c>
      <c r="C28" s="20"/>
    </row>
    <row r="29" spans="1:7" ht="24" customHeight="1">
      <c r="A29" s="14" t="s">
        <v>349</v>
      </c>
      <c r="B29" s="35">
        <v>0</v>
      </c>
      <c r="C29" s="9"/>
    </row>
    <row r="30" spans="1:7" ht="24" customHeight="1">
      <c r="A30" s="14" t="s">
        <v>350</v>
      </c>
      <c r="B30" s="35">
        <v>1409</v>
      </c>
      <c r="C30" s="9"/>
    </row>
    <row r="31" spans="1:7" ht="24" customHeight="1">
      <c r="A31" s="22" t="s">
        <v>351</v>
      </c>
      <c r="B31" s="35">
        <v>0</v>
      </c>
      <c r="C31" s="24"/>
    </row>
    <row r="32" spans="1:7" ht="24" customHeight="1">
      <c r="A32" s="14" t="s">
        <v>352</v>
      </c>
      <c r="B32" s="35">
        <v>4</v>
      </c>
      <c r="C32" s="9"/>
    </row>
    <row r="33" spans="1:62" ht="24" customHeight="1">
      <c r="A33" s="1" t="s">
        <v>353</v>
      </c>
      <c r="B33" s="3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14" t="s">
        <v>354</v>
      </c>
      <c r="B34" s="35">
        <v>998</v>
      </c>
      <c r="C34" s="27"/>
    </row>
    <row r="35" spans="1:62" ht="24" customHeight="1">
      <c r="A35" s="14" t="s">
        <v>355</v>
      </c>
      <c r="B35" s="35">
        <f>B34</f>
        <v>998</v>
      </c>
      <c r="C35" s="9"/>
    </row>
    <row r="36" spans="1:62" ht="24" customHeight="1">
      <c r="A36" s="14" t="s">
        <v>356</v>
      </c>
      <c r="B36" s="35">
        <v>579</v>
      </c>
      <c r="C36" s="9"/>
    </row>
    <row r="37" spans="1:62" ht="24" customHeight="1">
      <c r="A37" s="14" t="s">
        <v>357</v>
      </c>
      <c r="B37" s="21">
        <v>1.1000000000000001E-3</v>
      </c>
      <c r="C37" s="9"/>
    </row>
    <row r="38" spans="1:62" ht="24" customHeight="1">
      <c r="A38" s="22" t="s">
        <v>358</v>
      </c>
      <c r="B38" s="301">
        <v>40.98</v>
      </c>
      <c r="C38" s="9"/>
    </row>
    <row r="39" spans="1:62" ht="24" customHeight="1">
      <c r="A39" s="14" t="s">
        <v>359</v>
      </c>
      <c r="B39" s="301">
        <v>24.09</v>
      </c>
      <c r="C39" s="9"/>
    </row>
    <row r="40" spans="1:62" ht="24" customHeight="1">
      <c r="A40" s="66" t="s">
        <v>360</v>
      </c>
      <c r="B40" s="21">
        <v>0.58779999999999999</v>
      </c>
      <c r="C40" s="9"/>
    </row>
    <row r="41" spans="1:62" ht="24" customHeight="1">
      <c r="A41" s="14" t="s">
        <v>361</v>
      </c>
      <c r="B41" s="302">
        <v>21820</v>
      </c>
      <c r="C41" s="24"/>
    </row>
    <row r="42" spans="1:62" ht="24" customHeight="1">
      <c r="A42" s="1" t="s">
        <v>362</v>
      </c>
      <c r="B42" s="35">
        <v>1042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4" customHeight="1">
      <c r="A43" s="14"/>
      <c r="B43" s="29"/>
      <c r="C43" s="9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31"/>
      <c r="B44" s="178"/>
      <c r="C44" s="33"/>
    </row>
    <row r="45" spans="1:62" ht="24" customHeight="1">
      <c r="A45" s="14"/>
      <c r="B45" s="17"/>
      <c r="C45" s="9"/>
    </row>
    <row r="46" spans="1:62" ht="24" customHeight="1">
      <c r="A46" s="14"/>
      <c r="B46" s="17"/>
      <c r="C46" s="9"/>
    </row>
    <row r="47" spans="1:62" ht="24" customHeight="1">
      <c r="A47" s="14"/>
      <c r="B47" s="17"/>
      <c r="C47" s="9"/>
    </row>
    <row r="48" spans="1:62" ht="24" customHeight="1">
      <c r="A48" s="14"/>
      <c r="B48" s="17"/>
      <c r="C48" s="9"/>
    </row>
    <row r="49" spans="1:3" ht="24" customHeight="1">
      <c r="A49" s="14"/>
      <c r="B49" s="17"/>
      <c r="C49" s="9"/>
    </row>
    <row r="50" spans="1:3" ht="24" customHeight="1">
      <c r="A50" s="14"/>
      <c r="B50" s="17"/>
      <c r="C50" s="9"/>
    </row>
    <row r="51" spans="1:3" ht="24" customHeight="1">
      <c r="A51" s="18"/>
      <c r="B51" s="19"/>
      <c r="C51" s="20"/>
    </row>
    <row r="52" spans="1:3" ht="24" customHeight="1">
      <c r="A52" s="14"/>
      <c r="B52" s="17"/>
      <c r="C52" s="9"/>
    </row>
    <row r="53" spans="1:3" ht="24" customHeight="1">
      <c r="A53" s="14"/>
      <c r="B53" s="17"/>
      <c r="C53" s="9"/>
    </row>
    <row r="54" spans="1:3" ht="24" customHeight="1">
      <c r="A54" s="14"/>
      <c r="B54" s="17"/>
      <c r="C54" s="9"/>
    </row>
    <row r="55" spans="1:3" ht="24" customHeight="1">
      <c r="A55" s="14"/>
      <c r="B55" s="17"/>
      <c r="C55" s="9"/>
    </row>
    <row r="56" spans="1:3" ht="24" customHeight="1">
      <c r="A56" s="14"/>
      <c r="B56" s="17"/>
      <c r="C56" s="9"/>
    </row>
    <row r="57" spans="1:3" ht="24" customHeight="1">
      <c r="A57" s="14"/>
      <c r="B57" s="17"/>
      <c r="C57" s="9"/>
    </row>
    <row r="58" spans="1:3" ht="24" customHeight="1">
      <c r="A58" s="14"/>
      <c r="B58" s="17"/>
      <c r="C58" s="9"/>
    </row>
    <row r="59" spans="1:3" ht="24" customHeight="1">
      <c r="A59" s="14"/>
      <c r="B59" s="17"/>
      <c r="C59" s="9"/>
    </row>
    <row r="60" spans="1:3" ht="24" customHeight="1">
      <c r="A60" s="14"/>
      <c r="B60" s="17"/>
      <c r="C60" s="9"/>
    </row>
    <row r="61" spans="1:3" ht="24" customHeight="1">
      <c r="A61" s="14"/>
      <c r="B61" s="17"/>
      <c r="C61" s="9"/>
    </row>
    <row r="62" spans="1:3" ht="24" customHeight="1">
      <c r="A62" s="14"/>
      <c r="B62" s="17"/>
      <c r="C62" s="9"/>
    </row>
    <row r="63" spans="1:3" ht="24" customHeight="1">
      <c r="A63" s="14"/>
      <c r="B63" s="17"/>
      <c r="C63" s="9"/>
    </row>
    <row r="64" spans="1:3" ht="24" customHeight="1">
      <c r="A64" s="14"/>
      <c r="B64" s="17"/>
      <c r="C64" s="9"/>
    </row>
    <row r="65" spans="1:3" ht="24" customHeight="1">
      <c r="A65" s="14"/>
      <c r="B65" s="35"/>
      <c r="C65" s="9"/>
    </row>
    <row r="66" spans="1:3" ht="24" customHeight="1">
      <c r="A66" s="14"/>
      <c r="B66" s="35"/>
      <c r="C66" s="9"/>
    </row>
    <row r="67" spans="1:3" ht="24" customHeight="1">
      <c r="A67" s="14"/>
      <c r="B67" s="35"/>
      <c r="C67" s="9"/>
    </row>
    <row r="68" spans="1:3" ht="24" customHeight="1">
      <c r="A68" s="14"/>
      <c r="B68" s="35"/>
      <c r="C68" s="9"/>
    </row>
    <row r="69" spans="1:3" ht="24" customHeight="1">
      <c r="A69" s="14"/>
      <c r="B69" s="35"/>
      <c r="C69" s="9"/>
    </row>
    <row r="70" spans="1:3" ht="24" customHeight="1">
      <c r="A70" s="14"/>
      <c r="B70" s="17"/>
      <c r="C70" s="9"/>
    </row>
    <row r="71" spans="1:3" ht="24" customHeight="1">
      <c r="A71" s="14"/>
      <c r="B71" s="17"/>
      <c r="C71" s="9"/>
    </row>
    <row r="72" spans="1:3" ht="24" customHeight="1">
      <c r="A72" s="14"/>
      <c r="B72" s="17"/>
      <c r="C72" s="9"/>
    </row>
    <row r="73" spans="1:3" ht="24" customHeight="1">
      <c r="A73" s="14"/>
      <c r="B73" s="17"/>
      <c r="C73" s="9"/>
    </row>
    <row r="74" spans="1:3" ht="24" customHeight="1">
      <c r="A74" s="14"/>
      <c r="B74" s="17"/>
      <c r="C74" s="9"/>
    </row>
    <row r="75" spans="1:3" ht="24" customHeight="1">
      <c r="A75" s="14"/>
      <c r="B75" s="17"/>
      <c r="C75" s="9"/>
    </row>
    <row r="76" spans="1:3" ht="24" customHeight="1">
      <c r="A76" s="14"/>
      <c r="B76" s="17"/>
      <c r="C76" s="9"/>
    </row>
  </sheetData>
  <sheetProtection selectLockedCells="1" selectUnlockedCells="1"/>
  <pageMargins left="0.70833333333333337" right="0.70833333333333337" top="0.74791666666666667" bottom="0.74791666666666667" header="0.51180555555555551" footer="0.51180555555555551"/>
  <pageSetup paperSize="9" firstPageNumber="0" orientation="portrait" horizontalDpi="300" verticalDpi="300" r:id="rId1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indexed="11"/>
  </sheetPr>
  <dimension ref="A1:BJ76"/>
  <sheetViews>
    <sheetView topLeftCell="A28" zoomScale="95" zoomScaleNormal="95" workbookViewId="0">
      <selection activeCell="H89" sqref="H89"/>
    </sheetView>
  </sheetViews>
  <sheetFormatPr defaultColWidth="11" defaultRowHeight="14.25"/>
  <cols>
    <col min="1" max="1" width="41" style="1" customWidth="1"/>
    <col min="2" max="2" width="38.42578125" style="2" customWidth="1"/>
    <col min="3" max="3" width="23.71093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 t="s">
        <v>368</v>
      </c>
      <c r="C3" s="9"/>
    </row>
    <row r="4" spans="1:10" ht="24" customHeight="1">
      <c r="A4" s="6" t="s">
        <v>4</v>
      </c>
      <c r="B4" s="10">
        <v>1</v>
      </c>
      <c r="C4" s="9"/>
    </row>
    <row r="5" spans="1:10" ht="24" customHeight="1">
      <c r="C5" s="9"/>
    </row>
    <row r="6" spans="1:10" ht="24" customHeight="1">
      <c r="A6" s="11" t="s">
        <v>5</v>
      </c>
      <c r="B6" s="38">
        <v>52</v>
      </c>
      <c r="C6" s="9"/>
    </row>
    <row r="7" spans="1:10" ht="24" customHeight="1">
      <c r="A7" s="12" t="s">
        <v>6</v>
      </c>
      <c r="B7" s="13" t="s">
        <v>370</v>
      </c>
      <c r="C7" s="9"/>
    </row>
    <row r="8" spans="1:10" ht="24" customHeight="1">
      <c r="A8" s="14" t="s">
        <v>76</v>
      </c>
      <c r="B8" s="301">
        <v>183304.57</v>
      </c>
      <c r="C8" s="14"/>
    </row>
    <row r="9" spans="1:10" ht="24" customHeight="1">
      <c r="A9" s="14" t="s">
        <v>333</v>
      </c>
      <c r="B9" s="301">
        <v>178684.02</v>
      </c>
      <c r="C9" s="14"/>
    </row>
    <row r="10" spans="1:10" ht="24" customHeight="1">
      <c r="A10" s="14" t="s">
        <v>334</v>
      </c>
      <c r="B10" s="301">
        <f>B9</f>
        <v>178684.02</v>
      </c>
      <c r="C10" s="14"/>
    </row>
    <row r="11" spans="1:10" ht="24" customHeight="1">
      <c r="A11" s="14" t="s">
        <v>90</v>
      </c>
      <c r="B11" s="301">
        <v>30260</v>
      </c>
      <c r="C11" s="14"/>
    </row>
    <row r="12" spans="1:10" ht="24" customHeight="1">
      <c r="A12" s="14" t="s">
        <v>335</v>
      </c>
      <c r="B12" s="301">
        <v>0</v>
      </c>
      <c r="C12" s="14"/>
    </row>
    <row r="13" spans="1:10" ht="24" customHeight="1">
      <c r="A13" s="14" t="s">
        <v>336</v>
      </c>
      <c r="B13" s="301">
        <v>0</v>
      </c>
      <c r="C13" s="9"/>
      <c r="D13" s="16"/>
      <c r="E13" s="16"/>
      <c r="F13" s="16"/>
      <c r="G13" s="16"/>
    </row>
    <row r="14" spans="1:10" ht="24" customHeight="1">
      <c r="A14" s="14" t="s">
        <v>337</v>
      </c>
      <c r="B14" s="301">
        <v>0</v>
      </c>
      <c r="C14" s="9"/>
      <c r="D14" s="16"/>
      <c r="E14" s="16"/>
      <c r="F14" s="16"/>
      <c r="G14" s="16"/>
    </row>
    <row r="15" spans="1:10" ht="24" customHeight="1">
      <c r="A15" s="14" t="s">
        <v>338</v>
      </c>
      <c r="B15" s="35">
        <v>332017</v>
      </c>
      <c r="C15" s="9"/>
      <c r="D15" s="16"/>
      <c r="E15" s="16"/>
      <c r="F15" s="16"/>
      <c r="G15" s="16"/>
    </row>
    <row r="16" spans="1:10" ht="24" customHeight="1">
      <c r="A16" s="14" t="s">
        <v>339</v>
      </c>
      <c r="B16" s="35">
        <v>93935</v>
      </c>
      <c r="C16" s="9"/>
      <c r="D16" s="16"/>
      <c r="E16" s="16"/>
      <c r="F16" s="16"/>
      <c r="G16" s="16"/>
    </row>
    <row r="17" spans="1:7" ht="24" customHeight="1">
      <c r="A17" s="14" t="s">
        <v>340</v>
      </c>
      <c r="B17" s="301">
        <v>0</v>
      </c>
      <c r="C17" s="9"/>
      <c r="D17" s="16"/>
      <c r="E17" s="16"/>
      <c r="F17" s="16"/>
      <c r="G17" s="16"/>
    </row>
    <row r="18" spans="1:7" ht="24" customHeight="1">
      <c r="A18" s="14" t="s">
        <v>341</v>
      </c>
      <c r="B18" s="301">
        <v>0</v>
      </c>
      <c r="C18" s="9"/>
      <c r="D18" s="16"/>
      <c r="E18" s="16"/>
      <c r="F18" s="16"/>
      <c r="G18" s="16"/>
    </row>
    <row r="19" spans="1:7" ht="24" customHeight="1">
      <c r="A19" s="14" t="s">
        <v>342</v>
      </c>
      <c r="B19" s="35">
        <v>855</v>
      </c>
      <c r="C19" s="9"/>
    </row>
    <row r="20" spans="1:7" ht="24" customHeight="1">
      <c r="A20" s="14" t="s">
        <v>343</v>
      </c>
      <c r="B20" s="35">
        <v>720</v>
      </c>
      <c r="C20" s="9"/>
    </row>
    <row r="21" spans="1:7" ht="24" customHeight="1">
      <c r="A21" s="14" t="s">
        <v>72</v>
      </c>
      <c r="B21" s="301">
        <v>0</v>
      </c>
      <c r="C21" s="9"/>
    </row>
    <row r="22" spans="1:7" ht="24" customHeight="1">
      <c r="A22" s="14" t="s">
        <v>344</v>
      </c>
      <c r="B22" s="301">
        <v>0</v>
      </c>
      <c r="C22" s="9"/>
    </row>
    <row r="23" spans="1:7" ht="24" customHeight="1">
      <c r="A23" s="130" t="s">
        <v>71</v>
      </c>
      <c r="B23" s="226">
        <v>64538</v>
      </c>
      <c r="C23" s="226">
        <f>B23-B41</f>
        <v>34278</v>
      </c>
    </row>
    <row r="24" spans="1:7" ht="24" customHeight="1">
      <c r="A24" s="130" t="s">
        <v>81</v>
      </c>
      <c r="B24" s="226">
        <v>59917.45</v>
      </c>
      <c r="C24" s="162"/>
    </row>
    <row r="25" spans="1:7" ht="24" customHeight="1">
      <c r="A25" s="14" t="s">
        <v>345</v>
      </c>
      <c r="B25" s="301">
        <v>29890.23</v>
      </c>
      <c r="C25" s="9"/>
    </row>
    <row r="26" spans="1:7" ht="24" customHeight="1">
      <c r="A26" s="14" t="s">
        <v>346</v>
      </c>
      <c r="B26" s="21">
        <v>0.83689999999999998</v>
      </c>
      <c r="C26" s="9"/>
    </row>
    <row r="27" spans="1:7" ht="24" customHeight="1">
      <c r="A27" s="14" t="s">
        <v>347</v>
      </c>
      <c r="B27" s="21">
        <f>B26</f>
        <v>0.83689999999999998</v>
      </c>
      <c r="C27" s="9"/>
    </row>
    <row r="28" spans="1:7" ht="24" customHeight="1">
      <c r="A28" s="14" t="s">
        <v>348</v>
      </c>
      <c r="B28" s="35">
        <v>0</v>
      </c>
      <c r="C28" s="20"/>
    </row>
    <row r="29" spans="1:7" ht="24" customHeight="1">
      <c r="A29" s="14" t="s">
        <v>349</v>
      </c>
      <c r="B29" s="35">
        <v>0</v>
      </c>
      <c r="C29" s="9"/>
    </row>
    <row r="30" spans="1:7" ht="24" customHeight="1">
      <c r="A30" s="14" t="s">
        <v>350</v>
      </c>
      <c r="B30" s="35">
        <v>3638</v>
      </c>
      <c r="C30" s="9"/>
    </row>
    <row r="31" spans="1:7" ht="24" customHeight="1">
      <c r="A31" s="22" t="s">
        <v>351</v>
      </c>
      <c r="B31" s="35">
        <v>0</v>
      </c>
      <c r="C31" s="24"/>
    </row>
    <row r="32" spans="1:7" ht="24" customHeight="1">
      <c r="A32" s="14" t="s">
        <v>352</v>
      </c>
      <c r="B32" s="35">
        <v>4</v>
      </c>
      <c r="C32" s="9"/>
    </row>
    <row r="33" spans="1:62" ht="24" customHeight="1">
      <c r="A33" s="1" t="s">
        <v>353</v>
      </c>
      <c r="B33" s="3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14" t="s">
        <v>354</v>
      </c>
      <c r="B34" s="35">
        <v>732</v>
      </c>
      <c r="C34" s="27"/>
    </row>
    <row r="35" spans="1:62" ht="24" customHeight="1">
      <c r="A35" s="14" t="s">
        <v>355</v>
      </c>
      <c r="B35" s="35">
        <f>B34</f>
        <v>732</v>
      </c>
      <c r="C35" s="9"/>
    </row>
    <row r="36" spans="1:62" ht="24" customHeight="1">
      <c r="A36" s="14" t="s">
        <v>356</v>
      </c>
      <c r="B36" s="35">
        <v>578</v>
      </c>
      <c r="C36" s="9"/>
    </row>
    <row r="37" spans="1:62" ht="24" customHeight="1">
      <c r="A37" s="14" t="s">
        <v>357</v>
      </c>
      <c r="B37" s="21">
        <v>6.9999999999999999E-4</v>
      </c>
      <c r="C37" s="9"/>
    </row>
    <row r="38" spans="1:62" ht="24" customHeight="1">
      <c r="A38" s="22" t="s">
        <v>358</v>
      </c>
      <c r="B38" s="301">
        <v>71.47</v>
      </c>
      <c r="C38" s="9"/>
    </row>
    <row r="39" spans="1:62" ht="24" customHeight="1">
      <c r="A39" s="14" t="s">
        <v>359</v>
      </c>
      <c r="B39" s="301">
        <v>68.86</v>
      </c>
      <c r="C39" s="9"/>
    </row>
    <row r="40" spans="1:62" ht="24" customHeight="1">
      <c r="A40" s="66" t="s">
        <v>360</v>
      </c>
      <c r="B40" s="21">
        <v>0.96340000000000003</v>
      </c>
      <c r="C40" s="9"/>
    </row>
    <row r="41" spans="1:62" ht="24" customHeight="1">
      <c r="A41" s="14" t="s">
        <v>361</v>
      </c>
      <c r="B41" s="301">
        <v>30260</v>
      </c>
      <c r="C41" s="24"/>
    </row>
    <row r="42" spans="1:62" ht="24" customHeight="1">
      <c r="A42" s="1" t="s">
        <v>362</v>
      </c>
      <c r="B42" s="35">
        <v>1333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4" customHeight="1">
      <c r="A43" s="14"/>
      <c r="B43" s="29"/>
      <c r="C43" s="9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31"/>
      <c r="B44" s="178"/>
      <c r="C44" s="33"/>
    </row>
    <row r="45" spans="1:62" ht="24" customHeight="1">
      <c r="A45" s="14"/>
      <c r="B45" s="17"/>
      <c r="C45" s="9"/>
    </row>
    <row r="46" spans="1:62" ht="24" customHeight="1">
      <c r="A46" s="14"/>
      <c r="B46" s="17"/>
      <c r="C46" s="9"/>
    </row>
    <row r="47" spans="1:62" ht="24" customHeight="1">
      <c r="A47" s="14"/>
      <c r="B47" s="17"/>
      <c r="C47" s="9"/>
    </row>
    <row r="48" spans="1:62" ht="24" customHeight="1">
      <c r="A48" s="14"/>
      <c r="B48" s="17"/>
      <c r="C48" s="9"/>
    </row>
    <row r="49" spans="1:3" ht="24" customHeight="1">
      <c r="A49" s="14"/>
      <c r="B49" s="17"/>
      <c r="C49" s="9"/>
    </row>
    <row r="50" spans="1:3" ht="24" customHeight="1">
      <c r="A50" s="14"/>
      <c r="B50" s="17"/>
      <c r="C50" s="9"/>
    </row>
    <row r="51" spans="1:3" ht="24" customHeight="1">
      <c r="A51" s="18"/>
      <c r="B51" s="19"/>
      <c r="C51" s="20"/>
    </row>
    <row r="52" spans="1:3" ht="24" customHeight="1">
      <c r="A52" s="14"/>
      <c r="B52" s="17"/>
      <c r="C52" s="9"/>
    </row>
    <row r="53" spans="1:3" ht="24" customHeight="1">
      <c r="A53" s="14"/>
      <c r="B53" s="17"/>
      <c r="C53" s="9"/>
    </row>
    <row r="54" spans="1:3" ht="24" customHeight="1">
      <c r="A54" s="14"/>
      <c r="B54" s="17"/>
      <c r="C54" s="9"/>
    </row>
    <row r="55" spans="1:3" ht="24" customHeight="1">
      <c r="A55" s="14"/>
      <c r="B55" s="17"/>
      <c r="C55" s="9"/>
    </row>
    <row r="56" spans="1:3" ht="24" customHeight="1">
      <c r="A56" s="14"/>
      <c r="B56" s="17"/>
      <c r="C56" s="9"/>
    </row>
    <row r="57" spans="1:3" ht="24" customHeight="1">
      <c r="A57" s="14"/>
      <c r="B57" s="17"/>
      <c r="C57" s="9"/>
    </row>
    <row r="58" spans="1:3" ht="24" customHeight="1">
      <c r="A58" s="14"/>
      <c r="B58" s="17"/>
      <c r="C58" s="9"/>
    </row>
    <row r="59" spans="1:3" ht="24" customHeight="1">
      <c r="A59" s="14"/>
      <c r="B59" s="17"/>
      <c r="C59" s="9"/>
    </row>
    <row r="60" spans="1:3" ht="24" customHeight="1">
      <c r="A60" s="14"/>
      <c r="B60" s="17"/>
      <c r="C60" s="9"/>
    </row>
    <row r="61" spans="1:3" ht="24" customHeight="1">
      <c r="A61" s="14"/>
      <c r="B61" s="17"/>
      <c r="C61" s="9"/>
    </row>
    <row r="62" spans="1:3" ht="24" customHeight="1">
      <c r="A62" s="14"/>
      <c r="B62" s="17"/>
      <c r="C62" s="9"/>
    </row>
    <row r="63" spans="1:3" ht="24" customHeight="1">
      <c r="A63" s="14"/>
      <c r="B63" s="17"/>
      <c r="C63" s="9"/>
    </row>
    <row r="64" spans="1:3" ht="24" customHeight="1">
      <c r="A64" s="14"/>
      <c r="B64" s="17"/>
      <c r="C64" s="9"/>
    </row>
    <row r="65" spans="1:3" ht="24" customHeight="1">
      <c r="A65" s="14"/>
      <c r="B65" s="35"/>
      <c r="C65" s="9"/>
    </row>
    <row r="66" spans="1:3" ht="24" customHeight="1">
      <c r="A66" s="14"/>
      <c r="B66" s="35"/>
      <c r="C66" s="9"/>
    </row>
    <row r="67" spans="1:3" ht="24" customHeight="1">
      <c r="A67" s="14"/>
      <c r="B67" s="35"/>
      <c r="C67" s="9"/>
    </row>
    <row r="68" spans="1:3" ht="24" customHeight="1">
      <c r="A68" s="14"/>
      <c r="B68" s="35"/>
      <c r="C68" s="9"/>
    </row>
    <row r="69" spans="1:3" ht="24" customHeight="1">
      <c r="A69" s="14"/>
      <c r="B69" s="35"/>
      <c r="C69" s="9"/>
    </row>
    <row r="70" spans="1:3" ht="24" customHeight="1">
      <c r="A70" s="14"/>
      <c r="B70" s="17"/>
      <c r="C70" s="9"/>
    </row>
    <row r="71" spans="1:3" ht="24" customHeight="1">
      <c r="A71" s="14"/>
      <c r="B71" s="17"/>
      <c r="C71" s="9"/>
    </row>
    <row r="72" spans="1:3" ht="24" customHeight="1">
      <c r="A72" s="14"/>
      <c r="B72" s="17"/>
      <c r="C72" s="9"/>
    </row>
    <row r="73" spans="1:3" ht="24" customHeight="1">
      <c r="A73" s="14"/>
      <c r="B73" s="17"/>
      <c r="C73" s="9"/>
    </row>
    <row r="74" spans="1:3" ht="24" customHeight="1">
      <c r="A74" s="14"/>
      <c r="B74" s="17"/>
      <c r="C74" s="9"/>
    </row>
    <row r="75" spans="1:3" ht="24" customHeight="1">
      <c r="A75" s="14"/>
      <c r="B75" s="17"/>
      <c r="C75" s="9"/>
    </row>
    <row r="76" spans="1:3" ht="24" customHeight="1">
      <c r="A76" s="14"/>
      <c r="B76" s="17"/>
      <c r="C76" s="9"/>
    </row>
  </sheetData>
  <sheetProtection selectLockedCells="1" selectUnlockedCells="1"/>
  <pageMargins left="0.70833333333333337" right="0.70833333333333337" top="0.74791666666666667" bottom="0.74791666666666667" header="0.51180555555555551" footer="0.51180555555555551"/>
  <pageSetup paperSize="9" scale="90" firstPageNumber="0" orientation="portrait" horizontalDpi="300" verticalDpi="300" r:id="rId1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indexed="11"/>
  </sheetPr>
  <dimension ref="A1:BJ94"/>
  <sheetViews>
    <sheetView topLeftCell="A36" workbookViewId="0">
      <selection activeCell="H89" sqref="H89"/>
    </sheetView>
  </sheetViews>
  <sheetFormatPr defaultColWidth="11" defaultRowHeight="14.25"/>
  <cols>
    <col min="1" max="1" width="49.5703125" style="1" customWidth="1"/>
    <col min="2" max="2" width="33.28515625" style="2" customWidth="1"/>
    <col min="3" max="5" width="33.28515625" customWidth="1"/>
    <col min="6" max="6" width="23.140625" customWidth="1"/>
    <col min="7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7">
      <c r="A1" s="3"/>
      <c r="B1" s="4"/>
      <c r="C1" s="5"/>
    </row>
    <row r="2" spans="1:7" ht="15">
      <c r="A2" s="6" t="s">
        <v>0</v>
      </c>
      <c r="B2" s="7" t="s">
        <v>70</v>
      </c>
      <c r="C2" s="8" t="s">
        <v>2</v>
      </c>
    </row>
    <row r="3" spans="1:7" ht="15">
      <c r="A3" s="6"/>
      <c r="B3" s="7" t="s">
        <v>368</v>
      </c>
      <c r="C3" s="9"/>
    </row>
    <row r="4" spans="1:7" ht="24" customHeight="1">
      <c r="A4" s="6" t="s">
        <v>4</v>
      </c>
      <c r="B4" s="10">
        <v>1</v>
      </c>
      <c r="C4" s="9"/>
    </row>
    <row r="5" spans="1:7" ht="24" customHeight="1">
      <c r="C5" s="9"/>
    </row>
    <row r="6" spans="1:7" ht="24" customHeight="1">
      <c r="A6" s="11" t="s">
        <v>5</v>
      </c>
      <c r="B6" s="38">
        <v>53</v>
      </c>
      <c r="C6" s="9"/>
    </row>
    <row r="7" spans="1:7" ht="24" customHeight="1">
      <c r="A7" s="12" t="s">
        <v>6</v>
      </c>
      <c r="B7" s="13" t="s">
        <v>571</v>
      </c>
      <c r="C7" s="9"/>
    </row>
    <row r="8" spans="1:7" ht="24" customHeight="1">
      <c r="A8" s="40" t="s">
        <v>76</v>
      </c>
      <c r="B8" s="301">
        <v>146034.47</v>
      </c>
      <c r="C8" s="14"/>
    </row>
    <row r="9" spans="1:7" ht="24" customHeight="1">
      <c r="A9" s="40" t="s">
        <v>333</v>
      </c>
      <c r="B9" s="301">
        <v>154774.57999999999</v>
      </c>
      <c r="C9" s="14"/>
    </row>
    <row r="10" spans="1:7" ht="24" customHeight="1">
      <c r="A10" s="40" t="s">
        <v>334</v>
      </c>
      <c r="B10" s="301">
        <f>B9</f>
        <v>154774.57999999999</v>
      </c>
      <c r="C10" s="14"/>
    </row>
    <row r="11" spans="1:7" ht="24" customHeight="1">
      <c r="A11" s="40" t="s">
        <v>90</v>
      </c>
      <c r="B11" s="301">
        <v>23820</v>
      </c>
      <c r="C11" s="14"/>
    </row>
    <row r="12" spans="1:7" ht="24" customHeight="1">
      <c r="A12" s="40" t="s">
        <v>335</v>
      </c>
      <c r="B12" s="301">
        <v>0</v>
      </c>
      <c r="C12" s="14"/>
    </row>
    <row r="13" spans="1:7" ht="24" customHeight="1">
      <c r="A13" s="40" t="s">
        <v>336</v>
      </c>
      <c r="B13" s="301">
        <v>0</v>
      </c>
      <c r="C13" s="9"/>
      <c r="D13" s="16"/>
      <c r="E13" s="16"/>
      <c r="F13" s="16"/>
      <c r="G13" s="16"/>
    </row>
    <row r="14" spans="1:7" ht="24" customHeight="1">
      <c r="A14" s="40" t="s">
        <v>337</v>
      </c>
      <c r="B14" s="301">
        <v>0</v>
      </c>
      <c r="C14" s="9"/>
      <c r="D14" s="16"/>
      <c r="E14" s="16"/>
      <c r="F14" s="16"/>
      <c r="G14" s="16"/>
    </row>
    <row r="15" spans="1:7" ht="24" customHeight="1">
      <c r="A15" s="40" t="s">
        <v>338</v>
      </c>
      <c r="B15" s="35">
        <v>338432</v>
      </c>
      <c r="C15" s="9"/>
      <c r="D15" s="16"/>
      <c r="E15" s="16"/>
      <c r="F15" s="16"/>
      <c r="G15" s="16"/>
    </row>
    <row r="16" spans="1:7" ht="24" customHeight="1">
      <c r="A16" s="40" t="s">
        <v>339</v>
      </c>
      <c r="B16" s="35">
        <v>85572</v>
      </c>
      <c r="C16" s="9"/>
      <c r="D16" s="16"/>
      <c r="E16" s="16"/>
      <c r="F16" s="16"/>
      <c r="G16" s="16"/>
    </row>
    <row r="17" spans="1:7" ht="24" customHeight="1">
      <c r="A17" s="40" t="s">
        <v>340</v>
      </c>
      <c r="B17" s="301">
        <v>0</v>
      </c>
      <c r="C17" s="9"/>
      <c r="D17" s="16"/>
      <c r="E17" s="16"/>
      <c r="F17" s="16"/>
      <c r="G17" s="16"/>
    </row>
    <row r="18" spans="1:7" ht="24" customHeight="1">
      <c r="A18" s="40" t="s">
        <v>341</v>
      </c>
      <c r="B18" s="301">
        <v>0</v>
      </c>
      <c r="C18" s="9"/>
      <c r="D18" s="16"/>
      <c r="E18" s="16"/>
      <c r="F18" s="16"/>
      <c r="G18" s="16"/>
    </row>
    <row r="19" spans="1:7" ht="24" customHeight="1">
      <c r="A19" s="40" t="s">
        <v>342</v>
      </c>
      <c r="B19" s="35">
        <v>785</v>
      </c>
      <c r="C19" s="9"/>
    </row>
    <row r="20" spans="1:7" ht="24" customHeight="1">
      <c r="A20" s="40" t="s">
        <v>343</v>
      </c>
      <c r="B20" s="35">
        <v>724</v>
      </c>
      <c r="C20" s="9"/>
    </row>
    <row r="21" spans="1:7" ht="24" customHeight="1">
      <c r="A21" s="40" t="s">
        <v>72</v>
      </c>
      <c r="B21" s="301">
        <v>0</v>
      </c>
      <c r="C21" s="9"/>
    </row>
    <row r="22" spans="1:7" ht="24" customHeight="1">
      <c r="A22" s="40" t="s">
        <v>344</v>
      </c>
      <c r="B22" s="301">
        <v>0</v>
      </c>
      <c r="C22" s="9"/>
    </row>
    <row r="23" spans="1:7" ht="24" customHeight="1">
      <c r="A23" s="158" t="s">
        <v>71</v>
      </c>
      <c r="B23" s="226">
        <v>56067.34</v>
      </c>
      <c r="C23" s="226">
        <f>B23-B41</f>
        <v>32247.339999999997</v>
      </c>
    </row>
    <row r="24" spans="1:7" ht="24" customHeight="1">
      <c r="A24" s="158" t="s">
        <v>701</v>
      </c>
      <c r="B24" s="226">
        <v>64807.45</v>
      </c>
      <c r="C24" s="162"/>
    </row>
    <row r="25" spans="1:7" ht="24" customHeight="1">
      <c r="A25" s="40" t="s">
        <v>345</v>
      </c>
      <c r="B25" s="301">
        <v>26504.49</v>
      </c>
      <c r="C25" s="9"/>
    </row>
    <row r="26" spans="1:7" ht="24" customHeight="1">
      <c r="A26" s="40" t="s">
        <v>346</v>
      </c>
      <c r="B26" s="21">
        <v>0.81850000000000001</v>
      </c>
      <c r="C26" s="9"/>
    </row>
    <row r="27" spans="1:7" ht="24" customHeight="1">
      <c r="A27" s="40" t="s">
        <v>347</v>
      </c>
      <c r="B27" s="21">
        <f>B26</f>
        <v>0.81850000000000001</v>
      </c>
      <c r="C27" s="9"/>
    </row>
    <row r="28" spans="1:7" ht="24" customHeight="1">
      <c r="A28" s="40" t="s">
        <v>348</v>
      </c>
      <c r="B28" s="35">
        <v>0</v>
      </c>
      <c r="C28" s="20"/>
    </row>
    <row r="29" spans="1:7" ht="24" customHeight="1">
      <c r="A29" s="40" t="s">
        <v>349</v>
      </c>
      <c r="B29" s="35">
        <v>0</v>
      </c>
      <c r="C29" s="9"/>
    </row>
    <row r="30" spans="1:7" ht="24" customHeight="1">
      <c r="A30" s="40" t="s">
        <v>350</v>
      </c>
      <c r="B30" s="35">
        <v>1373</v>
      </c>
      <c r="C30" s="9"/>
    </row>
    <row r="31" spans="1:7" ht="24" customHeight="1">
      <c r="A31" s="165" t="s">
        <v>351</v>
      </c>
      <c r="B31" s="35">
        <v>0</v>
      </c>
      <c r="C31" s="24"/>
    </row>
    <row r="32" spans="1:7" ht="24" customHeight="1">
      <c r="A32" s="40" t="s">
        <v>352</v>
      </c>
      <c r="B32" s="35">
        <v>0</v>
      </c>
      <c r="C32" s="9"/>
    </row>
    <row r="33" spans="1:62" ht="24" customHeight="1">
      <c r="A33" s="173" t="s">
        <v>353</v>
      </c>
      <c r="B33" s="3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40" t="s">
        <v>354</v>
      </c>
      <c r="B34" s="35">
        <v>611</v>
      </c>
      <c r="C34" s="27"/>
    </row>
    <row r="35" spans="1:62" ht="24" customHeight="1">
      <c r="A35" s="40" t="s">
        <v>355</v>
      </c>
      <c r="B35" s="35">
        <f>B34</f>
        <v>611</v>
      </c>
      <c r="C35" s="9"/>
    </row>
    <row r="36" spans="1:62" ht="24" customHeight="1">
      <c r="A36" s="40" t="s">
        <v>356</v>
      </c>
      <c r="B36" s="35">
        <v>572</v>
      </c>
      <c r="C36" s="9"/>
    </row>
    <row r="37" spans="1:62" ht="24" customHeight="1">
      <c r="A37" s="40" t="s">
        <v>357</v>
      </c>
      <c r="B37" s="21">
        <v>1.6999999999999999E-3</v>
      </c>
      <c r="C37" s="9"/>
    </row>
    <row r="38" spans="1:62" ht="24" customHeight="1">
      <c r="A38" s="165" t="s">
        <v>358</v>
      </c>
      <c r="B38" s="301">
        <v>37.369999999999997</v>
      </c>
      <c r="C38" s="9"/>
    </row>
    <row r="39" spans="1:62" ht="24" customHeight="1">
      <c r="A39" s="40" t="s">
        <v>359</v>
      </c>
      <c r="B39" s="301">
        <v>54.54</v>
      </c>
      <c r="C39" s="9"/>
    </row>
    <row r="40" spans="1:62" ht="24" customHeight="1">
      <c r="A40" s="455" t="s">
        <v>360</v>
      </c>
      <c r="B40" s="21">
        <v>1.4594</v>
      </c>
      <c r="C40" s="9"/>
    </row>
    <row r="41" spans="1:62" ht="24" customHeight="1">
      <c r="A41" s="40" t="s">
        <v>361</v>
      </c>
      <c r="B41" s="302">
        <v>23820</v>
      </c>
      <c r="C41" s="24"/>
    </row>
    <row r="42" spans="1:62" ht="24" customHeight="1">
      <c r="A42" s="173" t="s">
        <v>362</v>
      </c>
      <c r="B42" s="35">
        <v>1485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4" customHeight="1">
      <c r="A43" s="168" t="s">
        <v>371</v>
      </c>
      <c r="B43" s="169"/>
      <c r="C43" s="9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421" t="s">
        <v>372</v>
      </c>
      <c r="B44" s="169"/>
      <c r="C44" s="33"/>
    </row>
    <row r="45" spans="1:62" ht="24" customHeight="1">
      <c r="A45" s="40" t="s">
        <v>374</v>
      </c>
      <c r="B45" s="47">
        <v>7</v>
      </c>
      <c r="C45" s="9"/>
    </row>
    <row r="46" spans="1:62" ht="24" customHeight="1">
      <c r="A46" s="40" t="s">
        <v>375</v>
      </c>
      <c r="B46" s="47">
        <v>31261.59</v>
      </c>
      <c r="C46" s="9"/>
    </row>
    <row r="47" spans="1:62" ht="24" customHeight="1">
      <c r="A47" s="171" t="s">
        <v>376</v>
      </c>
      <c r="B47" s="47">
        <v>4011.11</v>
      </c>
      <c r="C47" s="9"/>
    </row>
    <row r="48" spans="1:62" ht="24" customHeight="1">
      <c r="A48" s="40" t="s">
        <v>377</v>
      </c>
      <c r="B48" s="47">
        <v>4000</v>
      </c>
      <c r="C48" s="9"/>
    </row>
    <row r="49" spans="1:3" ht="24" customHeight="1">
      <c r="A49" s="40" t="s">
        <v>378</v>
      </c>
      <c r="B49" s="47">
        <v>0</v>
      </c>
      <c r="C49" s="9"/>
    </row>
    <row r="50" spans="1:3" ht="24" customHeight="1">
      <c r="A50" s="40" t="s">
        <v>379</v>
      </c>
      <c r="B50" s="47">
        <v>0</v>
      </c>
      <c r="C50" s="9"/>
    </row>
    <row r="51" spans="1:3" ht="24" customHeight="1">
      <c r="A51" s="40" t="s">
        <v>380</v>
      </c>
      <c r="B51" s="47">
        <v>0</v>
      </c>
      <c r="C51" s="64"/>
    </row>
    <row r="52" spans="1:3" ht="24" customHeight="1">
      <c r="A52" s="40" t="s">
        <v>381</v>
      </c>
      <c r="B52" s="47">
        <v>0</v>
      </c>
      <c r="C52" s="9"/>
    </row>
    <row r="53" spans="1:3" ht="24" customHeight="1">
      <c r="A53" s="40" t="s">
        <v>382</v>
      </c>
      <c r="B53" s="47">
        <v>0</v>
      </c>
      <c r="C53" s="9"/>
    </row>
    <row r="54" spans="1:3" ht="24" customHeight="1">
      <c r="A54" s="40" t="s">
        <v>383</v>
      </c>
      <c r="B54" s="47">
        <v>4852.9799999999996</v>
      </c>
      <c r="C54" s="9"/>
    </row>
    <row r="55" spans="1:3" ht="24" customHeight="1">
      <c r="A55" s="40" t="s">
        <v>384</v>
      </c>
      <c r="B55" s="47">
        <v>4059.25</v>
      </c>
      <c r="C55" s="9"/>
    </row>
    <row r="56" spans="1:3" ht="24" customHeight="1">
      <c r="A56" s="173"/>
      <c r="B56" s="46"/>
      <c r="C56" s="9"/>
    </row>
    <row r="57" spans="1:3" ht="24" customHeight="1">
      <c r="A57" s="170" t="s">
        <v>385</v>
      </c>
      <c r="B57" s="174"/>
      <c r="C57" s="9"/>
    </row>
    <row r="58" spans="1:3" ht="24" customHeight="1">
      <c r="A58" s="40" t="s">
        <v>374</v>
      </c>
      <c r="B58" s="47">
        <v>47</v>
      </c>
      <c r="C58" s="9"/>
    </row>
    <row r="59" spans="1:3" ht="24" customHeight="1">
      <c r="A59" s="40" t="s">
        <v>375</v>
      </c>
      <c r="B59" s="47">
        <v>20576.509999999998</v>
      </c>
      <c r="C59" s="9"/>
    </row>
    <row r="60" spans="1:3" ht="24" customHeight="1">
      <c r="A60" s="171" t="s">
        <v>376</v>
      </c>
      <c r="B60" s="47">
        <v>96.41</v>
      </c>
      <c r="C60" s="9"/>
    </row>
    <row r="61" spans="1:3" ht="24" customHeight="1">
      <c r="A61" s="40" t="s">
        <v>377</v>
      </c>
      <c r="B61" s="47">
        <v>60</v>
      </c>
      <c r="C61" s="9"/>
    </row>
    <row r="62" spans="1:3" ht="24" customHeight="1">
      <c r="A62" s="40" t="s">
        <v>378</v>
      </c>
      <c r="B62" s="47">
        <v>0</v>
      </c>
      <c r="C62" s="9"/>
    </row>
    <row r="63" spans="1:3" ht="24" customHeight="1">
      <c r="A63" s="40" t="s">
        <v>379</v>
      </c>
      <c r="B63" s="47">
        <v>0</v>
      </c>
      <c r="C63" s="9"/>
    </row>
    <row r="64" spans="1:3" ht="24" customHeight="1">
      <c r="A64" s="40" t="s">
        <v>380</v>
      </c>
      <c r="B64" s="47">
        <v>0</v>
      </c>
      <c r="C64" s="9"/>
    </row>
    <row r="65" spans="1:3" ht="24" customHeight="1">
      <c r="A65" s="40" t="s">
        <v>381</v>
      </c>
      <c r="B65" s="47">
        <v>0</v>
      </c>
      <c r="C65" s="9"/>
    </row>
    <row r="66" spans="1:3" ht="24" customHeight="1">
      <c r="A66" s="40" t="s">
        <v>382</v>
      </c>
      <c r="B66" s="47">
        <v>0</v>
      </c>
      <c r="C66" s="9"/>
    </row>
    <row r="67" spans="1:3" ht="24" customHeight="1">
      <c r="A67" s="40" t="s">
        <v>383</v>
      </c>
      <c r="B67" s="47">
        <v>105.91</v>
      </c>
      <c r="C67" s="9"/>
    </row>
    <row r="68" spans="1:3" ht="24" customHeight="1">
      <c r="A68" s="40" t="s">
        <v>384</v>
      </c>
      <c r="B68" s="47">
        <v>60.09</v>
      </c>
      <c r="C68" s="9"/>
    </row>
    <row r="69" spans="1:3" ht="24" customHeight="1">
      <c r="A69" s="173"/>
      <c r="B69" s="46"/>
      <c r="C69" s="9"/>
    </row>
    <row r="70" spans="1:3" ht="24" customHeight="1">
      <c r="A70" s="170" t="s">
        <v>387</v>
      </c>
      <c r="B70" s="174"/>
      <c r="C70" s="9"/>
    </row>
    <row r="71" spans="1:3" ht="24" customHeight="1">
      <c r="A71" s="40" t="s">
        <v>374</v>
      </c>
      <c r="B71" s="47">
        <v>127</v>
      </c>
      <c r="C71" s="9"/>
    </row>
    <row r="72" spans="1:3" ht="24" customHeight="1">
      <c r="A72" s="40" t="s">
        <v>375</v>
      </c>
      <c r="B72" s="47">
        <v>14488.99</v>
      </c>
      <c r="C72" s="9"/>
    </row>
    <row r="73" spans="1:3" ht="24" customHeight="1">
      <c r="A73" s="171" t="s">
        <v>376</v>
      </c>
      <c r="B73" s="47">
        <v>19.07</v>
      </c>
      <c r="C73" s="9"/>
    </row>
    <row r="74" spans="1:3" ht="24" customHeight="1">
      <c r="A74" s="40" t="s">
        <v>377</v>
      </c>
      <c r="B74" s="47">
        <v>18</v>
      </c>
      <c r="C74" s="9"/>
    </row>
    <row r="75" spans="1:3" ht="24" customHeight="1">
      <c r="A75" s="40" t="s">
        <v>378</v>
      </c>
      <c r="B75" s="47">
        <v>0</v>
      </c>
      <c r="C75" s="9"/>
    </row>
    <row r="76" spans="1:3" ht="24" customHeight="1">
      <c r="A76" s="40" t="s">
        <v>379</v>
      </c>
      <c r="B76" s="47">
        <v>0</v>
      </c>
      <c r="C76" s="9"/>
    </row>
    <row r="77" spans="1:3" ht="24" customHeight="1">
      <c r="A77" s="40" t="s">
        <v>380</v>
      </c>
      <c r="B77" s="47">
        <v>0</v>
      </c>
    </row>
    <row r="78" spans="1:3" ht="24" customHeight="1">
      <c r="A78" s="40" t="s">
        <v>381</v>
      </c>
      <c r="B78" s="47">
        <v>0</v>
      </c>
    </row>
    <row r="79" spans="1:3" ht="24" customHeight="1">
      <c r="A79" s="40" t="s">
        <v>382</v>
      </c>
      <c r="B79" s="47">
        <v>0</v>
      </c>
    </row>
    <row r="80" spans="1:3" ht="24" customHeight="1">
      <c r="A80" s="40" t="s">
        <v>383</v>
      </c>
      <c r="B80" s="47">
        <v>59.95</v>
      </c>
    </row>
    <row r="81" spans="1:2" ht="24" customHeight="1">
      <c r="A81" s="40" t="s">
        <v>384</v>
      </c>
      <c r="B81" s="47">
        <v>18</v>
      </c>
    </row>
    <row r="82" spans="1:2" ht="24" customHeight="1">
      <c r="A82" s="173"/>
      <c r="B82" s="46"/>
    </row>
    <row r="83" spans="1:2" ht="24" customHeight="1">
      <c r="A83" s="170" t="s">
        <v>389</v>
      </c>
      <c r="B83" s="174"/>
    </row>
    <row r="84" spans="1:2" ht="24" customHeight="1">
      <c r="A84" s="40" t="s">
        <v>374</v>
      </c>
      <c r="B84" s="47">
        <v>209</v>
      </c>
    </row>
    <row r="85" spans="1:2" ht="24" customHeight="1">
      <c r="A85" s="40" t="s">
        <v>375</v>
      </c>
      <c r="B85" s="47">
        <v>6530.02</v>
      </c>
    </row>
    <row r="86" spans="1:2" ht="24" customHeight="1">
      <c r="A86" s="171" t="s">
        <v>376</v>
      </c>
      <c r="B86" s="47">
        <v>3.51</v>
      </c>
    </row>
    <row r="87" spans="1:2" ht="24" customHeight="1">
      <c r="A87" s="40" t="s">
        <v>377</v>
      </c>
      <c r="B87" s="47">
        <v>3</v>
      </c>
    </row>
    <row r="88" spans="1:2" ht="24" customHeight="1">
      <c r="A88" s="40" t="s">
        <v>378</v>
      </c>
      <c r="B88" s="47">
        <v>0</v>
      </c>
    </row>
    <row r="89" spans="1:2" ht="24" customHeight="1">
      <c r="A89" s="40" t="s">
        <v>379</v>
      </c>
      <c r="B89" s="47">
        <v>0</v>
      </c>
    </row>
    <row r="90" spans="1:2" ht="24" customHeight="1">
      <c r="A90" s="40" t="s">
        <v>380</v>
      </c>
      <c r="B90" s="47">
        <v>0</v>
      </c>
    </row>
    <row r="91" spans="1:2" ht="24" customHeight="1">
      <c r="A91" s="40" t="s">
        <v>381</v>
      </c>
      <c r="B91" s="47">
        <v>0</v>
      </c>
    </row>
    <row r="92" spans="1:2" ht="24" customHeight="1">
      <c r="A92" s="40" t="s">
        <v>382</v>
      </c>
      <c r="B92" s="47">
        <v>0</v>
      </c>
    </row>
    <row r="93" spans="1:2" ht="24" customHeight="1">
      <c r="A93" s="40" t="s">
        <v>383</v>
      </c>
      <c r="B93" s="47">
        <v>17.989999999999998</v>
      </c>
    </row>
    <row r="94" spans="1:2" ht="24" customHeight="1">
      <c r="A94" s="40" t="s">
        <v>384</v>
      </c>
      <c r="B94" s="47">
        <v>3</v>
      </c>
    </row>
  </sheetData>
  <sheetProtection selectLockedCells="1" selectUnlockedCells="1"/>
  <pageMargins left="0.7" right="0.7" top="0.75" bottom="0.75" header="0.51180555555555551" footer="0.51180555555555551"/>
  <pageSetup paperSize="9" scale="63" firstPageNumber="0" orientation="portrait" horizontalDpi="300" verticalDpi="300" r:id="rId1"/>
  <headerFooter alignWithMargins="0"/>
  <rowBreaks count="1" manualBreakCount="1">
    <brk id="42" max="16383" man="1"/>
  </rowBreaks>
  <colBreaks count="1" manualBreakCount="1">
    <brk id="3" max="1048575" man="1"/>
  </colBreak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indexed="21"/>
  </sheetPr>
  <dimension ref="A1:BK36"/>
  <sheetViews>
    <sheetView workbookViewId="0">
      <selection activeCell="H89" sqref="H89"/>
    </sheetView>
  </sheetViews>
  <sheetFormatPr defaultColWidth="0" defaultRowHeight="14.25"/>
  <cols>
    <col min="1" max="1" width="33.7109375" style="1" customWidth="1"/>
    <col min="2" max="2" width="30" customWidth="1"/>
    <col min="3" max="3" width="4.85546875" customWidth="1"/>
    <col min="4" max="10" width="3.85546875" customWidth="1"/>
    <col min="11" max="11" width="0.42578125" customWidth="1"/>
    <col min="12" max="12" width="3" customWidth="1"/>
    <col min="13" max="19" width="3.140625" customWidth="1"/>
    <col min="20" max="20" width="0.42578125" customWidth="1"/>
    <col min="21" max="28" width="3.140625" customWidth="1"/>
    <col min="29" max="29" width="0.42578125" customWidth="1"/>
    <col min="30" max="35" width="3.140625" customWidth="1"/>
    <col min="36" max="36" width="3.28515625" customWidth="1"/>
    <col min="37" max="37" width="3.7109375" customWidth="1"/>
    <col min="38" max="38" width="0.85546875" customWidth="1"/>
    <col min="39" max="45" width="3.140625" customWidth="1"/>
    <col min="46" max="46" width="0.42578125" customWidth="1"/>
    <col min="47" max="54" width="3.140625" customWidth="1"/>
    <col min="55" max="55" width="0.28515625" customWidth="1"/>
    <col min="56" max="248" width="11.42578125" customWidth="1"/>
    <col min="249" max="249" width="31.5703125" customWidth="1"/>
    <col min="250" max="250" width="30" customWidth="1"/>
    <col min="251" max="251" width="4.85546875" customWidth="1"/>
    <col min="252" max="252" width="2.28515625" customWidth="1"/>
  </cols>
  <sheetData>
    <row r="1" spans="1:63">
      <c r="A1" s="451"/>
      <c r="B1" s="452"/>
      <c r="C1" s="452"/>
    </row>
    <row r="2" spans="1:63" ht="15">
      <c r="A2" s="6" t="s">
        <v>0</v>
      </c>
      <c r="B2" s="71" t="s">
        <v>681</v>
      </c>
      <c r="C2" t="s">
        <v>2</v>
      </c>
      <c r="F2" t="s">
        <v>702</v>
      </c>
    </row>
    <row r="3" spans="1:63" ht="15">
      <c r="A3" s="6"/>
      <c r="B3" s="71" t="s">
        <v>36</v>
      </c>
    </row>
    <row r="4" spans="1:63" ht="15">
      <c r="A4" s="6" t="s">
        <v>4</v>
      </c>
      <c r="B4" s="72">
        <v>0.01</v>
      </c>
    </row>
    <row r="5" spans="1:63" ht="12.75" customHeight="1"/>
    <row r="6" spans="1:63" ht="23.25">
      <c r="A6" s="11" t="s">
        <v>5</v>
      </c>
      <c r="B6" s="74">
        <v>10</v>
      </c>
    </row>
    <row r="7" spans="1:63" ht="24" customHeight="1">
      <c r="A7" s="12" t="s">
        <v>6</v>
      </c>
      <c r="B7" s="112" t="s">
        <v>703</v>
      </c>
    </row>
    <row r="8" spans="1:63" ht="24" customHeight="1">
      <c r="A8" s="77" t="s">
        <v>683</v>
      </c>
      <c r="B8" s="64"/>
      <c r="C8" s="113"/>
      <c r="D8" s="114"/>
      <c r="E8" s="114"/>
      <c r="F8" s="114"/>
      <c r="G8" s="114"/>
      <c r="H8" s="114"/>
      <c r="I8" s="114"/>
    </row>
    <row r="9" spans="1:63" ht="24" customHeight="1">
      <c r="A9" s="14" t="s">
        <v>125</v>
      </c>
      <c r="B9" s="64">
        <v>23414</v>
      </c>
      <c r="C9" s="9"/>
      <c r="BC9" s="116"/>
    </row>
    <row r="10" spans="1:63" ht="24" customHeight="1">
      <c r="A10" s="14" t="s">
        <v>684</v>
      </c>
      <c r="B10" s="15">
        <v>18195.07</v>
      </c>
      <c r="C10" s="9"/>
      <c r="BC10" s="28"/>
      <c r="BD10" s="16"/>
      <c r="BE10" s="16"/>
      <c r="BF10" s="16"/>
      <c r="BG10" s="16"/>
      <c r="BH10" s="16"/>
      <c r="BI10" s="16"/>
      <c r="BJ10" s="16"/>
      <c r="BK10" s="16"/>
    </row>
    <row r="11" spans="1:63" ht="24" customHeight="1">
      <c r="A11" s="14" t="s">
        <v>123</v>
      </c>
      <c r="B11" s="15">
        <v>20242.22</v>
      </c>
      <c r="C11" s="9"/>
      <c r="BC11" s="28"/>
      <c r="BD11" s="16"/>
      <c r="BE11" s="16"/>
      <c r="BF11" s="16"/>
      <c r="BG11" s="16"/>
      <c r="BH11" s="16"/>
      <c r="BI11" s="16"/>
      <c r="BJ11" s="16"/>
      <c r="BK11" s="16"/>
    </row>
    <row r="12" spans="1:63" ht="24" customHeight="1">
      <c r="A12" s="14" t="s">
        <v>118</v>
      </c>
      <c r="B12" s="15">
        <v>0</v>
      </c>
      <c r="C12" s="9"/>
      <c r="BC12" s="28"/>
      <c r="BD12" s="16"/>
      <c r="BE12" s="16"/>
      <c r="BF12" s="16"/>
      <c r="BG12" s="16"/>
      <c r="BH12" s="16"/>
      <c r="BI12" s="16"/>
      <c r="BJ12" s="16"/>
      <c r="BK12" s="16"/>
    </row>
    <row r="13" spans="1:63" ht="24" customHeight="1">
      <c r="A13" s="14" t="s">
        <v>685</v>
      </c>
      <c r="B13" s="15">
        <v>0</v>
      </c>
      <c r="C13" s="9"/>
      <c r="BC13" s="28"/>
      <c r="BD13" s="16"/>
      <c r="BE13" s="16"/>
      <c r="BF13" s="16"/>
      <c r="BG13" s="16"/>
      <c r="BH13" s="16"/>
      <c r="BI13" s="16"/>
      <c r="BJ13" s="16"/>
      <c r="BK13" s="16"/>
    </row>
    <row r="14" spans="1:63" ht="24" customHeight="1">
      <c r="A14" s="14" t="s">
        <v>114</v>
      </c>
      <c r="B14" s="15">
        <v>0</v>
      </c>
      <c r="C14" s="9"/>
      <c r="BC14" s="28"/>
      <c r="BD14" s="16"/>
      <c r="BE14" s="16"/>
      <c r="BF14" s="16"/>
      <c r="BG14" s="16"/>
      <c r="BH14" s="16"/>
      <c r="BI14" s="16"/>
      <c r="BJ14" s="16"/>
      <c r="BK14" s="16"/>
    </row>
    <row r="15" spans="1:63" ht="24" customHeight="1">
      <c r="A15" s="14" t="s">
        <v>116</v>
      </c>
      <c r="B15" s="15">
        <v>0</v>
      </c>
      <c r="C15" s="9"/>
      <c r="BC15" s="28"/>
      <c r="BD15" s="16"/>
      <c r="BE15" s="16"/>
      <c r="BF15" s="16"/>
      <c r="BG15" s="16"/>
      <c r="BH15" s="16"/>
      <c r="BI15" s="16"/>
      <c r="BJ15" s="16"/>
      <c r="BK15" s="16"/>
    </row>
    <row r="16" spans="1:63" ht="24" customHeight="1">
      <c r="A16" s="14" t="s">
        <v>686</v>
      </c>
      <c r="B16" s="64">
        <v>0</v>
      </c>
      <c r="C16" s="9"/>
      <c r="BC16" s="28"/>
      <c r="BD16" s="16"/>
      <c r="BE16" s="16"/>
      <c r="BF16" s="16"/>
      <c r="BG16" s="16"/>
      <c r="BH16" s="16"/>
      <c r="BI16" s="16"/>
      <c r="BJ16" s="16"/>
      <c r="BK16" s="16"/>
    </row>
    <row r="17" spans="1:63" ht="24" customHeight="1">
      <c r="A17" s="14" t="s">
        <v>687</v>
      </c>
      <c r="B17" s="64">
        <v>0</v>
      </c>
      <c r="C17" s="9"/>
      <c r="BC17" s="28"/>
      <c r="BD17" s="16"/>
      <c r="BE17" s="16"/>
      <c r="BF17" s="16"/>
      <c r="BG17" s="16"/>
      <c r="BH17" s="16"/>
      <c r="BI17" s="16"/>
      <c r="BJ17" s="16"/>
      <c r="BK17" s="16"/>
    </row>
    <row r="18" spans="1:63" ht="24" customHeight="1">
      <c r="A18" s="14" t="s">
        <v>688</v>
      </c>
      <c r="B18" s="64">
        <v>0</v>
      </c>
      <c r="C18" s="9"/>
      <c r="BC18" s="28"/>
      <c r="BD18" s="16"/>
      <c r="BE18" s="16"/>
      <c r="BF18" s="16"/>
      <c r="BG18" s="16"/>
      <c r="BH18" s="16"/>
      <c r="BI18" s="16"/>
      <c r="BJ18" s="16"/>
      <c r="BK18" s="16"/>
    </row>
    <row r="19" spans="1:63" ht="24" customHeight="1">
      <c r="A19" s="14" t="s">
        <v>183</v>
      </c>
      <c r="B19" s="15">
        <v>20089.12</v>
      </c>
      <c r="C19" s="9"/>
      <c r="BC19" s="28"/>
      <c r="BD19" s="16"/>
      <c r="BE19" s="16"/>
      <c r="BF19" s="16"/>
      <c r="BG19" s="16"/>
      <c r="BH19" s="16"/>
      <c r="BI19" s="16"/>
      <c r="BJ19" s="16"/>
      <c r="BK19" s="16"/>
    </row>
    <row r="20" spans="1:63" ht="24" customHeight="1">
      <c r="A20" s="14" t="s">
        <v>44</v>
      </c>
      <c r="B20" s="15">
        <v>22136.27</v>
      </c>
      <c r="C20" s="9"/>
      <c r="BC20" s="28"/>
      <c r="BD20" s="16"/>
      <c r="BE20" s="16"/>
      <c r="BF20" s="16"/>
      <c r="BG20" s="16"/>
      <c r="BH20" s="16"/>
      <c r="BI20" s="16"/>
      <c r="BJ20" s="16"/>
      <c r="BK20" s="16"/>
    </row>
    <row r="21" spans="1:63" ht="24" customHeight="1">
      <c r="A21" s="14" t="s">
        <v>689</v>
      </c>
      <c r="B21" s="15">
        <f>+B19</f>
        <v>20089.12</v>
      </c>
      <c r="C21" s="9"/>
      <c r="BC21" s="28"/>
      <c r="BD21" s="16"/>
      <c r="BE21" s="16"/>
      <c r="BF21" s="16"/>
      <c r="BG21" s="16"/>
      <c r="BH21" s="16"/>
      <c r="BI21" s="16"/>
      <c r="BJ21" s="16"/>
      <c r="BK21" s="16"/>
    </row>
    <row r="22" spans="1:63" ht="24" customHeight="1">
      <c r="A22" s="14" t="s">
        <v>690</v>
      </c>
      <c r="B22" s="15">
        <f>+B20</f>
        <v>22136.27</v>
      </c>
      <c r="C22" s="9"/>
      <c r="BC22" s="28"/>
      <c r="BD22" s="16"/>
      <c r="BE22" s="16"/>
      <c r="BF22" s="16"/>
      <c r="BG22" s="16"/>
      <c r="BH22" s="16"/>
      <c r="BI22" s="16"/>
      <c r="BJ22" s="16"/>
      <c r="BK22" s="16"/>
    </row>
    <row r="23" spans="1:63" ht="24" customHeight="1">
      <c r="A23" s="14" t="s">
        <v>691</v>
      </c>
      <c r="B23" s="64">
        <v>0</v>
      </c>
      <c r="C23" s="9"/>
      <c r="BC23" s="28"/>
    </row>
    <row r="24" spans="1:63" ht="24" customHeight="1">
      <c r="A24" s="1" t="s">
        <v>692</v>
      </c>
      <c r="B24" s="64">
        <v>0</v>
      </c>
      <c r="C24" s="9"/>
      <c r="BC24" s="28"/>
    </row>
    <row r="25" spans="1:63" ht="24" customHeight="1">
      <c r="A25" s="14" t="s">
        <v>693</v>
      </c>
      <c r="B25" s="64">
        <v>0</v>
      </c>
      <c r="C25" s="9"/>
      <c r="BC25" s="28"/>
    </row>
    <row r="26" spans="1:63" ht="24" customHeight="1">
      <c r="A26" s="1" t="s">
        <v>694</v>
      </c>
      <c r="B26" s="64">
        <v>0</v>
      </c>
      <c r="C26" s="9"/>
      <c r="BC26" s="28"/>
    </row>
    <row r="27" spans="1:63" ht="24" customHeight="1">
      <c r="A27" s="14" t="s">
        <v>695</v>
      </c>
      <c r="B27" s="64">
        <v>0</v>
      </c>
      <c r="C27" s="9"/>
      <c r="BC27" s="28"/>
    </row>
    <row r="28" spans="1:63" ht="24" customHeight="1">
      <c r="A28" s="14" t="s">
        <v>393</v>
      </c>
      <c r="B28" s="64">
        <v>6561</v>
      </c>
      <c r="C28" s="9"/>
      <c r="BC28" s="28"/>
    </row>
    <row r="29" spans="1:63" ht="24" customHeight="1">
      <c r="A29" s="14" t="s">
        <v>315</v>
      </c>
      <c r="B29" s="64">
        <v>0</v>
      </c>
      <c r="C29" s="9"/>
      <c r="BC29" s="28"/>
    </row>
    <row r="30" spans="1:63" ht="24" customHeight="1">
      <c r="A30" s="14" t="s">
        <v>696</v>
      </c>
      <c r="B30" s="64">
        <v>500</v>
      </c>
      <c r="C30" s="9"/>
      <c r="BC30" s="28"/>
    </row>
    <row r="31" spans="1:63" ht="24" customHeight="1">
      <c r="A31" s="14" t="s">
        <v>317</v>
      </c>
      <c r="B31" s="64">
        <v>0</v>
      </c>
      <c r="C31" s="9"/>
      <c r="BC31" s="28"/>
    </row>
    <row r="32" spans="1:63" ht="24" customHeight="1">
      <c r="A32" s="14" t="s">
        <v>697</v>
      </c>
      <c r="B32" s="64">
        <v>0</v>
      </c>
      <c r="C32" s="9"/>
      <c r="BC32" s="28"/>
    </row>
    <row r="33" spans="1:55" ht="24" customHeight="1">
      <c r="A33" s="22" t="s">
        <v>698</v>
      </c>
      <c r="B33" s="84">
        <v>61</v>
      </c>
      <c r="C33" s="24"/>
      <c r="BC33" s="28"/>
    </row>
    <row r="34" spans="1:55" ht="24" customHeight="1">
      <c r="A34" s="67" t="s">
        <v>704</v>
      </c>
      <c r="B34" s="115">
        <v>0</v>
      </c>
      <c r="C34" s="9"/>
      <c r="BC34" s="28"/>
    </row>
    <row r="35" spans="1:55" ht="24" customHeight="1">
      <c r="A35" s="137" t="s">
        <v>700</v>
      </c>
      <c r="B35" s="115">
        <v>0</v>
      </c>
      <c r="C35" s="9"/>
      <c r="BC35" s="28"/>
    </row>
    <row r="36" spans="1:55" ht="15.75" customHeight="1">
      <c r="B36" s="163" t="s">
        <v>104</v>
      </c>
    </row>
  </sheetData>
  <sheetProtection selectLockedCells="1" selectUnlockedCells="1"/>
  <pageMargins left="0.7" right="0.7" top="0.75" bottom="0.75" header="0.51180555555555551" footer="0.51180555555555551"/>
  <pageSetup paperSize="9" scale="88" firstPageNumber="0" orientation="portrait" horizontalDpi="300" verticalDpi="300" r:id="rId1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indexed="56"/>
  </sheetPr>
  <dimension ref="A1:BJ58"/>
  <sheetViews>
    <sheetView workbookViewId="0">
      <pane ySplit="7" topLeftCell="A41" activePane="bottomLeft" state="frozen"/>
      <selection activeCell="H89" sqref="H89"/>
      <selection pane="bottomLeft" activeCell="H89" sqref="H89"/>
    </sheetView>
  </sheetViews>
  <sheetFormatPr defaultColWidth="11" defaultRowHeight="14.25"/>
  <cols>
    <col min="1" max="1" width="44.140625" style="1" customWidth="1"/>
    <col min="2" max="2" width="30.140625" customWidth="1"/>
    <col min="3" max="3" width="4.85546875" customWidth="1"/>
    <col min="4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31</v>
      </c>
    </row>
    <row r="7" spans="1:62" ht="24" customHeight="1">
      <c r="A7" s="12" t="s">
        <v>6</v>
      </c>
      <c r="B7" s="112" t="s">
        <v>426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30733</v>
      </c>
      <c r="C8" s="9"/>
      <c r="BB8" s="116"/>
    </row>
    <row r="9" spans="1:62" ht="24" customHeight="1">
      <c r="A9" s="14" t="s">
        <v>12</v>
      </c>
      <c r="B9" s="115">
        <v>27392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f>+B9</f>
        <v>27392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0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0.1087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0.89119999999999999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456"/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61" t="s">
        <v>229</v>
      </c>
      <c r="B15" s="456">
        <v>40149</v>
      </c>
      <c r="C15" s="65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249"/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7.5499999999999998E-2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5">
        <v>2225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37924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233</v>
      </c>
      <c r="B21" s="115">
        <v>36808</v>
      </c>
      <c r="C21" s="9"/>
      <c r="BB21" s="28"/>
    </row>
    <row r="22" spans="1:62" ht="24" customHeight="1">
      <c r="A22" s="118" t="s">
        <v>213</v>
      </c>
      <c r="B22" s="119">
        <v>0</v>
      </c>
      <c r="C22" s="120"/>
      <c r="BB22" s="28"/>
    </row>
    <row r="23" spans="1:62" ht="24" customHeight="1">
      <c r="A23" s="118" t="s">
        <v>705</v>
      </c>
      <c r="B23" s="119">
        <v>0</v>
      </c>
      <c r="C23" s="120"/>
      <c r="BB23" s="28"/>
    </row>
    <row r="24" spans="1:62" ht="24" customHeight="1">
      <c r="A24" s="118" t="s">
        <v>234</v>
      </c>
      <c r="B24" s="119">
        <v>36658</v>
      </c>
      <c r="C24" s="120"/>
      <c r="BB24" s="28"/>
    </row>
    <row r="25" spans="1:62" ht="24" customHeight="1">
      <c r="A25" s="14" t="s">
        <v>235</v>
      </c>
      <c r="B25" s="115">
        <v>0</v>
      </c>
      <c r="C25" s="9"/>
      <c r="BB25" s="28"/>
    </row>
    <row r="26" spans="1:62" ht="24" customHeight="1">
      <c r="A26" s="14" t="s">
        <v>236</v>
      </c>
      <c r="B26" s="115">
        <v>150</v>
      </c>
      <c r="C26" s="9"/>
      <c r="BB26" s="28"/>
    </row>
    <row r="27" spans="1:62" ht="8.25" customHeight="1">
      <c r="A27" s="18"/>
      <c r="B27" s="121"/>
      <c r="C27" s="122"/>
      <c r="BB27" s="28"/>
    </row>
    <row r="28" spans="1:62" ht="24" customHeight="1">
      <c r="A28" s="14" t="s">
        <v>237</v>
      </c>
      <c r="B28" s="115">
        <f>B18</f>
        <v>2225</v>
      </c>
      <c r="C28" s="9"/>
      <c r="BB28" s="28"/>
    </row>
    <row r="29" spans="1:62" ht="24" customHeight="1">
      <c r="A29" s="14" t="s">
        <v>238</v>
      </c>
      <c r="B29" s="115">
        <f>B28</f>
        <v>2225</v>
      </c>
      <c r="C29" s="9"/>
      <c r="BB29" s="28"/>
    </row>
    <row r="30" spans="1:62" ht="24" customHeight="1">
      <c r="A30" s="118" t="s">
        <v>239</v>
      </c>
      <c r="B30" s="119">
        <v>0</v>
      </c>
      <c r="C30" s="120"/>
      <c r="BB30" s="28"/>
    </row>
    <row r="31" spans="1:62" ht="24" customHeight="1">
      <c r="B31" s="78"/>
      <c r="BB31" s="28"/>
    </row>
    <row r="32" spans="1:62" ht="24" customHeight="1">
      <c r="A32" s="118" t="s">
        <v>240</v>
      </c>
      <c r="B32" s="119">
        <v>0</v>
      </c>
      <c r="C32" s="120"/>
      <c r="BB32" s="28"/>
    </row>
    <row r="33" spans="1:54" ht="24" customHeight="1">
      <c r="B33" s="78"/>
      <c r="BB33" s="28"/>
    </row>
    <row r="34" spans="1:54" ht="24" customHeight="1">
      <c r="A34" s="14" t="s">
        <v>58</v>
      </c>
      <c r="B34" s="115">
        <v>7553</v>
      </c>
      <c r="C34" s="9"/>
      <c r="BB34" s="28"/>
    </row>
    <row r="35" spans="1:54" ht="24" customHeight="1">
      <c r="A35" s="14" t="s">
        <v>241</v>
      </c>
      <c r="B35" s="115">
        <v>3205</v>
      </c>
      <c r="C35" s="9"/>
      <c r="BB35" s="28"/>
    </row>
    <row r="36" spans="1:54" ht="24" customHeight="1">
      <c r="A36" s="14" t="s">
        <v>206</v>
      </c>
      <c r="B36" s="115">
        <v>4348</v>
      </c>
      <c r="C36" s="9"/>
      <c r="BB36" s="28"/>
    </row>
    <row r="37" spans="1:54" ht="24" customHeight="1">
      <c r="B37" s="78"/>
      <c r="BB37" s="28"/>
    </row>
    <row r="38" spans="1:54" ht="24" customHeight="1">
      <c r="A38" s="118" t="s">
        <v>115</v>
      </c>
      <c r="B38" s="119">
        <v>0</v>
      </c>
      <c r="C38" s="120"/>
      <c r="BB38" s="28"/>
    </row>
    <row r="39" spans="1:54" ht="24" customHeight="1">
      <c r="A39" s="118" t="s">
        <v>242</v>
      </c>
      <c r="B39" s="119">
        <v>0</v>
      </c>
      <c r="C39" s="120"/>
      <c r="BB39" s="28"/>
    </row>
    <row r="40" spans="1:54" ht="24" customHeight="1">
      <c r="A40" s="118" t="s">
        <v>117</v>
      </c>
      <c r="B40" s="119">
        <v>0</v>
      </c>
      <c r="C40" s="120"/>
      <c r="BB40" s="28"/>
    </row>
    <row r="41" spans="1:54" ht="8.25" customHeight="1">
      <c r="A41" s="18"/>
      <c r="B41" s="121"/>
      <c r="C41" s="122"/>
      <c r="BB41" s="28"/>
    </row>
    <row r="42" spans="1:54" ht="24" customHeight="1">
      <c r="B42" s="78"/>
      <c r="BB42" s="28"/>
    </row>
    <row r="43" spans="1:54" ht="24" customHeight="1">
      <c r="A43" s="14" t="s">
        <v>243</v>
      </c>
      <c r="B43" s="117">
        <f>B12</f>
        <v>0.1087</v>
      </c>
      <c r="C43" s="9"/>
      <c r="BB43" s="28"/>
    </row>
    <row r="44" spans="1:54" ht="24" customHeight="1">
      <c r="A44" s="14" t="s">
        <v>244</v>
      </c>
      <c r="B44" s="117">
        <f>B13</f>
        <v>0.89119999999999999</v>
      </c>
      <c r="C44" s="9"/>
      <c r="BB44" s="28"/>
    </row>
    <row r="46" spans="1:54" ht="23.25">
      <c r="A46" s="14" t="s">
        <v>245</v>
      </c>
      <c r="B46" s="115">
        <v>0</v>
      </c>
      <c r="E46" s="108"/>
    </row>
    <row r="47" spans="1:54" ht="23.25">
      <c r="A47" s="14" t="s">
        <v>246</v>
      </c>
      <c r="B47" s="115">
        <v>0</v>
      </c>
      <c r="C47" s="108"/>
    </row>
    <row r="48" spans="1:54" ht="23.25">
      <c r="A48" s="14" t="s">
        <v>247</v>
      </c>
      <c r="B48" s="115">
        <v>0</v>
      </c>
      <c r="E48" s="16"/>
    </row>
    <row r="49" spans="1:5" ht="23.25">
      <c r="A49" s="14" t="s">
        <v>248</v>
      </c>
      <c r="B49" s="115">
        <v>0</v>
      </c>
      <c r="C49" s="16"/>
    </row>
    <row r="50" spans="1:5" ht="23.25">
      <c r="A50" s="14" t="s">
        <v>249</v>
      </c>
      <c r="B50" s="115">
        <v>0</v>
      </c>
      <c r="E50" s="16"/>
    </row>
    <row r="51" spans="1:5" ht="23.25">
      <c r="A51" s="14" t="s">
        <v>250</v>
      </c>
      <c r="B51" s="115">
        <v>0</v>
      </c>
      <c r="C51" s="16"/>
    </row>
    <row r="53" spans="1:5" ht="12">
      <c r="A53" s="16"/>
    </row>
    <row r="54" spans="1:5" ht="12">
      <c r="A54" s="16" t="s">
        <v>219</v>
      </c>
    </row>
    <row r="55" spans="1:5" ht="12">
      <c r="A55"/>
      <c r="C55" s="124"/>
    </row>
    <row r="56" spans="1:5" ht="12">
      <c r="A56" s="16" t="s">
        <v>217</v>
      </c>
    </row>
    <row r="57" spans="1:5">
      <c r="C57" s="124"/>
    </row>
    <row r="58" spans="1:5">
      <c r="A58" s="104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tabColor indexed="56"/>
  </sheetPr>
  <dimension ref="A1:BJ50"/>
  <sheetViews>
    <sheetView workbookViewId="0">
      <pane ySplit="7" topLeftCell="A38" activePane="bottomLeft" state="frozen"/>
      <selection activeCell="H89" sqref="H89"/>
      <selection pane="bottomLeft" activeCell="H89" sqref="H89"/>
    </sheetView>
  </sheetViews>
  <sheetFormatPr defaultColWidth="11" defaultRowHeight="14.25"/>
  <cols>
    <col min="1" max="1" width="44.140625" style="1" customWidth="1"/>
    <col min="2" max="2" width="30.140625" customWidth="1"/>
    <col min="3" max="3" width="4.85546875" customWidth="1"/>
    <col min="4" max="9" width="3.85546875" customWidth="1"/>
    <col min="10" max="10" width="0.42578125" customWidth="1"/>
    <col min="11" max="11" width="3" customWidth="1"/>
    <col min="12" max="18" width="3.140625" customWidth="1"/>
    <col min="19" max="19" width="0.42578125" customWidth="1"/>
    <col min="20" max="27" width="3.140625" customWidth="1"/>
    <col min="28" max="28" width="0.42578125" customWidth="1"/>
    <col min="29" max="34" width="3.140625" customWidth="1"/>
    <col min="35" max="35" width="3.28515625" customWidth="1"/>
    <col min="36" max="36" width="3.7109375" customWidth="1"/>
    <col min="37" max="37" width="0.85546875" customWidth="1"/>
    <col min="38" max="44" width="3.140625" customWidth="1"/>
    <col min="45" max="45" width="0.42578125" customWidth="1"/>
    <col min="46" max="53" width="3.140625" customWidth="1"/>
    <col min="54" max="54" width="0.28515625" customWidth="1"/>
  </cols>
  <sheetData>
    <row r="1" spans="1:62">
      <c r="A1" s="109"/>
      <c r="B1" s="110"/>
      <c r="C1" s="110"/>
    </row>
    <row r="2" spans="1:62" ht="15">
      <c r="A2" s="6" t="s">
        <v>0</v>
      </c>
      <c r="B2" s="71" t="s">
        <v>111</v>
      </c>
      <c r="C2" s="111" t="s">
        <v>220</v>
      </c>
    </row>
    <row r="3" spans="1:62" ht="15">
      <c r="A3" s="6"/>
      <c r="B3" s="71" t="s">
        <v>221</v>
      </c>
      <c r="C3" s="111"/>
    </row>
    <row r="4" spans="1:62" ht="15">
      <c r="A4" s="6" t="s">
        <v>4</v>
      </c>
      <c r="B4" s="72">
        <f>0.02</f>
        <v>0.02</v>
      </c>
      <c r="C4" s="111" t="s">
        <v>222</v>
      </c>
    </row>
    <row r="5" spans="1:62" ht="12.75" customHeight="1"/>
    <row r="6" spans="1:62" ht="23.25">
      <c r="A6" s="11" t="s">
        <v>5</v>
      </c>
      <c r="B6" s="74">
        <v>30</v>
      </c>
    </row>
    <row r="7" spans="1:62" ht="24" customHeight="1">
      <c r="A7" s="12" t="s">
        <v>6</v>
      </c>
      <c r="B7" s="112" t="s">
        <v>426</v>
      </c>
      <c r="C7" s="113"/>
      <c r="D7" s="114"/>
      <c r="E7" s="114"/>
      <c r="F7" s="114"/>
      <c r="G7" s="114"/>
      <c r="H7" s="114"/>
      <c r="I7" s="114"/>
    </row>
    <row r="8" spans="1:62" ht="24" customHeight="1">
      <c r="A8" s="14" t="s">
        <v>224</v>
      </c>
      <c r="B8" s="115">
        <v>20322</v>
      </c>
      <c r="C8" s="9"/>
      <c r="BB8" s="116"/>
    </row>
    <row r="9" spans="1:62" ht="24" customHeight="1">
      <c r="A9" s="14" t="s">
        <v>12</v>
      </c>
      <c r="B9" s="115">
        <v>17153</v>
      </c>
      <c r="C9" s="9"/>
      <c r="BB9" s="28"/>
      <c r="BC9" s="16"/>
      <c r="BD9" s="16"/>
      <c r="BE9" s="16"/>
      <c r="BF9" s="16"/>
      <c r="BG9" s="16"/>
      <c r="BH9" s="16"/>
      <c r="BI9" s="16"/>
      <c r="BJ9" s="16"/>
    </row>
    <row r="10" spans="1:62" ht="24" customHeight="1">
      <c r="A10" s="14" t="s">
        <v>225</v>
      </c>
      <c r="B10" s="115">
        <f>B9</f>
        <v>17153</v>
      </c>
      <c r="C10" s="9"/>
      <c r="BB10" s="28"/>
      <c r="BC10" s="16"/>
      <c r="BD10" s="16"/>
      <c r="BE10" s="16"/>
      <c r="BF10" s="16"/>
      <c r="BG10" s="16"/>
      <c r="BH10" s="16"/>
      <c r="BI10" s="16"/>
      <c r="BJ10" s="16"/>
    </row>
    <row r="11" spans="1:62" ht="24" customHeight="1">
      <c r="A11" s="14" t="s">
        <v>226</v>
      </c>
      <c r="B11" s="115">
        <v>0</v>
      </c>
      <c r="C11" s="9"/>
      <c r="BB11" s="28"/>
      <c r="BC11" s="16"/>
      <c r="BD11" s="16"/>
      <c r="BE11" s="16"/>
      <c r="BF11" s="16"/>
      <c r="BG11" s="16"/>
      <c r="BH11" s="16"/>
      <c r="BI11" s="16"/>
      <c r="BJ11" s="16"/>
    </row>
    <row r="12" spans="1:62" ht="24" customHeight="1">
      <c r="A12" s="14" t="s">
        <v>227</v>
      </c>
      <c r="B12" s="117">
        <v>0.15590000000000001</v>
      </c>
      <c r="C12" s="9"/>
      <c r="BB12" s="28"/>
      <c r="BC12" s="16"/>
      <c r="BD12" s="16"/>
      <c r="BE12" s="16"/>
      <c r="BF12" s="16"/>
      <c r="BG12" s="16"/>
      <c r="BH12" s="16"/>
      <c r="BI12" s="16"/>
      <c r="BJ12" s="16"/>
    </row>
    <row r="13" spans="1:62" ht="24" customHeight="1">
      <c r="A13" s="14" t="s">
        <v>228</v>
      </c>
      <c r="B13" s="117">
        <v>0.84399999999999997</v>
      </c>
      <c r="C13" s="9"/>
      <c r="BB13" s="28"/>
      <c r="BC13" s="16"/>
      <c r="BD13" s="16"/>
      <c r="BE13" s="16"/>
      <c r="BF13" s="16"/>
      <c r="BG13" s="16"/>
      <c r="BH13" s="16"/>
      <c r="BI13" s="16"/>
      <c r="BJ13" s="16"/>
    </row>
    <row r="14" spans="1:62" ht="24" customHeight="1">
      <c r="B14" s="78"/>
      <c r="BB14" s="28"/>
      <c r="BC14" s="16"/>
      <c r="BD14" s="16"/>
      <c r="BE14" s="16"/>
      <c r="BF14" s="16"/>
      <c r="BG14" s="16"/>
      <c r="BH14" s="16"/>
      <c r="BI14" s="16"/>
      <c r="BJ14" s="16"/>
    </row>
    <row r="15" spans="1:62" ht="24" customHeight="1">
      <c r="A15" s="14" t="s">
        <v>229</v>
      </c>
      <c r="B15" s="115">
        <v>30380</v>
      </c>
      <c r="C15" s="9"/>
      <c r="BB15" s="28"/>
      <c r="BC15" s="16"/>
      <c r="BD15" s="16"/>
      <c r="BE15" s="16"/>
      <c r="BF15" s="16"/>
      <c r="BG15" s="16"/>
      <c r="BH15" s="16"/>
      <c r="BI15" s="16"/>
      <c r="BJ15" s="16"/>
    </row>
    <row r="16" spans="1:62" ht="24" customHeight="1">
      <c r="A16" s="118" t="s">
        <v>212</v>
      </c>
      <c r="B16" s="119">
        <v>0</v>
      </c>
      <c r="C16" s="120"/>
      <c r="BB16" s="28"/>
      <c r="BC16" s="16"/>
      <c r="BD16" s="16"/>
      <c r="BE16" s="16"/>
      <c r="BF16" s="16"/>
      <c r="BG16" s="16"/>
      <c r="BH16" s="16"/>
      <c r="BI16" s="16"/>
      <c r="BJ16" s="16"/>
    </row>
    <row r="17" spans="1:62" ht="24" customHeight="1">
      <c r="A17" s="118" t="s">
        <v>230</v>
      </c>
      <c r="B17" s="119">
        <v>0</v>
      </c>
      <c r="C17" s="120"/>
      <c r="BB17" s="28"/>
      <c r="BC17" s="16"/>
      <c r="BD17" s="16"/>
      <c r="BE17" s="16"/>
      <c r="BF17" s="16"/>
      <c r="BG17" s="16"/>
      <c r="BH17" s="16"/>
      <c r="BI17" s="16"/>
      <c r="BJ17" s="16"/>
    </row>
    <row r="18" spans="1:62" ht="24" customHeight="1">
      <c r="A18" s="14" t="s">
        <v>231</v>
      </c>
      <c r="B18" s="115">
        <v>6800</v>
      </c>
      <c r="C18" s="9"/>
      <c r="BB18" s="28"/>
      <c r="BC18" s="16"/>
      <c r="BD18" s="16"/>
      <c r="BE18" s="16"/>
      <c r="BF18" s="16"/>
      <c r="BG18" s="16"/>
      <c r="BH18" s="16"/>
      <c r="BI18" s="16"/>
      <c r="BJ18" s="16"/>
    </row>
    <row r="19" spans="1:62" ht="24" customHeight="1">
      <c r="A19" s="118" t="s">
        <v>232</v>
      </c>
      <c r="B19" s="119">
        <v>23580</v>
      </c>
      <c r="C19" s="120"/>
      <c r="BB19" s="28"/>
      <c r="BC19" s="16"/>
      <c r="BD19" s="16"/>
      <c r="BE19" s="16"/>
      <c r="BF19" s="16"/>
      <c r="BG19" s="16"/>
      <c r="BH19" s="16"/>
      <c r="BI19" s="16"/>
      <c r="BJ19" s="16"/>
    </row>
    <row r="20" spans="1:62" ht="24" customHeight="1">
      <c r="A20" s="14" t="s">
        <v>29</v>
      </c>
      <c r="B20" s="115">
        <v>0</v>
      </c>
      <c r="C20" s="9"/>
      <c r="BB20" s="28"/>
    </row>
    <row r="21" spans="1:62" ht="24" customHeight="1">
      <c r="A21" s="14" t="s">
        <v>233</v>
      </c>
      <c r="B21" s="115">
        <v>27211</v>
      </c>
      <c r="C21" s="9"/>
      <c r="BB21" s="28"/>
    </row>
    <row r="22" spans="1:62" ht="24" customHeight="1">
      <c r="A22" s="118" t="s">
        <v>213</v>
      </c>
      <c r="B22" s="119">
        <v>0</v>
      </c>
      <c r="C22" s="120"/>
      <c r="BB22" s="28"/>
    </row>
    <row r="23" spans="1:62" ht="24" customHeight="1">
      <c r="A23" s="118" t="s">
        <v>234</v>
      </c>
      <c r="B23" s="119">
        <v>27161</v>
      </c>
      <c r="C23" s="120"/>
      <c r="BB23" s="28"/>
    </row>
    <row r="24" spans="1:62" ht="24" customHeight="1">
      <c r="A24" s="14" t="s">
        <v>235</v>
      </c>
      <c r="B24" s="115">
        <v>0</v>
      </c>
      <c r="C24" s="9"/>
      <c r="BB24" s="28"/>
    </row>
    <row r="25" spans="1:62" ht="24" customHeight="1">
      <c r="A25" s="14" t="s">
        <v>236</v>
      </c>
      <c r="B25" s="115">
        <v>50</v>
      </c>
      <c r="C25" s="9"/>
      <c r="BB25" s="28"/>
    </row>
    <row r="26" spans="1:62" ht="8.25" customHeight="1">
      <c r="A26" s="18"/>
      <c r="B26" s="121"/>
      <c r="C26" s="122"/>
      <c r="BB26" s="28"/>
    </row>
    <row r="27" spans="1:62" ht="24" customHeight="1">
      <c r="A27" s="14" t="s">
        <v>237</v>
      </c>
      <c r="B27" s="115">
        <v>6800</v>
      </c>
      <c r="C27" s="9"/>
      <c r="BB27" s="28"/>
    </row>
    <row r="28" spans="1:62" ht="24" customHeight="1">
      <c r="A28" s="14" t="s">
        <v>238</v>
      </c>
      <c r="B28" s="115">
        <f>B27</f>
        <v>6800</v>
      </c>
      <c r="C28" s="9"/>
      <c r="BB28" s="28"/>
    </row>
    <row r="29" spans="1:62" ht="24" customHeight="1">
      <c r="A29" s="118" t="s">
        <v>239</v>
      </c>
      <c r="B29" s="119">
        <v>0</v>
      </c>
      <c r="C29" s="120"/>
      <c r="BB29" s="28"/>
    </row>
    <row r="30" spans="1:62" ht="24" customHeight="1">
      <c r="B30" s="78"/>
      <c r="BB30" s="28"/>
    </row>
    <row r="31" spans="1:62" ht="24" customHeight="1">
      <c r="A31" s="118" t="s">
        <v>240</v>
      </c>
      <c r="B31" s="119">
        <v>0</v>
      </c>
      <c r="C31" s="120"/>
      <c r="BB31" s="28"/>
    </row>
    <row r="32" spans="1:62" ht="24" customHeight="1">
      <c r="B32" s="78"/>
      <c r="BB32" s="28"/>
    </row>
    <row r="33" spans="1:54" ht="24" customHeight="1">
      <c r="A33" s="14" t="s">
        <v>58</v>
      </c>
      <c r="B33" s="115">
        <v>7302</v>
      </c>
      <c r="C33" s="9"/>
      <c r="BB33" s="28"/>
    </row>
    <row r="34" spans="1:54" ht="24" customHeight="1">
      <c r="A34" s="14" t="s">
        <v>241</v>
      </c>
      <c r="B34" s="115">
        <v>2805</v>
      </c>
      <c r="C34" s="9"/>
      <c r="BB34" s="28"/>
    </row>
    <row r="35" spans="1:54" ht="24" customHeight="1">
      <c r="A35" s="14" t="s">
        <v>206</v>
      </c>
      <c r="B35" s="115">
        <v>4497</v>
      </c>
      <c r="C35" s="9"/>
      <c r="BB35" s="28"/>
    </row>
    <row r="36" spans="1:54" ht="24" customHeight="1">
      <c r="B36" s="78"/>
      <c r="BB36" s="28"/>
    </row>
    <row r="37" spans="1:54" ht="24" customHeight="1">
      <c r="A37" s="118" t="s">
        <v>115</v>
      </c>
      <c r="B37" s="119">
        <v>0</v>
      </c>
      <c r="C37" s="120"/>
      <c r="BB37" s="28"/>
    </row>
    <row r="38" spans="1:54" ht="24" customHeight="1">
      <c r="A38" s="118" t="s">
        <v>242</v>
      </c>
      <c r="B38" s="119">
        <v>0</v>
      </c>
      <c r="C38" s="120"/>
      <c r="BB38" s="28"/>
    </row>
    <row r="39" spans="1:54" ht="24" customHeight="1">
      <c r="A39" s="118" t="s">
        <v>117</v>
      </c>
      <c r="B39" s="119">
        <v>0</v>
      </c>
      <c r="C39" s="120"/>
      <c r="BB39" s="28"/>
    </row>
    <row r="40" spans="1:54" ht="8.25" customHeight="1">
      <c r="A40" s="18"/>
      <c r="B40" s="121"/>
      <c r="C40" s="122"/>
      <c r="BB40" s="28"/>
    </row>
    <row r="41" spans="1:54" ht="24" customHeight="1">
      <c r="B41" s="78"/>
      <c r="BB41" s="28"/>
    </row>
    <row r="42" spans="1:54" ht="24" customHeight="1">
      <c r="A42" s="14" t="s">
        <v>243</v>
      </c>
      <c r="B42" s="117">
        <f>+B12</f>
        <v>0.15590000000000001</v>
      </c>
      <c r="C42" s="9"/>
      <c r="BB42" s="28"/>
    </row>
    <row r="43" spans="1:54" ht="24" customHeight="1">
      <c r="A43" s="14" t="s">
        <v>244</v>
      </c>
      <c r="B43" s="117">
        <f>+B13</f>
        <v>0.84399999999999997</v>
      </c>
      <c r="C43" s="9"/>
      <c r="BB43" s="28"/>
    </row>
    <row r="45" spans="1:54" ht="23.25">
      <c r="A45" s="14" t="s">
        <v>245</v>
      </c>
      <c r="B45" s="115">
        <v>0</v>
      </c>
      <c r="E45" s="108"/>
    </row>
    <row r="46" spans="1:54" ht="23.25">
      <c r="A46" s="14" t="s">
        <v>246</v>
      </c>
      <c r="B46" s="115">
        <v>0</v>
      </c>
      <c r="C46" s="108"/>
    </row>
    <row r="47" spans="1:54" ht="23.25">
      <c r="A47" s="14" t="s">
        <v>247</v>
      </c>
      <c r="B47" s="115">
        <v>0</v>
      </c>
      <c r="E47" s="16"/>
    </row>
    <row r="48" spans="1:54" ht="23.25">
      <c r="A48" s="14" t="s">
        <v>248</v>
      </c>
      <c r="B48" s="115">
        <v>0</v>
      </c>
      <c r="C48" s="16"/>
    </row>
    <row r="49" spans="1:5" ht="23.25">
      <c r="A49" s="14" t="s">
        <v>249</v>
      </c>
      <c r="B49" s="115">
        <v>0</v>
      </c>
      <c r="E49" s="16"/>
    </row>
    <row r="50" spans="1:5" ht="23.25">
      <c r="A50" s="14" t="s">
        <v>250</v>
      </c>
      <c r="B50" s="115">
        <v>0</v>
      </c>
      <c r="C50" s="16"/>
    </row>
  </sheetData>
  <sheetProtection selectLockedCells="1" selectUnlockedCells="1"/>
  <pageMargins left="0.7" right="0.7" top="0.75" bottom="0.75" header="0.51180555555555551" footer="0.51180555555555551"/>
  <pageSetup paperSize="9" scale="71" firstPageNumber="0" orientation="portrait" horizontalDpi="300" verticalDpi="300" r:id="rId1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indexed="54"/>
    <pageSetUpPr fitToPage="1"/>
  </sheetPr>
  <dimension ref="A1:BJ51"/>
  <sheetViews>
    <sheetView topLeftCell="A37" workbookViewId="0">
      <selection activeCell="H89" sqref="H89"/>
    </sheetView>
  </sheetViews>
  <sheetFormatPr defaultColWidth="0.28515625" defaultRowHeight="14.25"/>
  <cols>
    <col min="1" max="1" width="44.140625" style="1" customWidth="1"/>
    <col min="2" max="2" width="30" customWidth="1"/>
    <col min="3" max="3" width="4.85546875" customWidth="1"/>
    <col min="4" max="193" width="11.42578125" customWidth="1"/>
    <col min="194" max="194" width="44.140625" customWidth="1"/>
    <col min="195" max="195" width="30" customWidth="1"/>
    <col min="196" max="196" width="4.85546875" customWidth="1"/>
    <col min="197" max="197" width="2.28515625" customWidth="1"/>
    <col min="198" max="202" width="0" hidden="1" customWidth="1"/>
    <col min="203" max="203" width="0.42578125" customWidth="1"/>
    <col min="204" max="211" width="3.85546875" customWidth="1"/>
    <col min="212" max="212" width="0.42578125" customWidth="1"/>
    <col min="213" max="213" width="3" customWidth="1"/>
    <col min="214" max="220" width="3.140625" customWidth="1"/>
    <col min="221" max="221" width="0.42578125" customWidth="1"/>
    <col min="222" max="229" width="3.140625" customWidth="1"/>
    <col min="230" max="230" width="0.42578125" customWidth="1"/>
    <col min="231" max="236" width="3.140625" customWidth="1"/>
    <col min="237" max="237" width="3.28515625" customWidth="1"/>
    <col min="238" max="238" width="3.7109375" customWidth="1"/>
    <col min="239" max="239" width="0.85546875" customWidth="1"/>
    <col min="240" max="246" width="3.140625" customWidth="1"/>
    <col min="247" max="247" width="0.42578125" customWidth="1"/>
    <col min="248" max="255" width="3.140625" customWidth="1"/>
  </cols>
  <sheetData>
    <row r="1" spans="1:8">
      <c r="A1" s="457"/>
      <c r="B1" s="458"/>
      <c r="C1" s="458"/>
    </row>
    <row r="2" spans="1:8" ht="15.75">
      <c r="A2" s="6" t="s">
        <v>0</v>
      </c>
      <c r="B2" s="71" t="s">
        <v>428</v>
      </c>
      <c r="C2" s="459" t="s">
        <v>2</v>
      </c>
    </row>
    <row r="3" spans="1:8" ht="15">
      <c r="A3" s="6"/>
      <c r="B3" s="71" t="s">
        <v>706</v>
      </c>
      <c r="C3" s="27"/>
    </row>
    <row r="4" spans="1:8" ht="15">
      <c r="A4" s="6" t="s">
        <v>4</v>
      </c>
      <c r="B4" s="72">
        <v>0.1</v>
      </c>
      <c r="C4" s="9"/>
    </row>
    <row r="5" spans="1:8" ht="12.75" customHeight="1">
      <c r="C5" s="9"/>
    </row>
    <row r="6" spans="1:8" ht="23.25">
      <c r="A6" s="11" t="s">
        <v>5</v>
      </c>
      <c r="B6" s="74">
        <v>20</v>
      </c>
      <c r="C6" s="9"/>
    </row>
    <row r="7" spans="1:8" ht="24" customHeight="1">
      <c r="A7" s="12" t="s">
        <v>6</v>
      </c>
      <c r="B7" s="75" t="s">
        <v>707</v>
      </c>
      <c r="C7" s="9"/>
    </row>
    <row r="8" spans="1:8" ht="24" customHeight="1">
      <c r="A8" s="14" t="s">
        <v>708</v>
      </c>
      <c r="B8" s="64">
        <v>7086</v>
      </c>
      <c r="C8" s="9"/>
    </row>
    <row r="9" spans="1:8" ht="24" customHeight="1">
      <c r="A9" s="14" t="s">
        <v>133</v>
      </c>
      <c r="B9" s="64">
        <v>4236</v>
      </c>
      <c r="C9" s="9"/>
      <c r="D9" s="16"/>
      <c r="E9" s="16"/>
      <c r="F9" s="16"/>
      <c r="G9" s="16"/>
      <c r="H9" s="16"/>
    </row>
    <row r="10" spans="1:8" ht="24" customHeight="1">
      <c r="A10" s="14" t="s">
        <v>116</v>
      </c>
      <c r="B10" s="64">
        <f>B9</f>
        <v>4236</v>
      </c>
      <c r="C10" s="9"/>
      <c r="D10" s="16"/>
      <c r="E10" s="16"/>
      <c r="F10" s="16"/>
      <c r="G10" s="16"/>
      <c r="H10" s="16"/>
    </row>
    <row r="11" spans="1:8" ht="24" customHeight="1">
      <c r="A11" s="14" t="s">
        <v>709</v>
      </c>
      <c r="B11" s="64">
        <v>0</v>
      </c>
      <c r="C11" s="9"/>
      <c r="D11" s="16"/>
      <c r="E11" s="16"/>
      <c r="F11" s="16"/>
      <c r="G11" s="16"/>
      <c r="H11" s="16"/>
    </row>
    <row r="12" spans="1:8" ht="24" customHeight="1">
      <c r="A12" s="14" t="s">
        <v>710</v>
      </c>
      <c r="B12" s="64">
        <v>1200</v>
      </c>
      <c r="C12" s="9"/>
      <c r="D12" s="16"/>
      <c r="E12" s="16"/>
      <c r="F12" s="16"/>
      <c r="G12" s="16"/>
      <c r="H12" s="16"/>
    </row>
    <row r="13" spans="1:8" ht="24" customHeight="1">
      <c r="A13" s="14" t="s">
        <v>711</v>
      </c>
      <c r="B13" s="64">
        <v>0</v>
      </c>
      <c r="C13" s="9"/>
      <c r="D13" s="16"/>
      <c r="E13" s="16"/>
      <c r="F13" s="16"/>
      <c r="G13" s="16"/>
      <c r="H13" s="16"/>
    </row>
    <row r="14" spans="1:8" ht="24" customHeight="1">
      <c r="A14" s="14" t="s">
        <v>712</v>
      </c>
      <c r="B14" s="64">
        <v>750</v>
      </c>
      <c r="C14" s="9"/>
      <c r="D14" s="16"/>
      <c r="E14" s="16"/>
      <c r="F14" s="16"/>
      <c r="G14" s="16"/>
      <c r="H14" s="16"/>
    </row>
    <row r="15" spans="1:8" ht="24" customHeight="1">
      <c r="A15" s="14" t="s">
        <v>125</v>
      </c>
      <c r="B15" s="64">
        <v>493</v>
      </c>
      <c r="C15" s="9"/>
      <c r="D15" s="16"/>
      <c r="E15" s="16"/>
      <c r="F15" s="16"/>
      <c r="G15" s="16"/>
      <c r="H15" s="16"/>
    </row>
    <row r="16" spans="1:8" ht="24" customHeight="1">
      <c r="A16" s="14" t="s">
        <v>393</v>
      </c>
      <c r="B16" s="64">
        <v>161</v>
      </c>
      <c r="C16" s="9"/>
      <c r="D16" s="16"/>
      <c r="E16" s="16"/>
      <c r="F16" s="16"/>
      <c r="G16" s="16"/>
      <c r="H16" s="16"/>
    </row>
    <row r="17" spans="1:8" ht="24" customHeight="1">
      <c r="A17" s="14" t="s">
        <v>119</v>
      </c>
      <c r="B17" s="64">
        <v>0</v>
      </c>
      <c r="C17" s="9"/>
      <c r="D17" s="16"/>
      <c r="E17" s="16"/>
      <c r="F17" s="16"/>
      <c r="G17" s="16"/>
      <c r="H17" s="16"/>
    </row>
    <row r="18" spans="1:8" ht="24" customHeight="1">
      <c r="A18" s="14" t="s">
        <v>713</v>
      </c>
      <c r="B18" s="64">
        <v>0</v>
      </c>
      <c r="C18" s="9"/>
    </row>
    <row r="19" spans="1:8" ht="24" customHeight="1">
      <c r="A19" s="14" t="s">
        <v>714</v>
      </c>
      <c r="B19" s="64">
        <v>640</v>
      </c>
      <c r="C19" s="9"/>
    </row>
    <row r="20" spans="1:8" ht="24" customHeight="1">
      <c r="A20" s="14" t="s">
        <v>715</v>
      </c>
      <c r="B20" s="76">
        <v>0</v>
      </c>
      <c r="C20" s="9"/>
    </row>
    <row r="21" spans="1:8" ht="24" customHeight="1">
      <c r="A21" s="14" t="s">
        <v>716</v>
      </c>
      <c r="B21" s="64">
        <v>3600</v>
      </c>
      <c r="C21" s="9"/>
    </row>
    <row r="22" spans="1:8" ht="24" customHeight="1">
      <c r="A22" s="14" t="s">
        <v>717</v>
      </c>
      <c r="B22" s="64">
        <v>0</v>
      </c>
      <c r="C22" s="9"/>
    </row>
    <row r="23" spans="1:8" ht="24" customHeight="1">
      <c r="A23" s="14" t="s">
        <v>718</v>
      </c>
      <c r="B23" s="64">
        <v>2850</v>
      </c>
      <c r="C23" s="9"/>
    </row>
    <row r="24" spans="1:8" ht="24" customHeight="1">
      <c r="A24" s="14" t="s">
        <v>719</v>
      </c>
      <c r="B24" s="21">
        <v>0.5978</v>
      </c>
      <c r="C24" s="9"/>
    </row>
    <row r="25" spans="1:8" ht="24" customHeight="1">
      <c r="A25" s="14" t="s">
        <v>720</v>
      </c>
      <c r="B25" s="64">
        <v>0</v>
      </c>
      <c r="C25" s="9"/>
    </row>
    <row r="26" spans="1:8" ht="24" customHeight="1">
      <c r="A26" s="14" t="s">
        <v>721</v>
      </c>
      <c r="B26" s="64">
        <v>0</v>
      </c>
      <c r="C26" s="9"/>
    </row>
    <row r="27" spans="1:8" ht="24" customHeight="1">
      <c r="A27" s="14" t="s">
        <v>722</v>
      </c>
      <c r="B27" s="64">
        <v>0</v>
      </c>
      <c r="C27" s="9"/>
    </row>
    <row r="28" spans="1:8" ht="24" customHeight="1">
      <c r="A28" s="14" t="s">
        <v>723</v>
      </c>
      <c r="B28" s="64">
        <v>4</v>
      </c>
      <c r="C28" s="9"/>
    </row>
    <row r="29" spans="1:8" ht="24" customHeight="1">
      <c r="A29" s="14" t="s">
        <v>724</v>
      </c>
      <c r="B29" s="64">
        <v>0</v>
      </c>
      <c r="C29" s="9"/>
    </row>
    <row r="30" spans="1:8" ht="24" customHeight="1">
      <c r="A30" s="14" t="s">
        <v>725</v>
      </c>
      <c r="B30" s="64">
        <v>371</v>
      </c>
      <c r="C30" s="9"/>
    </row>
    <row r="31" spans="1:8" ht="24" customHeight="1">
      <c r="A31" s="14" t="s">
        <v>726</v>
      </c>
      <c r="B31" s="64">
        <v>717</v>
      </c>
      <c r="C31" s="9"/>
    </row>
    <row r="32" spans="1:8" ht="8.25" customHeight="1">
      <c r="A32" s="18"/>
      <c r="B32" s="20"/>
      <c r="C32" s="9"/>
    </row>
    <row r="33" spans="1:62" ht="24" customHeight="1">
      <c r="A33" s="14" t="s">
        <v>727</v>
      </c>
      <c r="B33" s="64">
        <v>2400</v>
      </c>
      <c r="C33" s="9"/>
    </row>
    <row r="34" spans="1:62" ht="24" customHeight="1">
      <c r="A34" s="14" t="s">
        <v>728</v>
      </c>
      <c r="B34" s="64">
        <v>0</v>
      </c>
      <c r="C34" s="9"/>
    </row>
    <row r="35" spans="1:62" ht="24" customHeight="1">
      <c r="A35" s="14" t="s">
        <v>729</v>
      </c>
      <c r="B35" s="21">
        <v>0</v>
      </c>
      <c r="C35" s="9"/>
    </row>
    <row r="36" spans="1:62" ht="24" customHeight="1">
      <c r="A36" s="14" t="s">
        <v>730</v>
      </c>
      <c r="B36" s="64">
        <v>0</v>
      </c>
      <c r="C36" s="9"/>
    </row>
    <row r="37" spans="1:62" ht="24" customHeight="1">
      <c r="A37" s="14" t="s">
        <v>731</v>
      </c>
      <c r="B37" s="64">
        <v>0</v>
      </c>
      <c r="C37" s="9"/>
    </row>
    <row r="38" spans="1:62" ht="24" customHeight="1">
      <c r="A38" s="14" t="s">
        <v>732</v>
      </c>
      <c r="B38" s="21">
        <v>0</v>
      </c>
      <c r="C38" s="9"/>
    </row>
    <row r="39" spans="1:62" ht="24" customHeight="1">
      <c r="B39" s="78"/>
      <c r="BB39" s="28"/>
      <c r="BC39" s="16"/>
      <c r="BD39" s="16"/>
      <c r="BE39" s="16"/>
      <c r="BF39" s="16"/>
      <c r="BG39" s="16"/>
      <c r="BH39" s="16"/>
      <c r="BI39" s="16"/>
      <c r="BJ39" s="16"/>
    </row>
    <row r="40" spans="1:62" ht="24" customHeight="1">
      <c r="A40" s="118" t="s">
        <v>317</v>
      </c>
      <c r="B40" s="119">
        <v>0</v>
      </c>
      <c r="C40" s="120"/>
    </row>
    <row r="41" spans="1:62" ht="24" customHeight="1">
      <c r="A41" s="118" t="s">
        <v>733</v>
      </c>
      <c r="B41" s="119">
        <v>0</v>
      </c>
      <c r="C41" s="120"/>
    </row>
    <row r="42" spans="1:62" ht="24" customHeight="1">
      <c r="B42" s="78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 ht="24" customHeight="1">
      <c r="A43" s="14" t="s">
        <v>734</v>
      </c>
      <c r="B43" s="115">
        <v>0</v>
      </c>
      <c r="C43" s="9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14" t="s">
        <v>735</v>
      </c>
      <c r="B44" s="115">
        <v>2</v>
      </c>
      <c r="C44" s="9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24" customHeight="1">
      <c r="A45" s="14" t="s">
        <v>736</v>
      </c>
      <c r="B45" s="115">
        <v>5</v>
      </c>
      <c r="C45" s="9"/>
      <c r="BB45" s="16"/>
      <c r="BC45" s="16"/>
      <c r="BD45" s="16"/>
      <c r="BE45" s="16"/>
      <c r="BF45" s="16"/>
      <c r="BG45" s="16"/>
      <c r="BH45" s="16"/>
      <c r="BI45" s="16"/>
      <c r="BJ45" s="16"/>
    </row>
    <row r="46" spans="1:62" ht="24" customHeight="1">
      <c r="A46" s="66" t="s">
        <v>737</v>
      </c>
      <c r="B46" s="460">
        <v>3</v>
      </c>
      <c r="C46" s="27"/>
    </row>
    <row r="47" spans="1:62" ht="24" customHeight="1">
      <c r="A47" s="14" t="s">
        <v>738</v>
      </c>
      <c r="B47" s="461">
        <v>0</v>
      </c>
      <c r="C47" s="9"/>
    </row>
    <row r="48" spans="1:62" ht="24" customHeight="1">
      <c r="A48" s="14" t="s">
        <v>739</v>
      </c>
      <c r="B48" s="461">
        <v>0</v>
      </c>
      <c r="C48" s="9"/>
    </row>
    <row r="49" spans="1:3" ht="24" customHeight="1">
      <c r="A49" s="66" t="s">
        <v>740</v>
      </c>
      <c r="B49" s="64">
        <v>10</v>
      </c>
      <c r="C49" s="9"/>
    </row>
    <row r="50" spans="1:3" ht="24" customHeight="1">
      <c r="A50" s="14" t="s">
        <v>741</v>
      </c>
      <c r="B50" s="64">
        <v>1200</v>
      </c>
      <c r="C50" s="9"/>
    </row>
    <row r="51" spans="1:3" ht="24" customHeight="1">
      <c r="A51" s="14" t="s">
        <v>742</v>
      </c>
      <c r="B51" s="64">
        <v>120</v>
      </c>
      <c r="C51" s="9"/>
    </row>
  </sheetData>
  <sheetProtection selectLockedCells="1" selectUnlockedCells="1"/>
  <printOptions horizontalCentered="1" verticalCentered="1"/>
  <pageMargins left="0" right="0" top="0.51180555555555551" bottom="0.51180555555555551" header="0.51180555555555551" footer="0.51180555555555551"/>
  <pageSetup paperSize="9" scale="71" firstPageNumber="0" orientation="portrait" horizontalDpi="300" verticalDpi="300" r:id="rId1"/>
  <headerFooter alignWithMargins="0">
    <oddHeader>&amp;C&amp;"Lucida Grande,Normal"&amp;14METER READING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BJ100"/>
  <sheetViews>
    <sheetView workbookViewId="0">
      <selection activeCell="H89" sqref="H89"/>
    </sheetView>
  </sheetViews>
  <sheetFormatPr defaultColWidth="11" defaultRowHeight="14.25"/>
  <cols>
    <col min="1" max="1" width="49.28515625" style="1" customWidth="1"/>
    <col min="2" max="2" width="21.85546875" style="2" customWidth="1"/>
    <col min="3" max="3" width="22" customWidth="1"/>
    <col min="4" max="5" width="14.8554687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 t="s">
        <v>36</v>
      </c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/>
      <c r="C3" s="9"/>
    </row>
    <row r="4" spans="1:10" ht="22.5" customHeight="1">
      <c r="A4" s="6" t="s">
        <v>4</v>
      </c>
      <c r="B4" s="10">
        <v>1</v>
      </c>
      <c r="C4" s="9"/>
    </row>
    <row r="5" spans="1:10" ht="5.25" customHeight="1">
      <c r="C5" s="9"/>
    </row>
    <row r="6" spans="1:10" ht="30" customHeight="1">
      <c r="A6" s="11" t="s">
        <v>5</v>
      </c>
      <c r="B6" s="38">
        <v>62</v>
      </c>
      <c r="C6" s="9"/>
    </row>
    <row r="7" spans="1:10" ht="36" customHeight="1">
      <c r="A7" s="12" t="s">
        <v>6</v>
      </c>
      <c r="B7" s="13" t="s">
        <v>743</v>
      </c>
      <c r="C7" s="9"/>
    </row>
    <row r="8" spans="1:10" ht="24" customHeight="1">
      <c r="A8" s="40" t="s">
        <v>76</v>
      </c>
      <c r="B8" s="41">
        <v>67525.759999999995</v>
      </c>
      <c r="C8" s="14"/>
    </row>
    <row r="9" spans="1:10" ht="24" customHeight="1">
      <c r="A9" s="40" t="s">
        <v>333</v>
      </c>
      <c r="B9" s="41">
        <v>61167.46</v>
      </c>
      <c r="C9" s="14"/>
    </row>
    <row r="10" spans="1:10" ht="24" customHeight="1">
      <c r="A10" s="40" t="s">
        <v>334</v>
      </c>
      <c r="B10" s="41">
        <f>B9</f>
        <v>61167.46</v>
      </c>
      <c r="C10" s="14"/>
    </row>
    <row r="11" spans="1:10" ht="24" customHeight="1">
      <c r="A11" s="40" t="s">
        <v>90</v>
      </c>
      <c r="B11" s="41">
        <v>13634</v>
      </c>
      <c r="C11" s="14"/>
    </row>
    <row r="12" spans="1:10" ht="24" customHeight="1">
      <c r="A12" s="40" t="s">
        <v>335</v>
      </c>
      <c r="B12" s="41">
        <v>0</v>
      </c>
      <c r="C12" s="14"/>
    </row>
    <row r="13" spans="1:10" ht="24" customHeight="1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4" customHeight="1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4" customHeight="1">
      <c r="A15" s="40" t="s">
        <v>338</v>
      </c>
      <c r="B15" s="45">
        <v>260315</v>
      </c>
      <c r="C15" s="9"/>
      <c r="D15" s="16"/>
      <c r="E15" s="16"/>
      <c r="F15" s="16"/>
      <c r="G15" s="16"/>
    </row>
    <row r="16" spans="1:10" ht="24" customHeight="1">
      <c r="A16" s="40" t="s">
        <v>339</v>
      </c>
      <c r="B16" s="45">
        <v>65426</v>
      </c>
      <c r="C16" s="9"/>
      <c r="D16" s="16"/>
      <c r="E16" s="16"/>
      <c r="F16" s="16"/>
      <c r="G16" s="16"/>
    </row>
    <row r="17" spans="1:7" ht="24" customHeight="1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4" customHeight="1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4" customHeight="1">
      <c r="A19" s="40" t="s">
        <v>342</v>
      </c>
      <c r="B19" s="45">
        <v>573</v>
      </c>
      <c r="C19" s="9"/>
    </row>
    <row r="20" spans="1:7" ht="24" customHeight="1">
      <c r="A20" s="40" t="s">
        <v>343</v>
      </c>
      <c r="B20" s="228">
        <v>1907</v>
      </c>
      <c r="C20" s="9"/>
    </row>
    <row r="21" spans="1:7" ht="24" customHeight="1">
      <c r="A21" s="40" t="s">
        <v>72</v>
      </c>
      <c r="B21" s="224">
        <v>0</v>
      </c>
      <c r="C21" s="65"/>
    </row>
    <row r="22" spans="1:7" ht="24" customHeight="1">
      <c r="A22" s="40" t="s">
        <v>344</v>
      </c>
      <c r="B22" s="224">
        <v>0</v>
      </c>
      <c r="C22" s="62"/>
    </row>
    <row r="23" spans="1:7" ht="24" customHeight="1">
      <c r="A23" s="158" t="s">
        <v>71</v>
      </c>
      <c r="B23" s="159">
        <v>36639.49</v>
      </c>
      <c r="C23" s="159">
        <f>B23-B41</f>
        <v>23005.489999999998</v>
      </c>
      <c r="F23" s="43">
        <f>+B23-B41</f>
        <v>23005.489999999998</v>
      </c>
    </row>
    <row r="24" spans="1:7" ht="24" customHeight="1">
      <c r="A24" s="158" t="s">
        <v>81</v>
      </c>
      <c r="B24" s="159">
        <v>31281.19</v>
      </c>
      <c r="C24" s="162"/>
    </row>
    <row r="25" spans="1:7" ht="24" customHeight="1">
      <c r="A25" s="40" t="s">
        <v>345</v>
      </c>
      <c r="B25" s="229">
        <v>12288.38</v>
      </c>
      <c r="C25" s="27"/>
    </row>
    <row r="26" spans="1:7" ht="24" customHeight="1">
      <c r="A26" s="40" t="s">
        <v>346</v>
      </c>
      <c r="B26" s="44">
        <v>0.81799999999999995</v>
      </c>
      <c r="C26" s="9"/>
    </row>
    <row r="27" spans="1:7" ht="24" customHeight="1">
      <c r="A27" s="40" t="s">
        <v>347</v>
      </c>
      <c r="B27" s="44">
        <f>B26</f>
        <v>0.81799999999999995</v>
      </c>
      <c r="C27" s="9"/>
    </row>
    <row r="28" spans="1:7" ht="24" customHeight="1">
      <c r="A28" s="40" t="s">
        <v>348</v>
      </c>
      <c r="B28" s="45">
        <v>0</v>
      </c>
      <c r="C28" s="20"/>
    </row>
    <row r="29" spans="1:7" ht="24" customHeight="1">
      <c r="A29" s="40" t="s">
        <v>349</v>
      </c>
      <c r="B29" s="45">
        <v>0</v>
      </c>
      <c r="C29" s="9"/>
    </row>
    <row r="30" spans="1:7" ht="24" customHeight="1">
      <c r="A30" s="40" t="s">
        <v>350</v>
      </c>
      <c r="B30" s="45">
        <v>5312</v>
      </c>
      <c r="C30" s="9"/>
    </row>
    <row r="31" spans="1:7" ht="24" customHeight="1">
      <c r="A31" s="40" t="s">
        <v>351</v>
      </c>
      <c r="B31" s="45">
        <v>0</v>
      </c>
      <c r="C31" s="24"/>
    </row>
    <row r="32" spans="1:7" ht="24" customHeight="1">
      <c r="A32" s="40" t="s">
        <v>352</v>
      </c>
      <c r="B32" s="45">
        <v>0</v>
      </c>
      <c r="C32" s="9"/>
    </row>
    <row r="33" spans="1:62" ht="24" customHeight="1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40" t="s">
        <v>354</v>
      </c>
      <c r="B34" s="45">
        <v>904</v>
      </c>
      <c r="C34" s="27"/>
    </row>
    <row r="35" spans="1:62" ht="24" customHeight="1">
      <c r="A35" s="40" t="s">
        <v>355</v>
      </c>
      <c r="B35" s="45">
        <f>B34</f>
        <v>904</v>
      </c>
      <c r="C35" s="9"/>
    </row>
    <row r="36" spans="1:62" ht="24" customHeight="1">
      <c r="A36" s="40" t="s">
        <v>356</v>
      </c>
      <c r="B36" s="45">
        <v>740</v>
      </c>
      <c r="C36" s="9"/>
    </row>
    <row r="37" spans="1:62" ht="24" customHeight="1">
      <c r="A37" s="40" t="s">
        <v>357</v>
      </c>
      <c r="B37" s="44">
        <v>0</v>
      </c>
      <c r="C37" s="9"/>
    </row>
    <row r="38" spans="1:62" ht="24" customHeight="1">
      <c r="A38" s="40" t="s">
        <v>358</v>
      </c>
      <c r="B38" s="41">
        <v>0</v>
      </c>
      <c r="C38" s="9"/>
    </row>
    <row r="39" spans="1:62" ht="24" customHeight="1">
      <c r="A39" s="40" t="s">
        <v>359</v>
      </c>
      <c r="B39" s="41">
        <v>0</v>
      </c>
      <c r="C39" s="9"/>
    </row>
    <row r="40" spans="1:62" ht="24" customHeight="1">
      <c r="A40" s="40" t="s">
        <v>360</v>
      </c>
      <c r="B40" s="44">
        <v>0</v>
      </c>
      <c r="C40" s="9"/>
    </row>
    <row r="41" spans="1:62" ht="24" customHeight="1">
      <c r="A41" s="40" t="s">
        <v>361</v>
      </c>
      <c r="B41" s="51">
        <v>13634</v>
      </c>
      <c r="C41" s="24"/>
    </row>
    <row r="42" spans="1:62" ht="24" customHeight="1">
      <c r="A42" s="40" t="s">
        <v>362</v>
      </c>
      <c r="B42" s="45">
        <v>848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>
      <c r="B43" s="2" t="s">
        <v>478</v>
      </c>
    </row>
    <row r="45" spans="1:62" ht="23.25">
      <c r="A45" s="168" t="s">
        <v>371</v>
      </c>
      <c r="B45" s="169"/>
    </row>
    <row r="46" spans="1:62" ht="23.25">
      <c r="A46" s="421" t="s">
        <v>744</v>
      </c>
      <c r="B46" s="169"/>
    </row>
    <row r="47" spans="1:62" ht="23.25">
      <c r="A47" s="40" t="s">
        <v>374</v>
      </c>
      <c r="B47" s="47">
        <v>0</v>
      </c>
    </row>
    <row r="48" spans="1:62" ht="23.25">
      <c r="A48" s="40" t="s">
        <v>375</v>
      </c>
      <c r="B48" s="47">
        <v>0</v>
      </c>
    </row>
    <row r="49" spans="1:2" ht="23.25">
      <c r="A49" s="171" t="s">
        <v>376</v>
      </c>
      <c r="B49" s="47">
        <v>2639.31</v>
      </c>
    </row>
    <row r="50" spans="1:2" ht="23.25">
      <c r="A50" s="40" t="s">
        <v>377</v>
      </c>
      <c r="B50" s="47">
        <v>1500</v>
      </c>
    </row>
    <row r="51" spans="1:2" ht="23.25">
      <c r="A51" s="40" t="s">
        <v>378</v>
      </c>
      <c r="B51" s="47">
        <v>0</v>
      </c>
    </row>
    <row r="52" spans="1:2" ht="23.25">
      <c r="A52" s="40" t="s">
        <v>379</v>
      </c>
      <c r="B52" s="47">
        <v>0</v>
      </c>
    </row>
    <row r="53" spans="1:2" ht="23.25">
      <c r="A53" s="40" t="s">
        <v>380</v>
      </c>
      <c r="B53" s="47">
        <v>0</v>
      </c>
    </row>
    <row r="54" spans="1:2" ht="23.25">
      <c r="A54" s="40" t="s">
        <v>381</v>
      </c>
      <c r="B54" s="47">
        <v>0</v>
      </c>
    </row>
    <row r="55" spans="1:2" ht="23.25">
      <c r="A55" s="40" t="s">
        <v>382</v>
      </c>
      <c r="B55" s="47">
        <v>0</v>
      </c>
    </row>
    <row r="56" spans="1:2" ht="23.25">
      <c r="A56" s="40" t="s">
        <v>383</v>
      </c>
      <c r="B56" s="47">
        <v>0</v>
      </c>
    </row>
    <row r="57" spans="1:2" ht="23.25">
      <c r="A57" s="40" t="s">
        <v>384</v>
      </c>
      <c r="B57" s="47">
        <v>0</v>
      </c>
    </row>
    <row r="58" spans="1:2" ht="23.25">
      <c r="A58" s="173"/>
      <c r="B58" s="46"/>
    </row>
    <row r="59" spans="1:2" ht="23.25">
      <c r="A59" s="170" t="s">
        <v>745</v>
      </c>
      <c r="B59" s="174"/>
    </row>
    <row r="60" spans="1:2" ht="23.25">
      <c r="A60" s="40" t="s">
        <v>374</v>
      </c>
      <c r="B60" s="47">
        <v>57</v>
      </c>
    </row>
    <row r="61" spans="1:2" ht="23.25">
      <c r="A61" s="40" t="s">
        <v>375</v>
      </c>
      <c r="B61" s="47">
        <v>6029.09</v>
      </c>
    </row>
    <row r="62" spans="1:2" ht="23.25">
      <c r="A62" s="171" t="s">
        <v>376</v>
      </c>
      <c r="B62" s="47">
        <v>129.99</v>
      </c>
    </row>
    <row r="63" spans="1:2" ht="23.25">
      <c r="A63" s="40" t="s">
        <v>377</v>
      </c>
      <c r="B63" s="47">
        <v>80</v>
      </c>
    </row>
    <row r="64" spans="1:2" ht="23.25">
      <c r="A64" s="40" t="s">
        <v>378</v>
      </c>
      <c r="B64" s="47">
        <v>0</v>
      </c>
    </row>
    <row r="65" spans="1:2" ht="23.25">
      <c r="A65" s="40" t="s">
        <v>379</v>
      </c>
      <c r="B65" s="47">
        <v>0</v>
      </c>
    </row>
    <row r="66" spans="1:2" ht="23.25">
      <c r="A66" s="40" t="s">
        <v>380</v>
      </c>
      <c r="B66" s="47">
        <v>0</v>
      </c>
    </row>
    <row r="67" spans="1:2" ht="23.25">
      <c r="A67" s="40" t="s">
        <v>381</v>
      </c>
      <c r="B67" s="47">
        <v>0</v>
      </c>
    </row>
    <row r="68" spans="1:2" ht="23.25">
      <c r="A68" s="40" t="s">
        <v>382</v>
      </c>
      <c r="B68" s="47">
        <v>0</v>
      </c>
    </row>
    <row r="69" spans="1:2" ht="23.25">
      <c r="A69" s="40" t="s">
        <v>383</v>
      </c>
      <c r="B69" s="47">
        <v>171.48</v>
      </c>
    </row>
    <row r="70" spans="1:2" ht="23.25">
      <c r="A70" s="40" t="s">
        <v>384</v>
      </c>
      <c r="B70" s="47">
        <v>80.05</v>
      </c>
    </row>
    <row r="71" spans="1:2" ht="23.25">
      <c r="A71" s="173"/>
      <c r="B71" s="46"/>
    </row>
    <row r="72" spans="1:2" ht="23.25">
      <c r="A72" s="170" t="s">
        <v>746</v>
      </c>
      <c r="B72" s="174"/>
    </row>
    <row r="73" spans="1:2" ht="23.25">
      <c r="A73" s="40" t="s">
        <v>374</v>
      </c>
      <c r="B73" s="47">
        <v>137</v>
      </c>
    </row>
    <row r="74" spans="1:2" ht="23.25">
      <c r="A74" s="40" t="s">
        <v>375</v>
      </c>
      <c r="B74" s="47">
        <v>9380.2000000000007</v>
      </c>
    </row>
    <row r="75" spans="1:2" ht="23.25">
      <c r="A75" s="171" t="s">
        <v>376</v>
      </c>
      <c r="B75" s="47">
        <v>21.09</v>
      </c>
    </row>
    <row r="76" spans="1:2" ht="23.25">
      <c r="A76" s="40" t="s">
        <v>377</v>
      </c>
      <c r="B76" s="47">
        <v>20</v>
      </c>
    </row>
    <row r="77" spans="1:2" ht="23.25">
      <c r="A77" s="40" t="s">
        <v>378</v>
      </c>
      <c r="B77" s="47">
        <v>0</v>
      </c>
    </row>
    <row r="78" spans="1:2" ht="23.25">
      <c r="A78" s="40" t="s">
        <v>379</v>
      </c>
      <c r="B78" s="47">
        <v>0</v>
      </c>
    </row>
    <row r="79" spans="1:2" ht="23.25">
      <c r="A79" s="40" t="s">
        <v>380</v>
      </c>
      <c r="B79" s="47">
        <v>0</v>
      </c>
    </row>
    <row r="80" spans="1:2" ht="23.25">
      <c r="A80" s="40" t="s">
        <v>381</v>
      </c>
      <c r="B80" s="47">
        <v>0</v>
      </c>
    </row>
    <row r="81" spans="1:2" ht="23.25">
      <c r="A81" s="40" t="s">
        <v>382</v>
      </c>
      <c r="B81" s="47">
        <v>0</v>
      </c>
    </row>
    <row r="82" spans="1:2" ht="23.25">
      <c r="A82" s="40" t="s">
        <v>383</v>
      </c>
      <c r="B82" s="47">
        <v>42.16</v>
      </c>
    </row>
    <row r="83" spans="1:2" ht="23.25">
      <c r="A83" s="40" t="s">
        <v>384</v>
      </c>
      <c r="B83" s="47">
        <v>20</v>
      </c>
    </row>
    <row r="84" spans="1:2" ht="23.25">
      <c r="A84" s="173"/>
      <c r="B84" s="46"/>
    </row>
    <row r="85" spans="1:2" ht="23.25">
      <c r="A85" s="170" t="s">
        <v>747</v>
      </c>
      <c r="B85" s="174"/>
    </row>
    <row r="86" spans="1:2" ht="23.25">
      <c r="A86" s="40" t="s">
        <v>374</v>
      </c>
      <c r="B86" s="47">
        <v>29</v>
      </c>
    </row>
    <row r="87" spans="1:2" ht="23.25">
      <c r="A87" s="40" t="s">
        <v>375</v>
      </c>
      <c r="B87" s="47">
        <v>4674.3999999999996</v>
      </c>
    </row>
    <row r="88" spans="1:2" ht="23.25">
      <c r="A88" s="171" t="s">
        <v>376</v>
      </c>
      <c r="B88" s="47">
        <v>4.4800000000000004</v>
      </c>
    </row>
    <row r="89" spans="1:2" ht="23.25">
      <c r="A89" s="40" t="s">
        <v>377</v>
      </c>
      <c r="B89" s="47">
        <v>3</v>
      </c>
    </row>
    <row r="90" spans="1:2" ht="23.25">
      <c r="A90" s="40" t="s">
        <v>378</v>
      </c>
      <c r="B90" s="47">
        <v>0</v>
      </c>
    </row>
    <row r="91" spans="1:2" ht="23.25">
      <c r="A91" s="40" t="s">
        <v>379</v>
      </c>
      <c r="B91" s="47">
        <v>0</v>
      </c>
    </row>
    <row r="92" spans="1:2" ht="23.25">
      <c r="A92" s="40" t="s">
        <v>380</v>
      </c>
      <c r="B92" s="47">
        <v>0</v>
      </c>
    </row>
    <row r="93" spans="1:2" ht="23.25">
      <c r="A93" s="40" t="s">
        <v>381</v>
      </c>
      <c r="B93" s="47">
        <v>0</v>
      </c>
    </row>
    <row r="94" spans="1:2" ht="23.25">
      <c r="A94" s="40" t="s">
        <v>382</v>
      </c>
      <c r="B94" s="47">
        <v>0</v>
      </c>
    </row>
    <row r="95" spans="1:2" ht="23.25">
      <c r="A95" s="40" t="s">
        <v>383</v>
      </c>
      <c r="B95" s="47">
        <v>19.98</v>
      </c>
    </row>
    <row r="96" spans="1:2" ht="23.25">
      <c r="A96" s="40" t="s">
        <v>384</v>
      </c>
      <c r="B96" s="47">
        <v>3</v>
      </c>
    </row>
    <row r="100" spans="2:2">
      <c r="B100" s="2" t="s">
        <v>36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BJ43"/>
  <sheetViews>
    <sheetView workbookViewId="0">
      <selection activeCell="H89" sqref="H89"/>
    </sheetView>
  </sheetViews>
  <sheetFormatPr defaultColWidth="11" defaultRowHeight="14.25"/>
  <cols>
    <col min="1" max="1" width="49.28515625" style="1" customWidth="1"/>
    <col min="2" max="2" width="21" style="2" customWidth="1"/>
    <col min="3" max="3" width="22" customWidth="1"/>
    <col min="4" max="5" width="14.8554687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/>
      <c r="C3" s="9"/>
    </row>
    <row r="4" spans="1:10" ht="15">
      <c r="A4" s="6" t="s">
        <v>4</v>
      </c>
      <c r="B4" s="10">
        <v>1</v>
      </c>
      <c r="C4" s="9"/>
    </row>
    <row r="5" spans="1:10">
      <c r="C5" s="9"/>
    </row>
    <row r="6" spans="1:10" ht="27.75" customHeight="1">
      <c r="A6" s="11" t="s">
        <v>5</v>
      </c>
      <c r="B6" s="38">
        <v>64</v>
      </c>
      <c r="C6" s="9"/>
    </row>
    <row r="7" spans="1:10" ht="30" customHeight="1">
      <c r="A7" s="12" t="s">
        <v>6</v>
      </c>
      <c r="B7" s="13" t="s">
        <v>743</v>
      </c>
      <c r="C7" s="9"/>
    </row>
    <row r="8" spans="1:10" ht="24" customHeight="1">
      <c r="A8" s="40" t="s">
        <v>76</v>
      </c>
      <c r="B8" s="41">
        <v>67580.75</v>
      </c>
      <c r="C8" s="14"/>
    </row>
    <row r="9" spans="1:10" ht="24" customHeight="1">
      <c r="A9" s="40" t="s">
        <v>333</v>
      </c>
      <c r="B9" s="41">
        <v>62070.29</v>
      </c>
      <c r="C9" s="14"/>
    </row>
    <row r="10" spans="1:10" ht="24" customHeight="1">
      <c r="A10" s="40" t="s">
        <v>334</v>
      </c>
      <c r="B10" s="41">
        <f>B9</f>
        <v>62070.29</v>
      </c>
      <c r="C10" s="14"/>
    </row>
    <row r="11" spans="1:10" ht="24" customHeight="1">
      <c r="A11" s="40" t="s">
        <v>90</v>
      </c>
      <c r="B11" s="41">
        <v>8293</v>
      </c>
      <c r="C11" s="14"/>
    </row>
    <row r="12" spans="1:10" ht="24" customHeight="1">
      <c r="A12" s="40" t="s">
        <v>335</v>
      </c>
      <c r="B12" s="41">
        <v>0</v>
      </c>
      <c r="C12" s="14"/>
    </row>
    <row r="13" spans="1:10" ht="24" customHeight="1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4" customHeight="1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4" customHeight="1">
      <c r="A15" s="40" t="s">
        <v>338</v>
      </c>
      <c r="B15" s="45">
        <v>246534</v>
      </c>
      <c r="C15" s="9"/>
      <c r="D15" s="16"/>
      <c r="E15" s="16"/>
      <c r="F15" s="16"/>
      <c r="G15" s="16"/>
    </row>
    <row r="16" spans="1:10" ht="24" customHeight="1">
      <c r="A16" s="40" t="s">
        <v>339</v>
      </c>
      <c r="B16" s="45">
        <v>52705</v>
      </c>
      <c r="C16" s="9"/>
      <c r="D16" s="16"/>
      <c r="E16" s="16"/>
      <c r="F16" s="16"/>
      <c r="G16" s="16"/>
    </row>
    <row r="17" spans="1:7" ht="24" customHeight="1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4" customHeight="1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4" customHeight="1">
      <c r="A19" s="40" t="s">
        <v>342</v>
      </c>
      <c r="B19" s="45">
        <v>471</v>
      </c>
      <c r="C19" s="9"/>
    </row>
    <row r="20" spans="1:7" ht="24" customHeight="1">
      <c r="A20" s="40" t="s">
        <v>343</v>
      </c>
      <c r="B20" s="228">
        <v>2059</v>
      </c>
      <c r="C20" s="9"/>
    </row>
    <row r="21" spans="1:7" ht="24" customHeight="1">
      <c r="A21" s="40" t="s">
        <v>72</v>
      </c>
      <c r="B21" s="224">
        <v>0</v>
      </c>
      <c r="C21" s="65"/>
    </row>
    <row r="22" spans="1:7" ht="24" customHeight="1">
      <c r="A22" s="40" t="s">
        <v>344</v>
      </c>
      <c r="B22" s="224">
        <v>0</v>
      </c>
      <c r="C22" s="62"/>
    </row>
    <row r="23" spans="1:7" ht="24" customHeight="1">
      <c r="A23" s="158" t="s">
        <v>71</v>
      </c>
      <c r="B23" s="159">
        <v>44828.77</v>
      </c>
      <c r="C23" s="159">
        <f>B23-B41</f>
        <v>36535.769999999997</v>
      </c>
      <c r="F23" s="43"/>
    </row>
    <row r="24" spans="1:7" ht="24" customHeight="1">
      <c r="A24" s="158" t="s">
        <v>81</v>
      </c>
      <c r="B24" s="159">
        <v>39318.31</v>
      </c>
      <c r="C24" s="162"/>
    </row>
    <row r="25" spans="1:7" ht="24" customHeight="1">
      <c r="A25" s="40" t="s">
        <v>345</v>
      </c>
      <c r="B25" s="229">
        <v>11787.49</v>
      </c>
      <c r="C25" s="27"/>
    </row>
    <row r="26" spans="1:7" ht="24" customHeight="1">
      <c r="A26" s="40" t="s">
        <v>346</v>
      </c>
      <c r="B26" s="44">
        <v>0.82550000000000001</v>
      </c>
      <c r="C26" s="9"/>
    </row>
    <row r="27" spans="1:7" ht="24" customHeight="1">
      <c r="A27" s="40" t="s">
        <v>347</v>
      </c>
      <c r="B27" s="44">
        <f>B26</f>
        <v>0.82550000000000001</v>
      </c>
      <c r="C27" s="9"/>
    </row>
    <row r="28" spans="1:7" ht="24" customHeight="1">
      <c r="A28" s="40" t="s">
        <v>348</v>
      </c>
      <c r="B28" s="45">
        <v>0</v>
      </c>
      <c r="C28" s="20"/>
    </row>
    <row r="29" spans="1:7" ht="24" customHeight="1">
      <c r="A29" s="40" t="s">
        <v>349</v>
      </c>
      <c r="B29" s="45">
        <v>0</v>
      </c>
      <c r="C29" s="9"/>
    </row>
    <row r="30" spans="1:7" ht="24" customHeight="1">
      <c r="A30" s="40" t="s">
        <v>350</v>
      </c>
      <c r="B30" s="45">
        <v>1733</v>
      </c>
      <c r="C30" s="9"/>
    </row>
    <row r="31" spans="1:7" ht="24" customHeight="1">
      <c r="A31" s="40" t="s">
        <v>351</v>
      </c>
      <c r="B31" s="45">
        <v>0</v>
      </c>
      <c r="C31" s="24"/>
    </row>
    <row r="32" spans="1:7" ht="24" customHeight="1">
      <c r="A32" s="40" t="s">
        <v>352</v>
      </c>
      <c r="B32" s="45">
        <v>24</v>
      </c>
      <c r="C32" s="9"/>
    </row>
    <row r="33" spans="1:62" ht="24" customHeight="1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40" t="s">
        <v>354</v>
      </c>
      <c r="B34" s="45">
        <v>2557</v>
      </c>
      <c r="C34" s="27"/>
    </row>
    <row r="35" spans="1:62" ht="24" customHeight="1">
      <c r="A35" s="40" t="s">
        <v>355</v>
      </c>
      <c r="B35" s="45">
        <f>B34</f>
        <v>2557</v>
      </c>
      <c r="C35" s="9"/>
    </row>
    <row r="36" spans="1:62" ht="24" customHeight="1">
      <c r="A36" s="40" t="s">
        <v>356</v>
      </c>
      <c r="B36" s="45">
        <v>741</v>
      </c>
      <c r="C36" s="9"/>
    </row>
    <row r="37" spans="1:62" ht="24" customHeight="1">
      <c r="A37" s="40" t="s">
        <v>357</v>
      </c>
      <c r="B37" s="44">
        <v>0</v>
      </c>
      <c r="C37" s="9"/>
    </row>
    <row r="38" spans="1:62" ht="24" customHeight="1">
      <c r="A38" s="40" t="s">
        <v>358</v>
      </c>
      <c r="B38" s="41">
        <v>0</v>
      </c>
      <c r="C38" s="9"/>
    </row>
    <row r="39" spans="1:62" ht="24" customHeight="1">
      <c r="A39" s="40" t="s">
        <v>359</v>
      </c>
      <c r="B39" s="41">
        <v>0</v>
      </c>
      <c r="C39" s="9"/>
    </row>
    <row r="40" spans="1:62" ht="24" customHeight="1">
      <c r="A40" s="40" t="s">
        <v>360</v>
      </c>
      <c r="B40" s="44">
        <v>0</v>
      </c>
      <c r="C40" s="9"/>
    </row>
    <row r="41" spans="1:62" ht="24" customHeight="1">
      <c r="A41" s="40" t="s">
        <v>361</v>
      </c>
      <c r="B41" s="51">
        <v>8293</v>
      </c>
      <c r="C41" s="24"/>
    </row>
    <row r="42" spans="1:62" ht="24" customHeight="1">
      <c r="A42" s="40" t="s">
        <v>362</v>
      </c>
      <c r="B42" s="45">
        <v>545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  <row r="43" spans="1:62">
      <c r="B43" s="2" t="s">
        <v>104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BJ42"/>
  <sheetViews>
    <sheetView workbookViewId="0">
      <selection activeCell="H89" sqref="H89"/>
    </sheetView>
  </sheetViews>
  <sheetFormatPr defaultColWidth="11" defaultRowHeight="14.25"/>
  <cols>
    <col min="1" max="1" width="49.28515625" style="1" customWidth="1"/>
    <col min="2" max="2" width="22.140625" style="2" customWidth="1"/>
    <col min="3" max="3" width="22" customWidth="1"/>
    <col min="4" max="5" width="14.85546875" customWidth="1"/>
    <col min="6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10" ht="33.75" customHeight="1">
      <c r="A1" s="3"/>
      <c r="B1" s="4"/>
      <c r="C1" s="5"/>
      <c r="J1" t="s">
        <v>69</v>
      </c>
    </row>
    <row r="2" spans="1:10" ht="15">
      <c r="A2" s="6" t="s">
        <v>0</v>
      </c>
      <c r="B2" s="7" t="s">
        <v>70</v>
      </c>
      <c r="C2" s="8" t="s">
        <v>2</v>
      </c>
    </row>
    <row r="3" spans="1:10" ht="15">
      <c r="A3" s="6"/>
      <c r="B3" s="7"/>
      <c r="C3" s="9"/>
    </row>
    <row r="4" spans="1:10" ht="36.75" customHeight="1">
      <c r="A4" s="6" t="s">
        <v>4</v>
      </c>
      <c r="B4" s="10">
        <v>1</v>
      </c>
      <c r="C4" s="9"/>
    </row>
    <row r="5" spans="1:10">
      <c r="C5" s="9"/>
    </row>
    <row r="6" spans="1:10" ht="24" customHeight="1">
      <c r="A6" s="11" t="s">
        <v>5</v>
      </c>
      <c r="B6" s="38">
        <v>63</v>
      </c>
      <c r="C6" s="9"/>
    </row>
    <row r="7" spans="1:10" ht="27.75" customHeight="1">
      <c r="A7" s="12" t="s">
        <v>6</v>
      </c>
      <c r="B7" s="13" t="s">
        <v>743</v>
      </c>
      <c r="C7" s="9"/>
    </row>
    <row r="8" spans="1:10" ht="24" customHeight="1">
      <c r="A8" s="40" t="s">
        <v>76</v>
      </c>
      <c r="B8" s="41">
        <v>57565.68</v>
      </c>
      <c r="C8" s="14"/>
    </row>
    <row r="9" spans="1:10" ht="24" customHeight="1">
      <c r="A9" s="40" t="s">
        <v>333</v>
      </c>
      <c r="B9" s="41">
        <v>53889.01</v>
      </c>
      <c r="C9" s="14"/>
    </row>
    <row r="10" spans="1:10" ht="24" customHeight="1">
      <c r="A10" s="40" t="s">
        <v>334</v>
      </c>
      <c r="B10" s="41">
        <f>B9</f>
        <v>53889.01</v>
      </c>
      <c r="C10" s="14"/>
    </row>
    <row r="11" spans="1:10" ht="23.25" customHeight="1">
      <c r="A11" s="40" t="s">
        <v>90</v>
      </c>
      <c r="B11" s="41">
        <v>12587</v>
      </c>
      <c r="C11" s="14"/>
    </row>
    <row r="12" spans="1:10" ht="24" customHeight="1">
      <c r="A12" s="40" t="s">
        <v>335</v>
      </c>
      <c r="B12" s="41">
        <v>0</v>
      </c>
      <c r="C12" s="14"/>
    </row>
    <row r="13" spans="1:10" ht="24" customHeight="1">
      <c r="A13" s="40" t="s">
        <v>336</v>
      </c>
      <c r="B13" s="41">
        <v>0</v>
      </c>
      <c r="C13" s="9"/>
      <c r="D13" s="16"/>
      <c r="E13" s="16"/>
      <c r="F13" s="16"/>
      <c r="G13" s="16"/>
    </row>
    <row r="14" spans="1:10" ht="24" customHeight="1">
      <c r="A14" s="40" t="s">
        <v>337</v>
      </c>
      <c r="B14" s="41">
        <v>0</v>
      </c>
      <c r="C14" s="9"/>
      <c r="D14" s="16"/>
      <c r="E14" s="16"/>
      <c r="F14" s="16"/>
      <c r="G14" s="16"/>
    </row>
    <row r="15" spans="1:10" ht="24" customHeight="1">
      <c r="A15" s="40" t="s">
        <v>338</v>
      </c>
      <c r="B15" s="45">
        <v>276574</v>
      </c>
      <c r="C15" s="9"/>
      <c r="D15" s="16"/>
      <c r="E15" s="16"/>
      <c r="F15" s="16"/>
      <c r="G15" s="16"/>
    </row>
    <row r="16" spans="1:10" ht="24" customHeight="1">
      <c r="A16" s="40" t="s">
        <v>339</v>
      </c>
      <c r="B16" s="45">
        <v>64038</v>
      </c>
      <c r="C16" s="9"/>
      <c r="D16" s="16"/>
      <c r="E16" s="16"/>
      <c r="F16" s="16"/>
      <c r="G16" s="16"/>
    </row>
    <row r="17" spans="1:7" ht="24" customHeight="1">
      <c r="A17" s="40" t="s">
        <v>340</v>
      </c>
      <c r="B17" s="41">
        <v>0</v>
      </c>
      <c r="C17" s="9"/>
      <c r="D17" s="16"/>
      <c r="E17" s="16"/>
      <c r="F17" s="16"/>
      <c r="G17" s="16"/>
    </row>
    <row r="18" spans="1:7" ht="24" customHeight="1">
      <c r="A18" s="40" t="s">
        <v>341</v>
      </c>
      <c r="B18" s="41">
        <v>0</v>
      </c>
      <c r="C18" s="9"/>
      <c r="D18" s="16"/>
      <c r="E18" s="16"/>
      <c r="F18" s="16"/>
      <c r="G18" s="16"/>
    </row>
    <row r="19" spans="1:7" ht="24" customHeight="1">
      <c r="A19" s="40" t="s">
        <v>342</v>
      </c>
      <c r="B19" s="45">
        <v>487</v>
      </c>
      <c r="C19" s="9"/>
    </row>
    <row r="20" spans="1:7" ht="24" customHeight="1">
      <c r="A20" s="40" t="s">
        <v>343</v>
      </c>
      <c r="B20" s="228">
        <v>1826</v>
      </c>
      <c r="C20" s="9"/>
    </row>
    <row r="21" spans="1:7" ht="24" customHeight="1">
      <c r="A21" s="40" t="s">
        <v>72</v>
      </c>
      <c r="B21" s="224">
        <v>0</v>
      </c>
      <c r="C21" s="65"/>
    </row>
    <row r="22" spans="1:7" ht="24" customHeight="1">
      <c r="A22" s="40" t="s">
        <v>344</v>
      </c>
      <c r="B22" s="224">
        <v>0</v>
      </c>
      <c r="C22" s="62"/>
    </row>
    <row r="23" spans="1:7" ht="24" customHeight="1">
      <c r="A23" s="158" t="s">
        <v>71</v>
      </c>
      <c r="B23" s="159">
        <v>32846.910000000003</v>
      </c>
      <c r="C23" s="159">
        <f>B23-B41</f>
        <v>20259.910000000003</v>
      </c>
      <c r="F23" s="43">
        <f>+B23-B41</f>
        <v>20259.910000000003</v>
      </c>
    </row>
    <row r="24" spans="1:7" ht="24" customHeight="1">
      <c r="A24" s="158" t="s">
        <v>81</v>
      </c>
      <c r="B24" s="159">
        <v>29170.240000000002</v>
      </c>
      <c r="C24" s="162"/>
    </row>
    <row r="25" spans="1:7" ht="24" customHeight="1">
      <c r="A25" s="40" t="s">
        <v>345</v>
      </c>
      <c r="B25" s="229">
        <v>10944.4</v>
      </c>
      <c r="C25" s="27"/>
    </row>
    <row r="26" spans="1:7" ht="24" customHeight="1">
      <c r="A26" s="40" t="s">
        <v>346</v>
      </c>
      <c r="B26" s="44">
        <v>0.80979999999999996</v>
      </c>
      <c r="C26" s="9"/>
    </row>
    <row r="27" spans="1:7" ht="24" customHeight="1">
      <c r="A27" s="40" t="s">
        <v>347</v>
      </c>
      <c r="B27" s="44">
        <f>B26</f>
        <v>0.80979999999999996</v>
      </c>
      <c r="C27" s="9"/>
    </row>
    <row r="28" spans="1:7" ht="24" customHeight="1">
      <c r="A28" s="40" t="s">
        <v>348</v>
      </c>
      <c r="B28" s="45">
        <v>0</v>
      </c>
      <c r="C28" s="20"/>
    </row>
    <row r="29" spans="1:7" ht="24" customHeight="1">
      <c r="A29" s="40" t="s">
        <v>349</v>
      </c>
      <c r="B29" s="45">
        <v>0</v>
      </c>
      <c r="C29" s="9"/>
    </row>
    <row r="30" spans="1:7" ht="24" customHeight="1">
      <c r="A30" s="40" t="s">
        <v>350</v>
      </c>
      <c r="B30" s="45">
        <v>3013</v>
      </c>
      <c r="C30" s="9"/>
    </row>
    <row r="31" spans="1:7" ht="24" customHeight="1">
      <c r="A31" s="40" t="s">
        <v>351</v>
      </c>
      <c r="B31" s="45">
        <v>0</v>
      </c>
      <c r="C31" s="24"/>
    </row>
    <row r="32" spans="1:7" ht="24" customHeight="1">
      <c r="A32" s="40" t="s">
        <v>352</v>
      </c>
      <c r="B32" s="45">
        <v>0</v>
      </c>
      <c r="C32" s="9"/>
    </row>
    <row r="33" spans="1:62" ht="24" customHeight="1">
      <c r="A33" s="40" t="s">
        <v>353</v>
      </c>
      <c r="B33" s="45">
        <v>0</v>
      </c>
      <c r="C33" s="9"/>
      <c r="BB33" s="28"/>
      <c r="BC33" s="16"/>
      <c r="BD33" s="16"/>
      <c r="BE33" s="16"/>
      <c r="BF33" s="16"/>
      <c r="BG33" s="16"/>
      <c r="BH33" s="16"/>
      <c r="BI33" s="16"/>
      <c r="BJ33" s="16"/>
    </row>
    <row r="34" spans="1:62" ht="24" customHeight="1">
      <c r="A34" s="40" t="s">
        <v>354</v>
      </c>
      <c r="B34" s="45">
        <v>831</v>
      </c>
      <c r="C34" s="27"/>
    </row>
    <row r="35" spans="1:62" ht="24" customHeight="1">
      <c r="A35" s="40" t="s">
        <v>355</v>
      </c>
      <c r="B35" s="45">
        <f>B34</f>
        <v>831</v>
      </c>
      <c r="C35" s="9"/>
    </row>
    <row r="36" spans="1:62" ht="24" customHeight="1">
      <c r="A36" s="40" t="s">
        <v>356</v>
      </c>
      <c r="B36" s="45">
        <v>738</v>
      </c>
      <c r="C36" s="9"/>
    </row>
    <row r="37" spans="1:62" ht="24" customHeight="1">
      <c r="A37" s="40" t="s">
        <v>357</v>
      </c>
      <c r="B37" s="44">
        <v>0</v>
      </c>
      <c r="C37" s="9"/>
    </row>
    <row r="38" spans="1:62" ht="24" customHeight="1">
      <c r="A38" s="40" t="s">
        <v>358</v>
      </c>
      <c r="B38" s="41">
        <v>0</v>
      </c>
      <c r="C38" s="9"/>
    </row>
    <row r="39" spans="1:62" ht="24" customHeight="1">
      <c r="A39" s="40" t="s">
        <v>359</v>
      </c>
      <c r="B39" s="41">
        <v>0</v>
      </c>
      <c r="C39" s="9"/>
    </row>
    <row r="40" spans="1:62" ht="24" customHeight="1">
      <c r="A40" s="40" t="s">
        <v>360</v>
      </c>
      <c r="B40" s="44">
        <v>0</v>
      </c>
      <c r="C40" s="9"/>
    </row>
    <row r="41" spans="1:62" ht="24" customHeight="1">
      <c r="A41" s="40" t="s">
        <v>361</v>
      </c>
      <c r="B41" s="51">
        <v>12587</v>
      </c>
      <c r="C41" s="24"/>
    </row>
    <row r="42" spans="1:62" ht="24" customHeight="1">
      <c r="A42" s="40" t="s">
        <v>362</v>
      </c>
      <c r="B42" s="45">
        <v>1046</v>
      </c>
      <c r="C42" s="9"/>
      <c r="BB42" s="28"/>
      <c r="BC42" s="16"/>
      <c r="BD42" s="16"/>
      <c r="BE42" s="16"/>
      <c r="BF42" s="16"/>
      <c r="BG42" s="16"/>
      <c r="BH42" s="16"/>
      <c r="BI42" s="16"/>
      <c r="BJ42" s="16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indexed="54"/>
    <pageSetUpPr fitToPage="1"/>
  </sheetPr>
  <dimension ref="A1:BJ51"/>
  <sheetViews>
    <sheetView workbookViewId="0">
      <selection activeCell="H89" sqref="H89"/>
    </sheetView>
  </sheetViews>
  <sheetFormatPr defaultColWidth="0.28515625" defaultRowHeight="14.25"/>
  <cols>
    <col min="1" max="1" width="44.140625" style="1" customWidth="1"/>
    <col min="2" max="2" width="30" customWidth="1"/>
    <col min="3" max="3" width="4.85546875" customWidth="1"/>
    <col min="4" max="193" width="11.42578125" customWidth="1"/>
    <col min="194" max="194" width="44.140625" customWidth="1"/>
    <col min="195" max="195" width="30" customWidth="1"/>
    <col min="196" max="196" width="4.85546875" customWidth="1"/>
    <col min="197" max="197" width="2.28515625" customWidth="1"/>
    <col min="198" max="202" width="0" hidden="1" customWidth="1"/>
    <col min="203" max="203" width="0.42578125" customWidth="1"/>
    <col min="204" max="211" width="3.85546875" customWidth="1"/>
    <col min="212" max="212" width="0.42578125" customWidth="1"/>
    <col min="213" max="213" width="3" customWidth="1"/>
    <col min="214" max="220" width="3.140625" customWidth="1"/>
    <col min="221" max="221" width="0.42578125" customWidth="1"/>
    <col min="222" max="229" width="3.140625" customWidth="1"/>
    <col min="230" max="230" width="0.42578125" customWidth="1"/>
    <col min="231" max="236" width="3.140625" customWidth="1"/>
    <col min="237" max="237" width="3.28515625" customWidth="1"/>
    <col min="238" max="238" width="3.7109375" customWidth="1"/>
    <col min="239" max="239" width="0.85546875" customWidth="1"/>
    <col min="240" max="246" width="3.140625" customWidth="1"/>
    <col min="247" max="247" width="0.42578125" customWidth="1"/>
    <col min="248" max="255" width="3.140625" customWidth="1"/>
  </cols>
  <sheetData>
    <row r="1" spans="1:8">
      <c r="A1" s="457"/>
      <c r="B1" s="458"/>
      <c r="C1" s="458"/>
    </row>
    <row r="2" spans="1:8" ht="15.75">
      <c r="A2" s="6" t="s">
        <v>0</v>
      </c>
      <c r="B2" s="71" t="s">
        <v>428</v>
      </c>
      <c r="C2" s="459" t="s">
        <v>2</v>
      </c>
    </row>
    <row r="3" spans="1:8" ht="15">
      <c r="A3" s="6"/>
      <c r="B3" s="71" t="s">
        <v>706</v>
      </c>
      <c r="C3" s="27"/>
    </row>
    <row r="4" spans="1:8" ht="15">
      <c r="A4" s="6" t="s">
        <v>4</v>
      </c>
      <c r="B4" s="72">
        <v>1</v>
      </c>
      <c r="C4" s="9"/>
    </row>
    <row r="5" spans="1:8" ht="12.75" customHeight="1">
      <c r="B5" s="125">
        <v>41603</v>
      </c>
      <c r="C5" s="9"/>
    </row>
    <row r="6" spans="1:8" ht="23.25">
      <c r="A6" s="11" t="s">
        <v>5</v>
      </c>
      <c r="B6" s="74">
        <v>21</v>
      </c>
      <c r="C6" s="9"/>
    </row>
    <row r="7" spans="1:8" ht="24" customHeight="1">
      <c r="A7" s="12" t="s">
        <v>6</v>
      </c>
      <c r="B7" s="75" t="s">
        <v>657</v>
      </c>
      <c r="C7" s="9"/>
    </row>
    <row r="8" spans="1:8" ht="24" customHeight="1">
      <c r="A8" s="14" t="s">
        <v>708</v>
      </c>
      <c r="B8" s="64">
        <v>291348</v>
      </c>
      <c r="C8" s="9"/>
    </row>
    <row r="9" spans="1:8" ht="24" customHeight="1">
      <c r="A9" s="14" t="s">
        <v>133</v>
      </c>
      <c r="B9" s="64">
        <v>266049</v>
      </c>
      <c r="C9" s="9"/>
      <c r="D9" s="16"/>
      <c r="E9" s="16"/>
      <c r="F9" s="16"/>
      <c r="G9" s="16"/>
      <c r="H9" s="16"/>
    </row>
    <row r="10" spans="1:8" ht="24" customHeight="1">
      <c r="A10" s="14" t="s">
        <v>116</v>
      </c>
      <c r="B10" s="64">
        <v>2277</v>
      </c>
      <c r="C10" s="9"/>
      <c r="D10" s="16"/>
      <c r="E10" s="16"/>
      <c r="F10" s="16"/>
      <c r="G10" s="16"/>
      <c r="H10" s="16"/>
    </row>
    <row r="11" spans="1:8" ht="24" customHeight="1">
      <c r="A11" s="14" t="s">
        <v>709</v>
      </c>
      <c r="B11" s="64">
        <v>684</v>
      </c>
      <c r="C11" s="9"/>
      <c r="D11" s="16"/>
      <c r="E11" s="16"/>
      <c r="F11" s="16"/>
      <c r="G11" s="16"/>
      <c r="H11" s="16"/>
    </row>
    <row r="12" spans="1:8" ht="24" customHeight="1">
      <c r="A12" s="14" t="s">
        <v>710</v>
      </c>
      <c r="B12" s="64">
        <v>22597</v>
      </c>
      <c r="C12" s="9"/>
      <c r="D12" s="16"/>
      <c r="E12" s="16"/>
      <c r="F12" s="16"/>
      <c r="G12" s="16"/>
      <c r="H12" s="16"/>
    </row>
    <row r="13" spans="1:8" ht="24" customHeight="1">
      <c r="A13" s="14" t="s">
        <v>711</v>
      </c>
      <c r="B13" s="64">
        <f>B12</f>
        <v>22597</v>
      </c>
      <c r="C13" s="9"/>
      <c r="D13" s="16"/>
      <c r="E13" s="16"/>
      <c r="F13" s="16"/>
      <c r="G13" s="16"/>
      <c r="H13" s="16"/>
    </row>
    <row r="14" spans="1:8" ht="24" customHeight="1">
      <c r="A14" s="14" t="s">
        <v>712</v>
      </c>
      <c r="B14" s="64">
        <v>33538</v>
      </c>
      <c r="C14" s="9"/>
      <c r="D14" s="16"/>
      <c r="E14" s="16"/>
      <c r="F14" s="16"/>
      <c r="G14" s="16"/>
      <c r="H14" s="16"/>
    </row>
    <row r="15" spans="1:8" ht="24" customHeight="1">
      <c r="A15" s="14" t="s">
        <v>125</v>
      </c>
      <c r="B15" s="64">
        <v>47225</v>
      </c>
      <c r="C15" s="9"/>
      <c r="D15" s="16"/>
      <c r="E15" s="16"/>
      <c r="F15" s="16"/>
      <c r="G15" s="16"/>
      <c r="H15" s="16"/>
    </row>
    <row r="16" spans="1:8" ht="24" customHeight="1">
      <c r="A16" s="14" t="s">
        <v>393</v>
      </c>
      <c r="B16" s="64">
        <v>371</v>
      </c>
      <c r="C16" s="9"/>
      <c r="D16" s="16"/>
      <c r="E16" s="16"/>
      <c r="F16" s="16"/>
      <c r="G16" s="16"/>
      <c r="H16" s="16"/>
    </row>
    <row r="17" spans="1:8" ht="24" customHeight="1">
      <c r="A17" s="14" t="s">
        <v>119</v>
      </c>
      <c r="B17" s="64">
        <v>0</v>
      </c>
      <c r="C17" s="9"/>
      <c r="D17" s="16"/>
      <c r="E17" s="16"/>
      <c r="F17" s="16"/>
      <c r="G17" s="16"/>
      <c r="H17" s="16"/>
    </row>
    <row r="18" spans="1:8" ht="24" customHeight="1">
      <c r="A18" s="14" t="s">
        <v>713</v>
      </c>
      <c r="B18" s="64">
        <v>0</v>
      </c>
      <c r="C18" s="9"/>
    </row>
    <row r="19" spans="1:8" ht="24" customHeight="1">
      <c r="A19" s="14" t="s">
        <v>714</v>
      </c>
      <c r="B19" s="64">
        <v>524</v>
      </c>
      <c r="C19" s="9"/>
    </row>
    <row r="20" spans="1:8" ht="24" customHeight="1">
      <c r="A20" s="14" t="s">
        <v>715</v>
      </c>
      <c r="B20" s="64">
        <v>0</v>
      </c>
      <c r="C20" s="9"/>
    </row>
    <row r="21" spans="1:8" ht="24" customHeight="1">
      <c r="A21" s="14" t="s">
        <v>716</v>
      </c>
      <c r="B21" s="64">
        <v>57837</v>
      </c>
      <c r="C21" s="9"/>
    </row>
    <row r="22" spans="1:8" ht="24" customHeight="1">
      <c r="A22" s="14" t="s">
        <v>717</v>
      </c>
      <c r="B22" s="64">
        <v>0</v>
      </c>
      <c r="C22" s="9"/>
    </row>
    <row r="23" spans="1:8" ht="24" customHeight="1">
      <c r="A23" s="14" t="s">
        <v>718</v>
      </c>
      <c r="B23" s="64">
        <v>25299</v>
      </c>
      <c r="C23" s="9"/>
    </row>
    <row r="24" spans="1:8" ht="24" customHeight="1">
      <c r="A24" s="14" t="s">
        <v>719</v>
      </c>
      <c r="B24" s="21">
        <v>0.91320000000000001</v>
      </c>
      <c r="C24" s="9"/>
    </row>
    <row r="25" spans="1:8" ht="24" customHeight="1">
      <c r="A25" s="14" t="s">
        <v>720</v>
      </c>
      <c r="B25" s="64">
        <v>0</v>
      </c>
      <c r="C25" s="9"/>
    </row>
    <row r="26" spans="1:8" ht="24" customHeight="1">
      <c r="A26" s="14" t="s">
        <v>721</v>
      </c>
      <c r="B26" s="64">
        <v>0</v>
      </c>
      <c r="C26" s="9"/>
    </row>
    <row r="27" spans="1:8" ht="24" customHeight="1">
      <c r="A27" s="14" t="s">
        <v>722</v>
      </c>
      <c r="B27" s="64">
        <v>889</v>
      </c>
      <c r="C27" s="9"/>
    </row>
    <row r="28" spans="1:8" ht="24" customHeight="1">
      <c r="A28" s="14" t="s">
        <v>723</v>
      </c>
      <c r="B28" s="64">
        <v>5</v>
      </c>
      <c r="C28" s="9"/>
    </row>
    <row r="29" spans="1:8" ht="24" customHeight="1">
      <c r="A29" s="14" t="s">
        <v>724</v>
      </c>
      <c r="B29" s="64">
        <v>0</v>
      </c>
      <c r="C29" s="9"/>
    </row>
    <row r="30" spans="1:8" ht="24" customHeight="1">
      <c r="A30" s="14" t="s">
        <v>725</v>
      </c>
      <c r="B30" s="64">
        <v>488</v>
      </c>
      <c r="C30" s="9"/>
    </row>
    <row r="31" spans="1:8" ht="24" customHeight="1">
      <c r="A31" s="14" t="s">
        <v>726</v>
      </c>
      <c r="B31" s="64">
        <v>0</v>
      </c>
      <c r="C31" s="9"/>
    </row>
    <row r="32" spans="1:8" ht="8.25" customHeight="1">
      <c r="A32" s="18"/>
      <c r="B32" s="20"/>
      <c r="C32" s="9"/>
    </row>
    <row r="33" spans="1:62" ht="24" customHeight="1">
      <c r="A33" s="14" t="s">
        <v>727</v>
      </c>
      <c r="B33" s="64">
        <v>490</v>
      </c>
      <c r="C33" s="9"/>
    </row>
    <row r="34" spans="1:62" ht="24" customHeight="1">
      <c r="A34" s="14" t="s">
        <v>728</v>
      </c>
      <c r="B34" s="64">
        <v>0</v>
      </c>
      <c r="C34" s="9"/>
    </row>
    <row r="35" spans="1:62" ht="24" customHeight="1">
      <c r="A35" s="14" t="s">
        <v>729</v>
      </c>
      <c r="B35" s="21">
        <v>0</v>
      </c>
      <c r="C35" s="9"/>
    </row>
    <row r="36" spans="1:62" ht="24" customHeight="1">
      <c r="A36" s="14" t="s">
        <v>730</v>
      </c>
      <c r="B36" s="64">
        <v>0</v>
      </c>
      <c r="C36" s="9"/>
    </row>
    <row r="37" spans="1:62" ht="24" customHeight="1">
      <c r="A37" s="14" t="s">
        <v>731</v>
      </c>
      <c r="B37" s="64">
        <v>0</v>
      </c>
      <c r="C37" s="9"/>
    </row>
    <row r="38" spans="1:62" ht="24" customHeight="1">
      <c r="A38" s="14" t="s">
        <v>732</v>
      </c>
      <c r="B38" s="21">
        <v>0</v>
      </c>
      <c r="C38" s="9"/>
    </row>
    <row r="39" spans="1:62" ht="24" customHeight="1">
      <c r="B39" s="78"/>
      <c r="BB39" s="28"/>
      <c r="BC39" s="16"/>
      <c r="BD39" s="16"/>
      <c r="BE39" s="16"/>
      <c r="BF39" s="16"/>
      <c r="BG39" s="16"/>
      <c r="BH39" s="16"/>
      <c r="BI39" s="16"/>
      <c r="BJ39" s="16"/>
    </row>
    <row r="40" spans="1:62" ht="24" customHeight="1">
      <c r="B40" s="78"/>
      <c r="BB40" s="28"/>
      <c r="BC40" s="16"/>
      <c r="BD40" s="16"/>
      <c r="BE40" s="16"/>
      <c r="BF40" s="16"/>
      <c r="BG40" s="16"/>
      <c r="BH40" s="16"/>
      <c r="BI40" s="16"/>
      <c r="BJ40" s="16"/>
    </row>
    <row r="41" spans="1:62" ht="24" customHeight="1">
      <c r="A41" s="14" t="s">
        <v>734</v>
      </c>
      <c r="B41" s="115">
        <v>0</v>
      </c>
      <c r="C41" s="9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2" ht="24" customHeight="1">
      <c r="A42" s="14" t="s">
        <v>735</v>
      </c>
      <c r="B42" s="115">
        <v>0</v>
      </c>
      <c r="C42" s="9"/>
      <c r="BB42" s="16"/>
      <c r="BC42" s="16"/>
      <c r="BD42" s="16"/>
      <c r="BE42" s="16"/>
      <c r="BF42" s="16"/>
      <c r="BG42" s="16"/>
      <c r="BH42" s="16"/>
      <c r="BI42" s="16"/>
      <c r="BJ42" s="16"/>
    </row>
    <row r="43" spans="1:62" ht="24" customHeight="1">
      <c r="A43" s="14" t="s">
        <v>736</v>
      </c>
      <c r="B43" s="115">
        <v>0</v>
      </c>
      <c r="C43" s="9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24" customHeight="1">
      <c r="A44" s="66" t="s">
        <v>737</v>
      </c>
      <c r="B44" s="460">
        <v>0</v>
      </c>
      <c r="C44" s="27"/>
    </row>
    <row r="45" spans="1:62" ht="24" customHeight="1">
      <c r="A45" s="14" t="s">
        <v>738</v>
      </c>
      <c r="B45" s="461">
        <v>0</v>
      </c>
      <c r="C45" s="9"/>
    </row>
    <row r="46" spans="1:62" ht="24" customHeight="1">
      <c r="A46" s="14" t="s">
        <v>739</v>
      </c>
      <c r="B46" s="461">
        <v>0</v>
      </c>
      <c r="C46" s="9"/>
    </row>
    <row r="47" spans="1:62" ht="24" customHeight="1">
      <c r="A47" s="66" t="s">
        <v>740</v>
      </c>
      <c r="B47" s="64">
        <v>0</v>
      </c>
      <c r="C47" s="9"/>
    </row>
    <row r="48" spans="1:62" ht="24" customHeight="1">
      <c r="A48" s="14" t="s">
        <v>741</v>
      </c>
      <c r="B48" s="64">
        <v>0</v>
      </c>
      <c r="C48" s="9"/>
    </row>
    <row r="50" spans="1:3" ht="24" customHeight="1">
      <c r="A50" s="118" t="s">
        <v>317</v>
      </c>
      <c r="B50" s="119">
        <v>0</v>
      </c>
      <c r="C50" s="120"/>
    </row>
    <row r="51" spans="1:3" ht="24" customHeight="1">
      <c r="A51" s="118" t="s">
        <v>733</v>
      </c>
      <c r="B51" s="119">
        <v>0</v>
      </c>
      <c r="C51" s="120"/>
    </row>
  </sheetData>
  <sheetProtection selectLockedCells="1" selectUnlockedCells="1"/>
  <printOptions horizontalCentered="1" verticalCentered="1"/>
  <pageMargins left="0" right="0" top="0.51180555555555551" bottom="0.51180555555555551" header="0.51180555555555551" footer="0.51180555555555551"/>
  <pageSetup paperSize="9" scale="75" firstPageNumber="0" orientation="portrait" horizontalDpi="300" verticalDpi="300" r:id="rId1"/>
  <headerFooter alignWithMargins="0">
    <oddHeader>&amp;C&amp;"Lucida Grande,Normal"&amp;14METER READING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BJ85"/>
  <sheetViews>
    <sheetView workbookViewId="0">
      <selection activeCell="H89" sqref="H89"/>
    </sheetView>
  </sheetViews>
  <sheetFormatPr defaultColWidth="11" defaultRowHeight="14.25"/>
  <cols>
    <col min="1" max="1" width="45" style="1" customWidth="1"/>
    <col min="2" max="2" width="30" style="2" customWidth="1"/>
    <col min="3" max="3" width="4.85546875" customWidth="1"/>
    <col min="4" max="192" width="11.42578125" customWidth="1"/>
    <col min="193" max="193" width="31.5703125" customWidth="1"/>
    <col min="194" max="194" width="30" customWidth="1"/>
    <col min="195" max="195" width="4.85546875" customWidth="1"/>
    <col min="196" max="196" width="2.28515625" customWidth="1"/>
    <col min="197" max="201" width="0" hidden="1" customWidth="1"/>
    <col min="202" max="202" width="0.42578125" customWidth="1"/>
    <col min="203" max="210" width="3.85546875" customWidth="1"/>
    <col min="211" max="211" width="0.42578125" customWidth="1"/>
    <col min="212" max="212" width="3" customWidth="1"/>
    <col min="213" max="219" width="3.140625" customWidth="1"/>
    <col min="220" max="220" width="0.42578125" customWidth="1"/>
    <col min="221" max="228" width="3.140625" customWidth="1"/>
    <col min="229" max="229" width="0.42578125" customWidth="1"/>
    <col min="230" max="235" width="3.140625" customWidth="1"/>
    <col min="236" max="236" width="3.28515625" customWidth="1"/>
    <col min="237" max="237" width="3.7109375" customWidth="1"/>
    <col min="238" max="238" width="0.85546875" customWidth="1"/>
    <col min="239" max="245" width="3.140625" customWidth="1"/>
    <col min="246" max="246" width="0.42578125" customWidth="1"/>
    <col min="247" max="254" width="3.140625" customWidth="1"/>
    <col min="255" max="255" width="0.28515625" customWidth="1"/>
  </cols>
  <sheetData>
    <row r="1" spans="1:9">
      <c r="A1" s="3"/>
      <c r="B1" s="4"/>
      <c r="C1" s="5"/>
    </row>
    <row r="2" spans="1:9" ht="15">
      <c r="A2" s="6" t="s">
        <v>0</v>
      </c>
      <c r="B2" s="7" t="s">
        <v>415</v>
      </c>
      <c r="C2" s="8" t="s">
        <v>2</v>
      </c>
    </row>
    <row r="3" spans="1:9" ht="15">
      <c r="A3" s="6"/>
      <c r="B3" s="7" t="s">
        <v>479</v>
      </c>
      <c r="C3" s="9"/>
    </row>
    <row r="4" spans="1:9" ht="15">
      <c r="A4" s="6" t="s">
        <v>4</v>
      </c>
      <c r="B4" s="10">
        <v>0.01</v>
      </c>
      <c r="C4" s="9"/>
      <c r="I4">
        <v>2</v>
      </c>
    </row>
    <row r="5" spans="1:9" ht="5.25" customHeight="1">
      <c r="C5" s="9"/>
    </row>
    <row r="6" spans="1:9" ht="23.25" customHeight="1">
      <c r="A6" s="11" t="s">
        <v>5</v>
      </c>
      <c r="B6" s="52">
        <v>70</v>
      </c>
      <c r="C6" s="9"/>
    </row>
    <row r="7" spans="1:9" ht="23.25" customHeight="1">
      <c r="A7" s="12" t="s">
        <v>6</v>
      </c>
      <c r="B7" s="13" t="s">
        <v>480</v>
      </c>
      <c r="C7" s="9"/>
    </row>
    <row r="8" spans="1:9" ht="23.25" customHeight="1">
      <c r="A8" s="14" t="s">
        <v>481</v>
      </c>
      <c r="B8" s="15">
        <v>0</v>
      </c>
      <c r="C8" s="14"/>
    </row>
    <row r="9" spans="1:9" ht="23.25" customHeight="1">
      <c r="A9" s="14" t="s">
        <v>680</v>
      </c>
      <c r="B9" s="15">
        <v>0</v>
      </c>
      <c r="C9" s="14"/>
    </row>
    <row r="10" spans="1:9" ht="23.25" customHeight="1">
      <c r="A10" s="14" t="s">
        <v>483</v>
      </c>
      <c r="B10" s="15">
        <v>0</v>
      </c>
      <c r="C10" s="14"/>
    </row>
    <row r="11" spans="1:9" ht="23.25" customHeight="1">
      <c r="A11" s="14"/>
      <c r="B11" s="15">
        <v>0</v>
      </c>
      <c r="C11" s="14"/>
    </row>
    <row r="12" spans="1:9" ht="23.25" customHeight="1">
      <c r="A12" s="14" t="s">
        <v>484</v>
      </c>
      <c r="B12" s="15">
        <v>0</v>
      </c>
      <c r="C12" s="14"/>
    </row>
    <row r="13" spans="1:9" ht="23.25" customHeight="1">
      <c r="A13" s="14" t="s">
        <v>485</v>
      </c>
      <c r="B13" s="15">
        <v>0</v>
      </c>
      <c r="C13" s="14"/>
    </row>
    <row r="14" spans="1:9" ht="23.25" customHeight="1">
      <c r="A14" s="14"/>
      <c r="B14" s="15">
        <v>0</v>
      </c>
      <c r="C14" s="14"/>
    </row>
    <row r="15" spans="1:9" ht="23.25" customHeight="1">
      <c r="A15" s="14" t="s">
        <v>486</v>
      </c>
      <c r="B15" s="15">
        <v>0</v>
      </c>
      <c r="C15" s="14"/>
    </row>
    <row r="16" spans="1:9" ht="19.5" customHeight="1">
      <c r="A16" s="14" t="s">
        <v>487</v>
      </c>
      <c r="B16" s="15">
        <v>0</v>
      </c>
      <c r="C16" s="14"/>
    </row>
    <row r="17" spans="1:7" ht="23.25" customHeight="1">
      <c r="A17" s="14" t="s">
        <v>488</v>
      </c>
      <c r="B17" s="15">
        <v>0</v>
      </c>
      <c r="C17" s="14"/>
    </row>
    <row r="18" spans="1:7" ht="23.25" customHeight="1">
      <c r="A18" s="14"/>
      <c r="B18" s="15">
        <v>0</v>
      </c>
      <c r="C18" s="14"/>
      <c r="G18">
        <v>2</v>
      </c>
    </row>
    <row r="19" spans="1:7" ht="23.25" customHeight="1">
      <c r="A19" s="14"/>
      <c r="B19" s="15"/>
      <c r="C19" s="14"/>
    </row>
    <row r="20" spans="1:7" ht="23.25" customHeight="1">
      <c r="A20" s="14" t="s">
        <v>489</v>
      </c>
      <c r="B20" s="15">
        <v>0</v>
      </c>
      <c r="C20" s="14"/>
    </row>
    <row r="21" spans="1:7" ht="23.25" customHeight="1">
      <c r="A21" s="14" t="s">
        <v>490</v>
      </c>
      <c r="B21" s="15">
        <v>0</v>
      </c>
      <c r="C21" s="14"/>
    </row>
    <row r="22" spans="1:7" ht="23.25" customHeight="1">
      <c r="A22" s="14" t="s">
        <v>491</v>
      </c>
      <c r="B22" s="15"/>
      <c r="C22" s="9"/>
    </row>
    <row r="23" spans="1:7" ht="23.25" customHeight="1">
      <c r="A23" s="14" t="s">
        <v>492</v>
      </c>
      <c r="B23" s="15"/>
      <c r="C23" s="15"/>
    </row>
    <row r="24" spans="1:7" ht="23.25" customHeight="1">
      <c r="A24" s="14" t="s">
        <v>493</v>
      </c>
      <c r="B24" s="15">
        <v>0</v>
      </c>
      <c r="C24" s="14"/>
    </row>
    <row r="25" spans="1:7" ht="23.25" customHeight="1">
      <c r="A25" s="14" t="s">
        <v>494</v>
      </c>
      <c r="B25" s="15">
        <v>0</v>
      </c>
      <c r="C25" s="14"/>
      <c r="E25" t="s">
        <v>105</v>
      </c>
    </row>
    <row r="26" spans="1:7" ht="23.25">
      <c r="A26" s="14" t="s">
        <v>495</v>
      </c>
      <c r="B26" s="15">
        <v>0</v>
      </c>
      <c r="C26" s="14"/>
      <c r="E26" t="b">
        <f>B24=B26+B29</f>
        <v>1</v>
      </c>
    </row>
    <row r="27" spans="1:7" ht="23.25">
      <c r="A27" s="14" t="s">
        <v>496</v>
      </c>
      <c r="B27" s="15">
        <v>0</v>
      </c>
      <c r="C27" s="14"/>
    </row>
    <row r="28" spans="1:7" ht="23.25">
      <c r="A28" s="14"/>
      <c r="B28" s="53"/>
      <c r="C28" s="14"/>
    </row>
    <row r="29" spans="1:7" ht="23.25">
      <c r="A29" s="14" t="s">
        <v>497</v>
      </c>
      <c r="B29" s="15">
        <v>0</v>
      </c>
      <c r="C29" s="14"/>
    </row>
    <row r="30" spans="1:7" ht="23.25">
      <c r="A30" s="14" t="s">
        <v>498</v>
      </c>
      <c r="B30" s="15">
        <v>0</v>
      </c>
      <c r="C30" s="14"/>
    </row>
    <row r="31" spans="1:7" ht="23.25">
      <c r="A31" s="14" t="s">
        <v>499</v>
      </c>
      <c r="B31" s="15">
        <v>0</v>
      </c>
      <c r="C31" s="14"/>
    </row>
    <row r="32" spans="1:7" ht="23.25">
      <c r="A32" s="14" t="s">
        <v>500</v>
      </c>
      <c r="B32" s="15">
        <v>0</v>
      </c>
      <c r="C32" s="14"/>
    </row>
    <row r="33" spans="1:62" ht="23.25">
      <c r="A33" s="14" t="s">
        <v>501</v>
      </c>
      <c r="B33" s="15">
        <v>0</v>
      </c>
      <c r="C33" s="14"/>
    </row>
    <row r="34" spans="1:62" ht="23.25">
      <c r="A34" s="14" t="s">
        <v>502</v>
      </c>
      <c r="B34" s="15">
        <v>0</v>
      </c>
      <c r="C34" s="14"/>
    </row>
    <row r="35" spans="1:62" ht="23.25">
      <c r="A35" s="14" t="s">
        <v>503</v>
      </c>
      <c r="B35" s="15">
        <v>0</v>
      </c>
      <c r="C35" s="14"/>
    </row>
    <row r="36" spans="1:62" ht="23.25">
      <c r="A36" s="14" t="s">
        <v>504</v>
      </c>
      <c r="B36" s="15">
        <v>0</v>
      </c>
      <c r="C36" s="14"/>
    </row>
    <row r="37" spans="1:62">
      <c r="A37" s="14"/>
      <c r="B37" s="18"/>
      <c r="C37" s="14"/>
    </row>
    <row r="38" spans="1:62" ht="23.25">
      <c r="A38" s="14" t="s">
        <v>505</v>
      </c>
      <c r="B38" s="15">
        <v>0</v>
      </c>
      <c r="C38" s="14"/>
    </row>
    <row r="39" spans="1:62" ht="23.25">
      <c r="A39" s="14" t="s">
        <v>506</v>
      </c>
      <c r="B39" s="15">
        <v>0</v>
      </c>
      <c r="C39" s="14"/>
    </row>
    <row r="40" spans="1:62" ht="23.25">
      <c r="A40" s="14" t="s">
        <v>507</v>
      </c>
      <c r="B40" s="15">
        <v>0</v>
      </c>
      <c r="C40" s="14"/>
    </row>
    <row r="41" spans="1:62" ht="23.25">
      <c r="A41" s="14" t="s">
        <v>508</v>
      </c>
      <c r="B41" s="15">
        <v>0</v>
      </c>
      <c r="C41" s="9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2" ht="23.25">
      <c r="A42" s="14" t="s">
        <v>509</v>
      </c>
      <c r="B42" s="15">
        <v>0</v>
      </c>
      <c r="C42" s="14"/>
    </row>
    <row r="43" spans="1:62" ht="23.25">
      <c r="A43" s="14" t="s">
        <v>510</v>
      </c>
      <c r="B43" s="15">
        <v>0</v>
      </c>
      <c r="C43" s="14"/>
    </row>
    <row r="44" spans="1:62" ht="23.25">
      <c r="A44" s="14"/>
      <c r="B44" s="15">
        <v>0</v>
      </c>
      <c r="C44" s="14"/>
    </row>
    <row r="45" spans="1:62" ht="23.25">
      <c r="A45" s="14" t="s">
        <v>511</v>
      </c>
      <c r="B45" s="15">
        <v>0</v>
      </c>
      <c r="C45" s="14"/>
    </row>
    <row r="46" spans="1:62" ht="23.25">
      <c r="A46" s="14" t="s">
        <v>512</v>
      </c>
      <c r="B46" s="15">
        <v>0</v>
      </c>
      <c r="C46" s="14"/>
    </row>
    <row r="47" spans="1:62" ht="23.25">
      <c r="A47" s="14" t="s">
        <v>513</v>
      </c>
      <c r="B47" s="15">
        <v>0</v>
      </c>
      <c r="C47" s="14"/>
    </row>
    <row r="48" spans="1:62" ht="23.25">
      <c r="A48" s="14" t="s">
        <v>514</v>
      </c>
      <c r="B48" s="15">
        <v>0</v>
      </c>
      <c r="C48" s="14"/>
    </row>
    <row r="49" spans="1:3" ht="23.25">
      <c r="A49" s="14"/>
      <c r="B49" s="53"/>
      <c r="C49" s="20"/>
    </row>
    <row r="50" spans="1:3" ht="23.25">
      <c r="A50" s="14" t="s">
        <v>515</v>
      </c>
      <c r="B50" s="15">
        <v>0</v>
      </c>
      <c r="C50" s="14"/>
    </row>
    <row r="51" spans="1:3" ht="23.25">
      <c r="A51" s="14" t="s">
        <v>516</v>
      </c>
      <c r="B51" s="15">
        <v>0</v>
      </c>
      <c r="C51" s="14"/>
    </row>
    <row r="52" spans="1:3" ht="23.25">
      <c r="A52" s="14" t="s">
        <v>517</v>
      </c>
      <c r="B52" s="15">
        <v>0</v>
      </c>
      <c r="C52" s="14"/>
    </row>
    <row r="53" spans="1:3" ht="23.25">
      <c r="A53" s="14" t="s">
        <v>518</v>
      </c>
      <c r="B53" s="15">
        <v>0</v>
      </c>
      <c r="C53" s="14"/>
    </row>
    <row r="54" spans="1:3" ht="23.25">
      <c r="A54" s="14" t="s">
        <v>519</v>
      </c>
      <c r="B54" s="15">
        <v>0</v>
      </c>
      <c r="C54" s="14"/>
    </row>
    <row r="55" spans="1:3" ht="23.25">
      <c r="A55" s="14" t="s">
        <v>520</v>
      </c>
      <c r="B55" s="15">
        <v>0</v>
      </c>
      <c r="C55" s="14"/>
    </row>
    <row r="56" spans="1:3" ht="23.25">
      <c r="A56" s="14" t="s">
        <v>521</v>
      </c>
      <c r="B56" s="15">
        <v>0</v>
      </c>
      <c r="C56" s="14"/>
    </row>
    <row r="57" spans="1:3" ht="23.25">
      <c r="A57" s="14"/>
      <c r="B57" s="15">
        <v>0</v>
      </c>
      <c r="C57" s="14"/>
    </row>
    <row r="58" spans="1:3" ht="23.25">
      <c r="A58" s="14" t="s">
        <v>522</v>
      </c>
      <c r="B58" s="15">
        <v>0</v>
      </c>
      <c r="C58" s="14"/>
    </row>
    <row r="59" spans="1:3" ht="23.25">
      <c r="A59" s="14" t="s">
        <v>523</v>
      </c>
      <c r="B59" s="15">
        <v>0</v>
      </c>
      <c r="C59" s="14"/>
    </row>
    <row r="60" spans="1:3" ht="23.25">
      <c r="A60" s="14" t="s">
        <v>524</v>
      </c>
      <c r="B60" s="15">
        <v>0</v>
      </c>
      <c r="C60" s="14"/>
    </row>
    <row r="61" spans="1:3" ht="23.25">
      <c r="A61" s="14" t="s">
        <v>525</v>
      </c>
      <c r="B61" s="15">
        <v>0</v>
      </c>
      <c r="C61" s="14"/>
    </row>
    <row r="62" spans="1:3" ht="23.25">
      <c r="A62" s="14" t="s">
        <v>526</v>
      </c>
      <c r="B62" s="15">
        <v>0</v>
      </c>
      <c r="C62" s="14"/>
    </row>
    <row r="63" spans="1:3" ht="23.25">
      <c r="A63" s="14"/>
      <c r="B63" s="15">
        <v>0</v>
      </c>
      <c r="C63" s="14"/>
    </row>
    <row r="64" spans="1:3" ht="23.25">
      <c r="A64" s="14" t="s">
        <v>496</v>
      </c>
      <c r="B64" s="15">
        <v>0</v>
      </c>
      <c r="C64" s="14"/>
    </row>
    <row r="65" spans="1:3" ht="23.25">
      <c r="A65" s="14" t="s">
        <v>527</v>
      </c>
      <c r="B65" s="15">
        <v>0</v>
      </c>
      <c r="C65" s="14"/>
    </row>
    <row r="66" spans="1:3" ht="23.25">
      <c r="A66" s="14" t="s">
        <v>528</v>
      </c>
      <c r="B66" s="15">
        <v>0</v>
      </c>
      <c r="C66" s="14"/>
    </row>
    <row r="67" spans="1:3" ht="23.25">
      <c r="A67" s="14" t="s">
        <v>529</v>
      </c>
      <c r="B67" s="15">
        <v>0</v>
      </c>
      <c r="C67" s="14"/>
    </row>
    <row r="68" spans="1:3" ht="23.25">
      <c r="A68" s="14" t="s">
        <v>530</v>
      </c>
      <c r="B68" s="15"/>
      <c r="C68" s="14"/>
    </row>
    <row r="69" spans="1:3" ht="23.25">
      <c r="A69" s="14" t="s">
        <v>531</v>
      </c>
      <c r="B69" s="15"/>
      <c r="C69" s="14"/>
    </row>
    <row r="70" spans="1:3" ht="23.25">
      <c r="A70" s="14"/>
      <c r="B70" s="15"/>
      <c r="C70" s="14"/>
    </row>
    <row r="71" spans="1:3" ht="23.25">
      <c r="A71" s="14" t="s">
        <v>532</v>
      </c>
      <c r="B71" s="15"/>
      <c r="C71" s="14"/>
    </row>
    <row r="72" spans="1:3" ht="23.25">
      <c r="A72" s="14" t="s">
        <v>533</v>
      </c>
      <c r="B72" s="15"/>
      <c r="C72" s="14"/>
    </row>
    <row r="73" spans="1:3" ht="23.25">
      <c r="A73" s="14" t="s">
        <v>534</v>
      </c>
      <c r="B73" s="15"/>
      <c r="C73" s="14"/>
    </row>
    <row r="74" spans="1:3" ht="23.25">
      <c r="A74" s="14" t="s">
        <v>535</v>
      </c>
      <c r="B74" s="15"/>
      <c r="C74" s="14"/>
    </row>
    <row r="75" spans="1:3" ht="23.25">
      <c r="A75" s="14"/>
      <c r="B75" s="15"/>
      <c r="C75" s="14"/>
    </row>
    <row r="76" spans="1:3" ht="23.25">
      <c r="A76" s="14" t="s">
        <v>536</v>
      </c>
      <c r="B76" s="15"/>
      <c r="C76" s="14"/>
    </row>
    <row r="77" spans="1:3" ht="23.25">
      <c r="A77" s="14" t="s">
        <v>537</v>
      </c>
      <c r="B77" s="15"/>
      <c r="C77" s="14"/>
    </row>
    <row r="78" spans="1:3" ht="23.25">
      <c r="A78" s="14" t="s">
        <v>538</v>
      </c>
      <c r="B78" s="15"/>
      <c r="C78" s="14"/>
    </row>
    <row r="79" spans="1:3" ht="23.25">
      <c r="A79" s="14" t="s">
        <v>539</v>
      </c>
      <c r="B79" s="15"/>
      <c r="C79" s="14"/>
    </row>
    <row r="80" spans="1:3" ht="23.25">
      <c r="A80" s="14"/>
      <c r="B80" s="15"/>
      <c r="C80" s="14"/>
    </row>
    <row r="81" spans="1:3" ht="23.25">
      <c r="A81" s="14"/>
      <c r="B81" s="15"/>
      <c r="C81" s="14"/>
    </row>
    <row r="82" spans="1:3">
      <c r="A82" s="14"/>
    </row>
    <row r="83" spans="1:3">
      <c r="A83" s="14"/>
    </row>
    <row r="84" spans="1:3">
      <c r="A84" s="14"/>
    </row>
    <row r="85" spans="1:3">
      <c r="A85" s="14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147</vt:i4>
      </vt:variant>
      <vt:variant>
        <vt:lpstr>Named Ranges</vt:lpstr>
      </vt:variant>
      <vt:variant>
        <vt:i4>42</vt:i4>
      </vt:variant>
    </vt:vector>
  </HeadingPairs>
  <TitlesOfParts>
    <vt:vector size="189" baseType="lpstr">
      <vt:lpstr>116</vt:lpstr>
      <vt:lpstr>96</vt:lpstr>
      <vt:lpstr>43</vt:lpstr>
      <vt:lpstr>111</vt:lpstr>
      <vt:lpstr>92</vt:lpstr>
      <vt:lpstr>91</vt:lpstr>
      <vt:lpstr>40</vt:lpstr>
      <vt:lpstr>117</vt:lpstr>
      <vt:lpstr>41</vt:lpstr>
      <vt:lpstr>112</vt:lpstr>
      <vt:lpstr>118</vt:lpstr>
      <vt:lpstr>95</vt:lpstr>
      <vt:lpstr>35</vt:lpstr>
      <vt:lpstr>113</vt:lpstr>
      <vt:lpstr>27</vt:lpstr>
      <vt:lpstr>15</vt:lpstr>
      <vt:lpstr>12</vt:lpstr>
      <vt:lpstr>81</vt:lpstr>
      <vt:lpstr>94</vt:lpstr>
      <vt:lpstr>42</vt:lpstr>
      <vt:lpstr>93</vt:lpstr>
      <vt:lpstr>82</vt:lpstr>
      <vt:lpstr>61N</vt:lpstr>
      <vt:lpstr>60N</vt:lpstr>
      <vt:lpstr>55N</vt:lpstr>
      <vt:lpstr>57</vt:lpstr>
      <vt:lpstr>58</vt:lpstr>
      <vt:lpstr>59</vt:lpstr>
      <vt:lpstr>48N</vt:lpstr>
      <vt:lpstr>50N</vt:lpstr>
      <vt:lpstr>49N</vt:lpstr>
      <vt:lpstr>103</vt:lpstr>
      <vt:lpstr>102</vt:lpstr>
      <vt:lpstr>101</vt:lpstr>
      <vt:lpstr>18N</vt:lpstr>
      <vt:lpstr>26N </vt:lpstr>
      <vt:lpstr>34</vt:lpstr>
      <vt:lpstr>28</vt:lpstr>
      <vt:lpstr>13N</vt:lpstr>
      <vt:lpstr>16N</vt:lpstr>
      <vt:lpstr>44</vt:lpstr>
      <vt:lpstr>45</vt:lpstr>
      <vt:lpstr>83</vt:lpstr>
      <vt:lpstr>47</vt:lpstr>
      <vt:lpstr>78</vt:lpstr>
      <vt:lpstr>80</vt:lpstr>
      <vt:lpstr>76</vt:lpstr>
      <vt:lpstr>79</vt:lpstr>
      <vt:lpstr>114</vt:lpstr>
      <vt:lpstr>119</vt:lpstr>
      <vt:lpstr>120</vt:lpstr>
      <vt:lpstr>115</vt:lpstr>
      <vt:lpstr>CHECK </vt:lpstr>
      <vt:lpstr>46</vt:lpstr>
      <vt:lpstr>ACE BILLS NEW</vt:lpstr>
      <vt:lpstr>22</vt:lpstr>
      <vt:lpstr>37</vt:lpstr>
      <vt:lpstr>STATS</vt:lpstr>
      <vt:lpstr>HYBRYD WITH MYSTERY</vt:lpstr>
      <vt:lpstr>116 (R)</vt:lpstr>
      <vt:lpstr>96 (R)</vt:lpstr>
      <vt:lpstr>43 (R)</vt:lpstr>
      <vt:lpstr>111 (R)</vt:lpstr>
      <vt:lpstr>91 (R)</vt:lpstr>
      <vt:lpstr>40 (R)</vt:lpstr>
      <vt:lpstr>92 (R)</vt:lpstr>
      <vt:lpstr>117 (R)</vt:lpstr>
      <vt:lpstr>41 (R)</vt:lpstr>
      <vt:lpstr>112 (R)</vt:lpstr>
      <vt:lpstr>118 (R)</vt:lpstr>
      <vt:lpstr>95 (R)</vt:lpstr>
      <vt:lpstr>35 (R)</vt:lpstr>
      <vt:lpstr>113 (R)</vt:lpstr>
      <vt:lpstr>27 (R)</vt:lpstr>
      <vt:lpstr>15 (R)</vt:lpstr>
      <vt:lpstr>12 (R)</vt:lpstr>
      <vt:lpstr>94 (R)</vt:lpstr>
      <vt:lpstr>34 (R)</vt:lpstr>
      <vt:lpstr>42 (R)</vt:lpstr>
      <vt:lpstr>57 (R)</vt:lpstr>
      <vt:lpstr>28 (R)</vt:lpstr>
      <vt:lpstr>93 (R)</vt:lpstr>
      <vt:lpstr>101 (R)</vt:lpstr>
      <vt:lpstr>102 (R)</vt:lpstr>
      <vt:lpstr>103 (R)</vt:lpstr>
      <vt:lpstr>114 (R)</vt:lpstr>
      <vt:lpstr>119 (R)</vt:lpstr>
      <vt:lpstr>120 (R)</vt:lpstr>
      <vt:lpstr>115 (R)</vt:lpstr>
      <vt:lpstr>new baum sats</vt:lpstr>
      <vt:lpstr>non ace</vt:lpstr>
      <vt:lpstr>ACE MAS</vt:lpstr>
      <vt:lpstr>CHECKING</vt:lpstr>
      <vt:lpstr>54</vt:lpstr>
      <vt:lpstr>17</vt:lpstr>
      <vt:lpstr>55</vt:lpstr>
      <vt:lpstr>16</vt:lpstr>
      <vt:lpstr>18</vt:lpstr>
      <vt:lpstr>13</vt:lpstr>
      <vt:lpstr>50</vt:lpstr>
      <vt:lpstr>61</vt:lpstr>
      <vt:lpstr>49</vt:lpstr>
      <vt:lpstr>26</vt:lpstr>
      <vt:lpstr>56</vt:lpstr>
      <vt:lpstr>60</vt:lpstr>
      <vt:lpstr>24</vt:lpstr>
      <vt:lpstr>68</vt:lpstr>
      <vt:lpstr>14</vt:lpstr>
      <vt:lpstr>ACE BILLS</vt:lpstr>
      <vt:lpstr>66</vt:lpstr>
      <vt:lpstr>65</vt:lpstr>
      <vt:lpstr>67</vt:lpstr>
      <vt:lpstr>check</vt:lpstr>
      <vt:lpstr>hybrid</vt:lpstr>
      <vt:lpstr>69</vt:lpstr>
      <vt:lpstr>77</vt:lpstr>
      <vt:lpstr>70(2)</vt:lpstr>
      <vt:lpstr>36</vt:lpstr>
      <vt:lpstr>71 (2)</vt:lpstr>
      <vt:lpstr>72</vt:lpstr>
      <vt:lpstr>72N</vt:lpstr>
      <vt:lpstr>75 (2)</vt:lpstr>
      <vt:lpstr>74N (2)</vt:lpstr>
      <vt:lpstr>73N</vt:lpstr>
      <vt:lpstr>72N (2)</vt:lpstr>
      <vt:lpstr>74N</vt:lpstr>
      <vt:lpstr>73</vt:lpstr>
      <vt:lpstr>74</vt:lpstr>
      <vt:lpstr>75</vt:lpstr>
      <vt:lpstr>EXTRACTION meters kingkong</vt:lpstr>
      <vt:lpstr>BAUM</vt:lpstr>
      <vt:lpstr>71(3)</vt:lpstr>
      <vt:lpstr>January close meters</vt:lpstr>
      <vt:lpstr>68(3)</vt:lpstr>
      <vt:lpstr>9</vt:lpstr>
      <vt:lpstr>51</vt:lpstr>
      <vt:lpstr>52</vt:lpstr>
      <vt:lpstr>53</vt:lpstr>
      <vt:lpstr>10</vt:lpstr>
      <vt:lpstr>31</vt:lpstr>
      <vt:lpstr>30</vt:lpstr>
      <vt:lpstr>20</vt:lpstr>
      <vt:lpstr>62</vt:lpstr>
      <vt:lpstr>64</vt:lpstr>
      <vt:lpstr>63</vt:lpstr>
      <vt:lpstr>21</vt:lpstr>
      <vt:lpstr>70</vt:lpstr>
      <vt:lpstr>'10'!Print_Area</vt:lpstr>
      <vt:lpstr>'12'!Print_Area</vt:lpstr>
      <vt:lpstr>'12 (R)'!Print_Area</vt:lpstr>
      <vt:lpstr>'13'!Print_Area</vt:lpstr>
      <vt:lpstr>'13N'!Print_Area</vt:lpstr>
      <vt:lpstr>'14'!Print_Area</vt:lpstr>
      <vt:lpstr>'15'!Print_Area</vt:lpstr>
      <vt:lpstr>'15 (R)'!Print_Area</vt:lpstr>
      <vt:lpstr>'16'!Print_Area</vt:lpstr>
      <vt:lpstr>'16N'!Print_Area</vt:lpstr>
      <vt:lpstr>'17'!Print_Area</vt:lpstr>
      <vt:lpstr>'18'!Print_Area</vt:lpstr>
      <vt:lpstr>'18N'!Print_Area</vt:lpstr>
      <vt:lpstr>'20'!Print_Area</vt:lpstr>
      <vt:lpstr>'21'!Print_Area</vt:lpstr>
      <vt:lpstr>'24'!Print_Area</vt:lpstr>
      <vt:lpstr>'26'!Print_Area</vt:lpstr>
      <vt:lpstr>'26N '!Print_Area</vt:lpstr>
      <vt:lpstr>'27'!Print_Area</vt:lpstr>
      <vt:lpstr>'27 (R)'!Print_Area</vt:lpstr>
      <vt:lpstr>'28'!Print_Area</vt:lpstr>
      <vt:lpstr>'28 (R)'!Print_Area</vt:lpstr>
      <vt:lpstr>'30'!Print_Area</vt:lpstr>
      <vt:lpstr>'31'!Print_Area</vt:lpstr>
      <vt:lpstr>'34'!Print_Area</vt:lpstr>
      <vt:lpstr>'34 (R)'!Print_Area</vt:lpstr>
      <vt:lpstr>'35'!Print_Area</vt:lpstr>
      <vt:lpstr>'35 (R)'!Print_Area</vt:lpstr>
      <vt:lpstr>'36'!Print_Area</vt:lpstr>
      <vt:lpstr>'40'!Print_Area</vt:lpstr>
      <vt:lpstr>'40 (R)'!Print_Area</vt:lpstr>
      <vt:lpstr>'44'!Print_Area</vt:lpstr>
      <vt:lpstr>'53'!Print_Area</vt:lpstr>
      <vt:lpstr>'54'!Print_Area</vt:lpstr>
      <vt:lpstr>'82'!Print_Area</vt:lpstr>
      <vt:lpstr>'9'!Print_Area</vt:lpstr>
      <vt:lpstr>'ACE BILLS'!Print_Area</vt:lpstr>
      <vt:lpstr>'ACE BILLS NEW'!Print_Area</vt:lpstr>
      <vt:lpstr>check!Print_Area</vt:lpstr>
      <vt:lpstr>'CHECK '!Print_Area</vt:lpstr>
      <vt:lpstr>hybrid!Print_Area</vt:lpstr>
      <vt:lpstr>'HYBRYD WITH MYSTERY'!Print_Area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Count</cp:lastModifiedBy>
  <cp:lastPrinted>2022-12-28T18:54:59Z</cp:lastPrinted>
  <dcterms:created xsi:type="dcterms:W3CDTF">2022-02-25T09:46:07Z</dcterms:created>
  <dcterms:modified xsi:type="dcterms:W3CDTF">2023-10-03T08:30:13Z</dcterms:modified>
</cp:coreProperties>
</file>